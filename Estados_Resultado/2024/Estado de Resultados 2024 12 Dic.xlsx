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8" documentId="8_{629D29FF-10CB-4B40-B7DA-4D6B3FF986AD}" xr6:coauthVersionLast="47" xr6:coauthVersionMax="47" xr10:uidLastSave="{1CA80AB8-968B-483A-831D-86EC69217661}"/>
  <bookViews>
    <workbookView xWindow="-120" yWindow="-120" windowWidth="20730" windowHeight="11040" tabRatio="599" xr2:uid="{30A6164E-A0D3-4996-9EF3-92045D51F006}"/>
  </bookViews>
  <sheets>
    <sheet name="Dic'24" sheetId="23" r:id="rId1"/>
    <sheet name="Gastos Galicia" sheetId="19" r:id="rId2"/>
    <sheet name="Gastos Efectivo" sheetId="20" r:id="rId3"/>
    <sheet name="Ventas Dic'24" sheetId="18" r:id="rId4"/>
    <sheet name="LISTA CONCEPTOS" sheetId="15" state="hidden" r:id="rId5"/>
  </sheets>
  <definedNames>
    <definedName name="_xlnm._FilterDatabase" localSheetId="2" hidden="1">'Gastos Efectivo'!$A$1:$F$19</definedName>
    <definedName name="_xlnm._FilterDatabase" localSheetId="1" hidden="1">'Gastos Galicia'!$A$1:$E$128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23" l="1"/>
  <c r="B24" i="23"/>
  <c r="B22" i="23"/>
  <c r="C128" i="19"/>
  <c r="C145" i="19"/>
  <c r="C4" i="20"/>
  <c r="C22" i="20" s="1"/>
  <c r="C6" i="20"/>
  <c r="B12" i="23" s="1"/>
  <c r="C120" i="19"/>
  <c r="B19" i="23" s="1"/>
  <c r="C113" i="19"/>
  <c r="B16" i="23" s="1"/>
  <c r="C6" i="19"/>
  <c r="B11" i="23" s="1"/>
  <c r="C14" i="19"/>
  <c r="B15" i="23" s="1"/>
  <c r="C11" i="19"/>
  <c r="B14" i="23" s="1"/>
  <c r="C135" i="19"/>
  <c r="B27" i="23" s="1"/>
  <c r="B6" i="23"/>
  <c r="B4" i="23"/>
  <c r="B3" i="23"/>
  <c r="C20" i="20"/>
  <c r="C14" i="20"/>
  <c r="H21" i="18"/>
  <c r="B5" i="23" l="1"/>
  <c r="C19" i="23" s="1"/>
  <c r="C4" i="23"/>
  <c r="C11" i="23" l="1"/>
  <c r="C12" i="23"/>
  <c r="B7" i="23"/>
  <c r="C7" i="23" s="1"/>
  <c r="C15" i="23"/>
  <c r="C16" i="23"/>
  <c r="C14" i="23" l="1"/>
  <c r="B13" i="23"/>
  <c r="B10" i="23" s="1"/>
  <c r="C13" i="23" l="1"/>
  <c r="C10" i="23"/>
  <c r="C130" i="19" l="1"/>
  <c r="C137" i="19" s="1"/>
  <c r="C139" i="19" s="1"/>
  <c r="B20" i="23"/>
  <c r="B18" i="23" s="1"/>
  <c r="C24" i="23" s="1"/>
  <c r="C20" i="23"/>
  <c r="C18" i="23" l="1"/>
</calcChain>
</file>

<file path=xl/sharedStrings.xml><?xml version="1.0" encoding="utf-8"?>
<sst xmlns="http://schemas.openxmlformats.org/spreadsheetml/2006/main" count="722" uniqueCount="311">
  <si>
    <t>CRM</t>
  </si>
  <si>
    <t>FN1 PRO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</si>
  <si>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</si>
  <si>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</si>
  <si>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</si>
  <si>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</si>
  <si>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</si>
  <si>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</si>
  <si>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</si>
  <si>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</si>
  <si>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</si>
  <si>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</si>
  <si>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</si>
  <si>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</si>
  <si>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</si>
  <si>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</si>
  <si>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</si>
  <si>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</si>
  <si>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</si>
  <si>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</si>
  <si>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</si>
  <si>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</si>
  <si>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</si>
  <si>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</si>
  <si>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</si>
  <si>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Estado de Resultados 2024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</si>
  <si>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</si>
  <si>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</si>
  <si>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</si>
  <si>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</si>
  <si>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</si>
  <si>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</si>
  <si>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</si>
  <si>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</si>
  <si>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</si>
  <si>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</si>
  <si>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</si>
  <si>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</si>
  <si>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</si>
  <si>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</si>
  <si>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</si>
  <si>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</si>
  <si>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</si>
  <si>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</si>
  <si>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</si>
  <si>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</si>
  <si>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</si>
  <si>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</si>
  <si>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</si>
  <si>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</si>
  <si>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</si>
  <si>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</si>
  <si>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</si>
  <si>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</si>
  <si>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</si>
  <si>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</si>
  <si>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</si>
  <si>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</si>
  <si>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</si>
  <si>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</si>
  <si>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</si>
  <si>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</si>
  <si>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</si>
  <si>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</si>
  <si>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</si>
  <si>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</si>
  <si>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</si>
  <si>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</si>
  <si>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</si>
  <si>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</si>
  <si>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</si>
  <si>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</si>
  <si>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</si>
  <si>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</si>
  <si>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</si>
  <si>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</si>
  <si>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</si>
  <si>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</si>
  <si>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</si>
  <si>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</si>
  <si>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</si>
  <si>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</si>
  <si>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</si>
  <si>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</si>
  <si>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</si>
  <si>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</si>
  <si>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</si>
  <si>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</si>
  <si>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</si>
  <si>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</si>
  <si>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</si>
  <si>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</si>
  <si>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</si>
  <si>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</si>
  <si>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</si>
  <si>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</si>
  <si>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</si>
  <si>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</si>
  <si>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</si>
  <si>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</si>
  <si>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</si>
  <si>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</si>
  <si>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</si>
  <si>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</si>
  <si>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</si>
  <si>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</si>
  <si>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</si>
  <si>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</si>
  <si>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</si>
  <si>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</si>
  <si>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</si>
  <si>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</si>
  <si>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</si>
  <si>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</si>
  <si>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</si>
  <si>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</si>
  <si>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</si>
  <si>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</si>
  <si>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</si>
  <si>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</si>
  <si>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</si>
  <si>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</si>
  <si>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</si>
  <si>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Pago | Sueldo | Cynthia Fernández | Nov´24</t>
  </si>
  <si>
    <t>Pago | Sueldo | Lelia Bertoni | Nov´24</t>
  </si>
  <si>
    <t>Impuesto Ley 25.413</t>
  </si>
  <si>
    <t>Regimen SIRCREB</t>
  </si>
  <si>
    <t>Pago | Débito Automático | Telecom Teléfonos | Fc 4264-04618390</t>
  </si>
  <si>
    <t>Comisión Transferencia Internet</t>
  </si>
  <si>
    <t>Pago | Fuertes Viviana Patricia | Fc 0002-00000220 | Alquiler Dic'24</t>
  </si>
  <si>
    <t>Pago | Fundación Facultad Reg Santa Fe | Fc 4890 | Ensayo</t>
  </si>
  <si>
    <t>Pago | Cargas Sociales | F931 | Nov´24</t>
  </si>
  <si>
    <t>Pago | Cargas Sindicales | FAECYS | 11/2024</t>
  </si>
  <si>
    <t>Pago | CM Ingresos Brutos | 06/2024</t>
  </si>
  <si>
    <t>Pago | SICORE | 11/2024</t>
  </si>
  <si>
    <t>Pago | Débito Automático | Cargas Sindicales | INACAP | 11/2024</t>
  </si>
  <si>
    <t>Descuento Comercio | PayWay</t>
  </si>
  <si>
    <t>Pago | Mol y Band |Fc 3085 | Saldo Final | Mesas</t>
  </si>
  <si>
    <t>Pago | La Sevillanita | Fc 0327-02020633 | Envío Horno Catamarca Fernando</t>
  </si>
  <si>
    <t>Pago | 2do SAC 2024 | Lelia Bertoni</t>
  </si>
  <si>
    <t>Pago | 2do SAC 2024 | Cynthia Fernández</t>
  </si>
  <si>
    <t>Pago | CM Ingresos Brutos | 11/2024</t>
  </si>
  <si>
    <t>Pago | Verónica Rigante | Fc 0866 | Honorarios Contables</t>
  </si>
  <si>
    <t>Pago | Bureau Vertitas | Fc 00003-00246173</t>
  </si>
  <si>
    <t>Pago | Bureau Vertitas | Fc 00003-00246174</t>
  </si>
  <si>
    <t>Pago | Bureau Vertitas | Fc 00003-00246175</t>
  </si>
  <si>
    <t>Pago | Antonio Francisco | Fc 34338 | Manómetro</t>
  </si>
  <si>
    <t>Pago | Francisco Ricardo José | Fc 1029 | Regulador</t>
  </si>
  <si>
    <t>Pago | Sueldo | Lelia Bertoni | Dic´24</t>
  </si>
  <si>
    <t>Pago | Sueldo | Cynthia Fernández | Dic´24</t>
  </si>
  <si>
    <t>Pago | Sueldo | Diego Argiró | Dic´24</t>
  </si>
  <si>
    <t>Pago | Racca Daniel | Fc 421 | Flete Tigre DAMIANO MARIANO | 2 Pro Gas</t>
  </si>
  <si>
    <t>Comisión Mantenimiento de Cuenta</t>
  </si>
  <si>
    <t>Percepción IVA</t>
  </si>
  <si>
    <t>Ingresos Brutos</t>
  </si>
  <si>
    <t>Local</t>
  </si>
  <si>
    <t>Sueldos</t>
  </si>
  <si>
    <t>Impuestos</t>
  </si>
  <si>
    <t>Ley 25.413</t>
  </si>
  <si>
    <t>Sircreb</t>
  </si>
  <si>
    <t>Teléfonos</t>
  </si>
  <si>
    <t>Alquiler</t>
  </si>
  <si>
    <t>Ensayo</t>
  </si>
  <si>
    <t>Cargas Sociales</t>
  </si>
  <si>
    <t>Faecys</t>
  </si>
  <si>
    <t>Sicore</t>
  </si>
  <si>
    <t>Inacap</t>
  </si>
  <si>
    <t>Internet</t>
  </si>
  <si>
    <t>PayWay</t>
  </si>
  <si>
    <t>Flete</t>
  </si>
  <si>
    <t>Honorarios Contables</t>
  </si>
  <si>
    <t>Certificación</t>
  </si>
  <si>
    <t>IIBB</t>
  </si>
  <si>
    <t>FECHA</t>
  </si>
  <si>
    <t>OPERADOR</t>
  </si>
  <si>
    <t>PRODUCTO</t>
  </si>
  <si>
    <t>Nº Serie</t>
  </si>
  <si>
    <t>N° Despacho</t>
  </si>
  <si>
    <t>CLIENTE</t>
  </si>
  <si>
    <t>#</t>
  </si>
  <si>
    <t>VALOR SIN IVA</t>
  </si>
  <si>
    <t>MONTO NETO</t>
  </si>
  <si>
    <t>Tipo de IVA</t>
  </si>
  <si>
    <t>MONTO TOTAL</t>
  </si>
  <si>
    <t>Valor TOTAL Cotización CON IVA</t>
  </si>
  <si>
    <t>HSBC</t>
  </si>
  <si>
    <t>Efectivo / Morva</t>
  </si>
  <si>
    <t>Total Pagado</t>
  </si>
  <si>
    <t>Por Cobrar</t>
  </si>
  <si>
    <t>FACTURADO</t>
  </si>
  <si>
    <t>CUIT</t>
  </si>
  <si>
    <t>Forma de Pago</t>
  </si>
  <si>
    <t>Costo Contable</t>
  </si>
  <si>
    <t>Lelia</t>
  </si>
  <si>
    <t>24 001 | C04 196596 G</t>
  </si>
  <si>
    <t>PABLO FUENTES</t>
  </si>
  <si>
    <t>-</t>
  </si>
  <si>
    <t>Factura B 0006 (Anticipo) Factura B 0007 (Saldo)</t>
  </si>
  <si>
    <t>PALA</t>
  </si>
  <si>
    <t>N/A</t>
  </si>
  <si>
    <t>PRO GAS 90</t>
  </si>
  <si>
    <t>GERARDO TURRI</t>
  </si>
  <si>
    <t>Factura A 0044</t>
  </si>
  <si>
    <t>PRO GAS 106</t>
  </si>
  <si>
    <t>G24038032011</t>
  </si>
  <si>
    <t>24 001 IC04 0985888 X</t>
  </si>
  <si>
    <t>WALJUL SRL</t>
  </si>
  <si>
    <t>Factura A 0048</t>
  </si>
  <si>
    <t>HSBC | Efectivo</t>
  </si>
  <si>
    <t>CARLOS ALBERTO BULOG</t>
  </si>
  <si>
    <t>Factura A 0050</t>
  </si>
  <si>
    <t>6 Cuotas | HSBC</t>
  </si>
  <si>
    <t>G24038032006</t>
  </si>
  <si>
    <t>PRÓCERES SRL</t>
  </si>
  <si>
    <t>Factura A 0051</t>
  </si>
  <si>
    <t>GUSTAVO BUEZAS</t>
  </si>
  <si>
    <t>Factura B 0005 (Anticipo) Factura B 0008 (Saldo)</t>
  </si>
  <si>
    <t>HSBC | 3 Cuotas</t>
  </si>
  <si>
    <t>EMIR MUSA</t>
  </si>
  <si>
    <t>Factura B 0003</t>
  </si>
  <si>
    <t>G24038032004</t>
  </si>
  <si>
    <t>FABRIC CITY BELL SA</t>
  </si>
  <si>
    <t>Factura A 0045</t>
  </si>
  <si>
    <t>PABLO BRAVO</t>
  </si>
  <si>
    <t xml:space="preserve">Factura B 0003 (Anticipo) Factura B 0009 (Saldo)
</t>
  </si>
  <si>
    <t>Tarjeta | Efectivo</t>
  </si>
  <si>
    <t>G24038032001</t>
  </si>
  <si>
    <t>DAMIANO MARIANO</t>
  </si>
  <si>
    <t>Factura A 0049</t>
  </si>
  <si>
    <t>G24038032002</t>
  </si>
  <si>
    <t>PALAS</t>
  </si>
  <si>
    <t>BONIFICADO</t>
  </si>
  <si>
    <t>PRO ELECTRICO 90</t>
  </si>
  <si>
    <t>ES240380320006</t>
  </si>
  <si>
    <t>RODRIGO GARCÍA</t>
  </si>
  <si>
    <t>Factura A 0043</t>
  </si>
  <si>
    <t>RODRIGO ALLEGRE</t>
  </si>
  <si>
    <t>Factura A 0046</t>
  </si>
  <si>
    <t>MESA</t>
  </si>
  <si>
    <t>PO24/TA030</t>
  </si>
  <si>
    <t>PRO HOUSE</t>
  </si>
  <si>
    <t>PT1816 9 of 10</t>
  </si>
  <si>
    <t>DANIEL SALIVA</t>
  </si>
  <si>
    <t>Factura A 0047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</si>
  <si>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</si>
  <si>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</si>
  <si>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</si>
  <si>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</si>
  <si>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</si>
  <si>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</si>
  <si>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</si>
  <si>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</si>
  <si>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Rubro</t>
  </si>
  <si>
    <t>Cuenta Contable</t>
  </si>
  <si>
    <t>Pago | Débito Automático | Prosegur Alarmas | Fc 0012-01783689</t>
  </si>
  <si>
    <t>Alarma Local</t>
  </si>
  <si>
    <t>Bancarias</t>
  </si>
  <si>
    <t>Pago | Débito Automático | Soluciones Online - Xubio | Fc 00002-00390478</t>
  </si>
  <si>
    <t>Sistema Contable</t>
  </si>
  <si>
    <t>Pago | Débito Automático | Telecom Internet Personal | Fc A6364-08736249</t>
  </si>
  <si>
    <t>Extraordinarios</t>
  </si>
  <si>
    <t>Bases Hornos</t>
  </si>
  <si>
    <t>Manómetro</t>
  </si>
  <si>
    <t>Regulador</t>
  </si>
  <si>
    <t>FLETES</t>
  </si>
  <si>
    <t>Comisiones Bancarias</t>
  </si>
  <si>
    <t>Fletes</t>
  </si>
  <si>
    <t>Alquiler Local Dic'24</t>
  </si>
  <si>
    <t>ALQUILER</t>
  </si>
  <si>
    <t>Comisiones Cynthia |Sep|Oct|Nov´24</t>
  </si>
  <si>
    <t>COMISIONES</t>
  </si>
  <si>
    <t>Comisiones Lelia| Nov´24 | México</t>
  </si>
  <si>
    <t>Reposición Caja Chica</t>
  </si>
  <si>
    <t>CAJA CHICA</t>
  </si>
  <si>
    <t>Pago Comisiones Javier | Nov y pendientes meses pasados</t>
  </si>
  <si>
    <t>Gratificacion descarga hornos</t>
  </si>
  <si>
    <t>IMPORTACIÓN</t>
  </si>
  <si>
    <t>Aguinaldo Cynthia</t>
  </si>
  <si>
    <t>AGUINALDO</t>
  </si>
  <si>
    <t>Aguinaldo Lelia</t>
  </si>
  <si>
    <t>Sueldo Cynthia | Dic´24</t>
  </si>
  <si>
    <t>Sueldo Lelia| Dic´24</t>
  </si>
  <si>
    <t>Pago Peones Orden Local</t>
  </si>
  <si>
    <t>OTROS</t>
  </si>
  <si>
    <t>Sueldo Carolina | Dic´24</t>
  </si>
  <si>
    <t>Comisión 3%</t>
  </si>
  <si>
    <t>Comisión 5%</t>
  </si>
  <si>
    <t>Comisión 7%</t>
  </si>
  <si>
    <t xml:space="preserve">Descuentos Realizados </t>
  </si>
  <si>
    <t>VALOR Sin Descuento</t>
  </si>
  <si>
    <t>Descuentos</t>
  </si>
  <si>
    <t>SUB TOTAL SUELDOS</t>
  </si>
  <si>
    <t>SUB TOTAL LOCAL</t>
  </si>
  <si>
    <t>SUB TOTAL COMISIONES VENTAS</t>
  </si>
  <si>
    <t xml:space="preserve">TOTAL </t>
  </si>
  <si>
    <t>SUB TOTAL COMISIONES BANCARIAS</t>
  </si>
  <si>
    <t>SUB TOTAL EXTRAORDINARIOS</t>
  </si>
  <si>
    <t>SUB TOTAL FLETES</t>
  </si>
  <si>
    <t>SUB TOTAL IMPUESTOS</t>
  </si>
  <si>
    <t>TOTAL</t>
  </si>
  <si>
    <t>INVERSIONES (Certificaciones)</t>
  </si>
  <si>
    <t>Inversiones</t>
  </si>
  <si>
    <t>INVERSIONES</t>
  </si>
  <si>
    <t>GALICIA + EFECTIVO</t>
  </si>
  <si>
    <t>GALICIA + EFECTIVO + INVERSIONES</t>
  </si>
  <si>
    <t>COMISIONES DISTRIBUIDORES</t>
  </si>
  <si>
    <t>GASTOS VARIABLES</t>
  </si>
  <si>
    <t>GASTOS FIJOS</t>
  </si>
  <si>
    <t>Imputar en Enero</t>
  </si>
  <si>
    <t>GASTOS TOTALES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</si>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</sst>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sz val="10"/>
      <color rgb="FFC00000"/>
      <name val="Arial"/>
      <family val="2"/>
    </font>
    <font>
      <sz val="10"/>
      <color rgb="FFC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4"/>
      <color theme="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4" fillId="0" borderId="0" xfId="0" applyFont="1" applyAlignment="1">
      <alignment horizontal="left"/>
    </xf>
    <xf numFmtId="164" fontId="6" fillId="2" borderId="0" xfId="0" applyNumberFormat="1" applyFont="1" applyFill="1"/>
    <xf numFmtId="0" fontId="4" fillId="0" borderId="0" xfId="0" applyFont="1"/>
    <xf numFmtId="164" fontId="7" fillId="2" borderId="0" xfId="0" applyNumberFormat="1" applyFont="1" applyFill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8" fillId="2" borderId="0" xfId="0" applyFont="1" applyFill="1" applyAlignment="1">
      <alignment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8" fontId="11" fillId="0" borderId="5" xfId="0" applyNumberFormat="1" applyFont="1" applyBorder="1" applyAlignment="1">
      <alignment horizontal="right" wrapText="1"/>
    </xf>
    <xf numFmtId="14" fontId="11" fillId="0" borderId="5" xfId="0" applyNumberFormat="1" applyFont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8" fontId="2" fillId="0" borderId="5" xfId="0" applyNumberFormat="1" applyFont="1" applyBorder="1" applyAlignment="1">
      <alignment horizontal="right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4" fontId="5" fillId="7" borderId="9" xfId="0" applyNumberFormat="1" applyFont="1" applyFill="1" applyBorder="1" applyAlignment="1">
      <alignment horizontal="right" vertical="center" wrapText="1"/>
    </xf>
    <xf numFmtId="4" fontId="5" fillId="0" borderId="9" xfId="0" applyNumberFormat="1" applyFont="1" applyBorder="1" applyAlignment="1">
      <alignment horizontal="right" vertical="center" wrapText="1"/>
    </xf>
    <xf numFmtId="10" fontId="5" fillId="0" borderId="9" xfId="0" applyNumberFormat="1" applyFont="1" applyBorder="1" applyAlignment="1">
      <alignment horizontal="right" vertical="center" wrapText="1"/>
    </xf>
    <xf numFmtId="4" fontId="5" fillId="8" borderId="9" xfId="0" applyNumberFormat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vertical="center" wrapText="1"/>
    </xf>
    <xf numFmtId="3" fontId="11" fillId="0" borderId="10" xfId="0" applyNumberFormat="1" applyFont="1" applyBorder="1" applyAlignment="1">
      <alignment horizontal="right" vertical="center" wrapText="1"/>
    </xf>
    <xf numFmtId="3" fontId="11" fillId="0" borderId="9" xfId="0" applyNumberFormat="1" applyFont="1" applyBorder="1" applyAlignment="1">
      <alignment horizontal="right" vertical="center" wrapText="1"/>
    </xf>
    <xf numFmtId="3" fontId="11" fillId="7" borderId="9" xfId="0" applyNumberFormat="1" applyFont="1" applyFill="1" applyBorder="1" applyAlignment="1">
      <alignment horizontal="right" vertical="center" wrapText="1"/>
    </xf>
    <xf numFmtId="3" fontId="5" fillId="0" borderId="9" xfId="0" applyNumberFormat="1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 vertical="center" wrapText="1"/>
    </xf>
    <xf numFmtId="0" fontId="5" fillId="3" borderId="9" xfId="0" applyFont="1" applyFill="1" applyBorder="1" applyAlignment="1">
      <alignment horizontal="right" vertical="center" wrapText="1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4" fontId="5" fillId="7" borderId="12" xfId="0" applyNumberFormat="1" applyFont="1" applyFill="1" applyBorder="1" applyAlignment="1">
      <alignment horizontal="right" vertical="center" wrapText="1"/>
    </xf>
    <xf numFmtId="4" fontId="5" fillId="0" borderId="12" xfId="0" applyNumberFormat="1" applyFont="1" applyBorder="1" applyAlignment="1">
      <alignment horizontal="right" vertical="center" wrapText="1"/>
    </xf>
    <xf numFmtId="10" fontId="5" fillId="0" borderId="12" xfId="0" applyNumberFormat="1" applyFont="1" applyBorder="1" applyAlignment="1">
      <alignment horizontal="right" vertical="center" wrapText="1"/>
    </xf>
    <xf numFmtId="4" fontId="5" fillId="8" borderId="12" xfId="0" applyNumberFormat="1" applyFont="1" applyFill="1" applyBorder="1" applyAlignment="1">
      <alignment horizontal="right" vertical="center" wrapText="1"/>
    </xf>
    <xf numFmtId="3" fontId="5" fillId="0" borderId="12" xfId="0" applyNumberFormat="1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3" fontId="11" fillId="0" borderId="13" xfId="0" applyNumberFormat="1" applyFont="1" applyBorder="1" applyAlignment="1">
      <alignment horizontal="right" vertical="center" wrapText="1"/>
    </xf>
    <xf numFmtId="3" fontId="11" fillId="0" borderId="12" xfId="0" applyNumberFormat="1" applyFont="1" applyBorder="1" applyAlignment="1">
      <alignment horizontal="right" vertical="center" wrapText="1"/>
    </xf>
    <xf numFmtId="3" fontId="11" fillId="7" borderId="12" xfId="0" applyNumberFormat="1" applyFont="1" applyFill="1" applyBorder="1" applyAlignment="1">
      <alignment horizontal="right" vertical="center" wrapText="1"/>
    </xf>
    <xf numFmtId="3" fontId="12" fillId="7" borderId="5" xfId="0" applyNumberFormat="1" applyFont="1" applyFill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7" borderId="9" xfId="0" applyFont="1" applyFill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vertical="center" wrapText="1"/>
    </xf>
    <xf numFmtId="0" fontId="11" fillId="7" borderId="12" xfId="0" applyFont="1" applyFill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 wrapText="1"/>
    </xf>
    <xf numFmtId="0" fontId="11" fillId="0" borderId="10" xfId="0" applyFont="1" applyBorder="1" applyAlignment="1">
      <alignment vertical="center" wrapText="1"/>
    </xf>
    <xf numFmtId="0" fontId="11" fillId="9" borderId="11" xfId="0" applyFont="1" applyFill="1" applyBorder="1" applyAlignment="1">
      <alignment vertical="center" wrapText="1"/>
    </xf>
    <xf numFmtId="0" fontId="11" fillId="9" borderId="12" xfId="0" applyFont="1" applyFill="1" applyBorder="1" applyAlignment="1">
      <alignment vertical="center" wrapText="1"/>
    </xf>
    <xf numFmtId="4" fontId="12" fillId="9" borderId="12" xfId="0" applyNumberFormat="1" applyFont="1" applyFill="1" applyBorder="1" applyAlignment="1">
      <alignment horizontal="right" vertical="center" wrapText="1"/>
    </xf>
    <xf numFmtId="4" fontId="12" fillId="3" borderId="12" xfId="0" applyNumberFormat="1" applyFont="1" applyFill="1" applyBorder="1" applyAlignment="1">
      <alignment horizontal="right" vertical="center" wrapText="1"/>
    </xf>
    <xf numFmtId="3" fontId="12" fillId="9" borderId="12" xfId="0" applyNumberFormat="1" applyFont="1" applyFill="1" applyBorder="1" applyAlignment="1">
      <alignment horizontal="right" vertical="center" wrapText="1"/>
    </xf>
    <xf numFmtId="0" fontId="10" fillId="6" borderId="21" xfId="0" applyFont="1" applyFill="1" applyBorder="1" applyAlignment="1">
      <alignment horizontal="center" vertical="center" wrapText="1"/>
    </xf>
    <xf numFmtId="4" fontId="5" fillId="7" borderId="22" xfId="0" applyNumberFormat="1" applyFont="1" applyFill="1" applyBorder="1" applyAlignment="1">
      <alignment horizontal="right" vertical="center" wrapText="1"/>
    </xf>
    <xf numFmtId="4" fontId="5" fillId="7" borderId="23" xfId="0" applyNumberFormat="1" applyFont="1" applyFill="1" applyBorder="1" applyAlignment="1">
      <alignment horizontal="right" vertical="center" wrapText="1"/>
    </xf>
    <xf numFmtId="4" fontId="12" fillId="9" borderId="23" xfId="0" applyNumberFormat="1" applyFont="1" applyFill="1" applyBorder="1" applyAlignment="1">
      <alignment horizontal="right" vertical="center" wrapText="1"/>
    </xf>
    <xf numFmtId="4" fontId="11" fillId="0" borderId="5" xfId="0" applyNumberFormat="1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8" fontId="0" fillId="0" borderId="0" xfId="0" applyNumberFormat="1"/>
    <xf numFmtId="0" fontId="2" fillId="3" borderId="5" xfId="0" applyFont="1" applyFill="1" applyBorder="1" applyAlignment="1">
      <alignment vertical="center" wrapText="1"/>
    </xf>
    <xf numFmtId="8" fontId="2" fillId="3" borderId="5" xfId="0" applyNumberFormat="1" applyFont="1" applyFill="1" applyBorder="1" applyAlignment="1">
      <alignment horizontal="right" vertical="center" wrapText="1"/>
    </xf>
    <xf numFmtId="0" fontId="0" fillId="10" borderId="5" xfId="0" applyFill="1" applyBorder="1" applyAlignment="1">
      <alignment vertical="center" wrapText="1"/>
    </xf>
    <xf numFmtId="14" fontId="2" fillId="10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3" fillId="11" borderId="0" xfId="0" applyFont="1" applyFill="1"/>
    <xf numFmtId="8" fontId="3" fillId="11" borderId="0" xfId="0" applyNumberFormat="1" applyFont="1" applyFill="1"/>
    <xf numFmtId="14" fontId="15" fillId="0" borderId="5" xfId="0" applyNumberFormat="1" applyFont="1" applyBorder="1" applyAlignment="1">
      <alignment horizontal="center" wrapText="1"/>
    </xf>
    <xf numFmtId="0" fontId="16" fillId="0" borderId="0" xfId="0" applyFont="1"/>
    <xf numFmtId="8" fontId="4" fillId="0" borderId="0" xfId="0" applyNumberFormat="1" applyFont="1"/>
    <xf numFmtId="0" fontId="4" fillId="12" borderId="0" xfId="0" applyFont="1" applyFill="1"/>
    <xf numFmtId="8" fontId="4" fillId="12" borderId="0" xfId="0" applyNumberFormat="1" applyFont="1" applyFill="1"/>
    <xf numFmtId="0" fontId="4" fillId="13" borderId="0" xfId="0" applyFont="1" applyFill="1"/>
    <xf numFmtId="8" fontId="4" fillId="13" borderId="0" xfId="0" applyNumberFormat="1" applyFont="1" applyFill="1"/>
    <xf numFmtId="0" fontId="3" fillId="13" borderId="0" xfId="0" applyFont="1" applyFill="1"/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3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8" fontId="3" fillId="3" borderId="0" xfId="1" applyNumberFormat="1" applyFont="1" applyFill="1" applyAlignment="1">
      <alignment vertical="center"/>
    </xf>
    <xf numFmtId="9" fontId="3" fillId="0" borderId="0" xfId="3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7" fillId="4" borderId="0" xfId="0" applyFont="1" applyFill="1" applyAlignment="1">
      <alignment vertical="center"/>
    </xf>
    <xf numFmtId="43" fontId="3" fillId="4" borderId="0" xfId="1" applyFont="1" applyFill="1" applyAlignment="1">
      <alignment vertical="center"/>
    </xf>
    <xf numFmtId="9" fontId="3" fillId="4" borderId="0" xfId="3" applyFont="1" applyFill="1" applyAlignment="1">
      <alignment horizontal="center" vertical="center"/>
    </xf>
    <xf numFmtId="0" fontId="0" fillId="12" borderId="0" xfId="0" applyFill="1" applyAlignment="1">
      <alignment vertical="center"/>
    </xf>
    <xf numFmtId="8" fontId="1" fillId="12" borderId="0" xfId="1" applyNumberFormat="1" applyFont="1" applyFill="1" applyAlignment="1">
      <alignment vertical="center"/>
    </xf>
    <xf numFmtId="0" fontId="0" fillId="12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4" fontId="5" fillId="0" borderId="16" xfId="0" applyNumberFormat="1" applyFont="1" applyBorder="1" applyAlignment="1">
      <alignment horizontal="right" vertical="center" wrapText="1"/>
    </xf>
    <xf numFmtId="4" fontId="5" fillId="0" borderId="15" xfId="0" applyNumberFormat="1" applyFont="1" applyBorder="1" applyAlignment="1">
      <alignment horizontal="right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3" fontId="5" fillId="0" borderId="15" xfId="0" applyNumberFormat="1" applyFont="1" applyBorder="1" applyAlignment="1">
      <alignment horizontal="right" vertical="center" wrapText="1"/>
    </xf>
    <xf numFmtId="0" fontId="11" fillId="0" borderId="14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4" fontId="5" fillId="0" borderId="14" xfId="0" applyNumberFormat="1" applyFont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" fontId="5" fillId="7" borderId="16" xfId="0" applyNumberFormat="1" applyFont="1" applyFill="1" applyBorder="1" applyAlignment="1">
      <alignment horizontal="right" vertical="center" wrapText="1"/>
    </xf>
    <xf numFmtId="4" fontId="5" fillId="7" borderId="15" xfId="0" applyNumberFormat="1" applyFont="1" applyFill="1" applyBorder="1" applyAlignment="1">
      <alignment horizontal="right" vertical="center" wrapText="1"/>
    </xf>
    <xf numFmtId="10" fontId="5" fillId="0" borderId="16" xfId="0" applyNumberFormat="1" applyFont="1" applyBorder="1" applyAlignment="1">
      <alignment horizontal="right" vertical="center" wrapText="1"/>
    </xf>
    <xf numFmtId="10" fontId="5" fillId="0" borderId="15" xfId="0" applyNumberFormat="1" applyFont="1" applyBorder="1" applyAlignment="1">
      <alignment horizontal="right" vertical="center" wrapText="1"/>
    </xf>
    <xf numFmtId="3" fontId="11" fillId="0" borderId="19" xfId="0" applyNumberFormat="1" applyFont="1" applyBorder="1" applyAlignment="1">
      <alignment horizontal="right" vertical="center" wrapText="1"/>
    </xf>
    <xf numFmtId="3" fontId="11" fillId="0" borderId="20" xfId="0" applyNumberFormat="1" applyFont="1" applyBorder="1" applyAlignment="1">
      <alignment horizontal="right" vertical="center" wrapText="1"/>
    </xf>
    <xf numFmtId="3" fontId="11" fillId="7" borderId="16" xfId="0" applyNumberFormat="1" applyFont="1" applyFill="1" applyBorder="1" applyAlignment="1">
      <alignment horizontal="right" vertical="center" wrapText="1"/>
    </xf>
    <xf numFmtId="3" fontId="11" fillId="7" borderId="15" xfId="0" applyNumberFormat="1" applyFont="1" applyFill="1" applyBorder="1" applyAlignment="1">
      <alignment horizontal="right" vertical="center" wrapText="1"/>
    </xf>
    <xf numFmtId="3" fontId="11" fillId="0" borderId="17" xfId="0" applyNumberFormat="1" applyFont="1" applyBorder="1" applyAlignment="1">
      <alignment horizontal="right" vertical="center" wrapText="1"/>
    </xf>
    <xf numFmtId="3" fontId="11" fillId="0" borderId="18" xfId="0" applyNumberFormat="1" applyFont="1" applyBorder="1" applyAlignment="1">
      <alignment horizontal="right" vertical="center" wrapText="1"/>
    </xf>
    <xf numFmtId="4" fontId="5" fillId="8" borderId="16" xfId="0" applyNumberFormat="1" applyFont="1" applyFill="1" applyBorder="1" applyAlignment="1">
      <alignment horizontal="right" vertical="center" wrapText="1"/>
    </xf>
    <xf numFmtId="4" fontId="5" fillId="8" borderId="15" xfId="0" applyNumberFormat="1" applyFont="1" applyFill="1" applyBorder="1" applyAlignment="1">
      <alignment horizontal="right" vertical="center" wrapText="1"/>
    </xf>
    <xf numFmtId="3" fontId="5" fillId="0" borderId="16" xfId="0" applyNumberFormat="1" applyFont="1" applyBorder="1" applyAlignment="1">
      <alignment horizontal="right" vertical="center" wrapText="1"/>
    </xf>
    <xf numFmtId="4" fontId="5" fillId="3" borderId="16" xfId="0" applyNumberFormat="1" applyFont="1" applyFill="1" applyBorder="1" applyAlignment="1">
      <alignment horizontal="right" vertical="center" wrapText="1"/>
    </xf>
    <xf numFmtId="4" fontId="5" fillId="3" borderId="15" xfId="0" applyNumberFormat="1" applyFont="1" applyFill="1" applyBorder="1" applyAlignment="1">
      <alignment horizontal="right" vertical="center" wrapText="1"/>
    </xf>
    <xf numFmtId="0" fontId="5" fillId="0" borderId="16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0" fillId="0" borderId="5" xfId="0" applyFont="1" applyBorder="1" applyAlignment="1">
      <alignment wrapText="1"/>
    </xf>
    <xf numFmtId="43" fontId="1" fillId="0" borderId="2" xfId="1" applyFont="1" applyBorder="1" applyAlignment="1">
      <alignment vertical="center"/>
    </xf>
    <xf numFmtId="9" fontId="0" fillId="0" borderId="2" xfId="3" applyFont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17" fontId="21" fillId="14" borderId="0" xfId="1" applyNumberFormat="1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577485</xdr:colOff>
      <xdr:row>0</xdr:row>
      <xdr:rowOff>17318</xdr:rowOff>
    </xdr:from>
    <xdr:to>
      <xdr:col>2</xdr:col>
      <xdr:colOff>306184</xdr:colOff>
      <xdr:row>0</xdr:row>
      <xdr:rowOff>809980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5028258" y="17318"/>
          <a:ext cx="672540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27"/>
  <sheetViews>
    <sheetView tabSelected="1" topLeftCell="A16" zoomScale="110" zoomScaleNormal="110" workbookViewId="0">
      <selection activeCell="G9" sqref="G9"/>
    </sheetView>
  </sheetViews>
  <sheetFormatPr baseColWidth="10" defaultRowHeight="15" x14ac:dyDescent="0.25"/>
  <cols>
    <col min="1" max="1" width="66.7109375" style="98" customWidth="1"/>
    <col min="2" max="2" width="14.140625" style="100" bestFit="1" customWidth="1"/>
    <col min="3" max="3" width="11.42578125" style="99"/>
    <col min="4" max="4" width="14.28515625" style="97" bestFit="1" customWidth="1"/>
    <col min="5" max="16384" width="11.42578125" style="98"/>
  </cols>
  <sheetData>
    <row r="1" spans="1:5" ht="66.75" customHeight="1" x14ac:dyDescent="0.25">
      <c r="A1" s="2" t="s">
        <v>25</v>
      </c>
      <c r="B1" s="11"/>
      <c r="C1" s="2"/>
    </row>
    <row r="2" spans="1:5" ht="20.25" x14ac:dyDescent="0.25">
      <c r="A2" s="160" t="s">
        <v>26</v>
      </c>
      <c r="B2" s="161">
        <v>45627</v>
      </c>
      <c r="C2" s="162" t="s">
        <v>310</v>
      </c>
    </row>
    <row r="3" spans="1:5" x14ac:dyDescent="0.25">
      <c r="A3" s="98" t="s">
        <v>27</v>
      </c>
      <c r="B3" s="100">
        <f>+'Ventas Dic''24'!H19</f>
        <v>34207000</v>
      </c>
      <c r="C3" s="101">
        <v>1</v>
      </c>
    </row>
    <row r="4" spans="1:5" x14ac:dyDescent="0.25">
      <c r="A4" s="98" t="s">
        <v>288</v>
      </c>
      <c r="B4" s="158">
        <f>+'Ventas Dic''24'!H21</f>
        <v>3915650</v>
      </c>
      <c r="C4" s="159">
        <f>(B4*C3)/B3</f>
        <v>0.11446926067763907</v>
      </c>
    </row>
    <row r="5" spans="1:5" x14ac:dyDescent="0.25">
      <c r="A5" s="104" t="s">
        <v>28</v>
      </c>
      <c r="B5" s="102">
        <f>B3-B4</f>
        <v>30291350</v>
      </c>
      <c r="C5" s="101">
        <v>1</v>
      </c>
    </row>
    <row r="6" spans="1:5" x14ac:dyDescent="0.25">
      <c r="A6" s="105" t="s">
        <v>29</v>
      </c>
      <c r="B6" s="100">
        <f>+'Ventas Dic''24'!V19</f>
        <v>11188068</v>
      </c>
      <c r="C6" s="103">
        <v>0.33</v>
      </c>
    </row>
    <row r="7" spans="1:5" x14ac:dyDescent="0.25">
      <c r="A7" s="105" t="s">
        <v>30</v>
      </c>
      <c r="B7" s="102">
        <f>B5-B6</f>
        <v>19103282</v>
      </c>
      <c r="C7" s="103">
        <f>(B7*C5)/B5</f>
        <v>0.63065139057849851</v>
      </c>
    </row>
    <row r="10" spans="1:5" s="111" customFormat="1" x14ac:dyDescent="0.25">
      <c r="A10" s="106" t="s">
        <v>306</v>
      </c>
      <c r="B10" s="120">
        <f>SUM(B11:B16)</f>
        <v>5295165.07</v>
      </c>
      <c r="C10" s="108">
        <f>(B10*C5)/B5</f>
        <v>0.17480782698691211</v>
      </c>
      <c r="D10" s="109"/>
      <c r="E10" s="110"/>
    </row>
    <row r="11" spans="1:5" x14ac:dyDescent="0.25">
      <c r="A11" s="112" t="s">
        <v>18</v>
      </c>
      <c r="B11" s="113">
        <f>+'Gastos Galicia'!C6</f>
        <v>184592.49</v>
      </c>
      <c r="C11" s="103">
        <f>(B11*$C$5)/$B$5</f>
        <v>6.0939010641651824E-3</v>
      </c>
    </row>
    <row r="12" spans="1:5" x14ac:dyDescent="0.25">
      <c r="A12" s="112" t="s">
        <v>305</v>
      </c>
      <c r="B12" s="113">
        <f>'Gastos Efectivo'!C6</f>
        <v>1915000</v>
      </c>
      <c r="C12" s="103">
        <f>(B12*$C$5)/$B$5</f>
        <v>6.321936790535912E-2</v>
      </c>
    </row>
    <row r="13" spans="1:5" x14ac:dyDescent="0.25">
      <c r="A13" s="112" t="s">
        <v>248</v>
      </c>
      <c r="B13" s="113">
        <f>+'Gastos Efectivo'!C4</f>
        <v>1350000</v>
      </c>
      <c r="C13" s="103">
        <f t="shared" ref="C13:C16" si="0">(B13*$C$5)/$B$5</f>
        <v>4.456717841892157E-2</v>
      </c>
    </row>
    <row r="14" spans="1:5" x14ac:dyDescent="0.25">
      <c r="A14" s="112" t="s">
        <v>247</v>
      </c>
      <c r="B14" s="113">
        <f>+'Gastos Galicia'!C11</f>
        <v>729474.42</v>
      </c>
      <c r="C14" s="103">
        <f>(B14*$C$5)/$B$5</f>
        <v>2.4081938243095801E-2</v>
      </c>
    </row>
    <row r="15" spans="1:5" x14ac:dyDescent="0.25">
      <c r="A15" s="112" t="s">
        <v>264</v>
      </c>
      <c r="B15" s="113">
        <f>+'Gastos Galicia'!C14</f>
        <v>329843.04000000004</v>
      </c>
      <c r="C15" s="103">
        <f t="shared" si="0"/>
        <v>1.0889017491792212E-2</v>
      </c>
    </row>
    <row r="16" spans="1:5" x14ac:dyDescent="0.25">
      <c r="A16" s="112" t="s">
        <v>246</v>
      </c>
      <c r="B16" s="113">
        <f>+'Gastos Galicia'!C113</f>
        <v>786255.12000000023</v>
      </c>
      <c r="C16" s="103">
        <f t="shared" si="0"/>
        <v>2.5956423863578222E-2</v>
      </c>
    </row>
    <row r="18" spans="1:3" x14ac:dyDescent="0.25">
      <c r="A18" s="106" t="s">
        <v>307</v>
      </c>
      <c r="B18" s="120">
        <f>SUM(B19:B20)</f>
        <v>5501239.29</v>
      </c>
      <c r="C18" s="108">
        <f>(B18*C15)/B15</f>
        <v>0.18161089849082329</v>
      </c>
    </row>
    <row r="19" spans="1:3" x14ac:dyDescent="0.25">
      <c r="A19" s="112" t="s">
        <v>245</v>
      </c>
      <c r="B19" s="113">
        <f>+'Gastos Galicia'!C120+'Gastos Efectivo'!C14</f>
        <v>2057073.3399999999</v>
      </c>
      <c r="C19" s="103">
        <f>(B19*$C$5)/$B$5</f>
        <v>6.7909595973768083E-2</v>
      </c>
    </row>
    <row r="20" spans="1:3" x14ac:dyDescent="0.25">
      <c r="A20" s="112" t="s">
        <v>244</v>
      </c>
      <c r="B20" s="113">
        <f>+'Gastos Galicia'!C128+'Gastos Efectivo'!C20</f>
        <v>3444165.95</v>
      </c>
      <c r="C20" s="103">
        <f>(B20*$C$5)/$B$5</f>
        <v>0.11370130251705521</v>
      </c>
    </row>
    <row r="21" spans="1:3" x14ac:dyDescent="0.25">
      <c r="A21" s="112"/>
      <c r="C21" s="103"/>
    </row>
    <row r="22" spans="1:3" x14ac:dyDescent="0.25">
      <c r="A22" s="106" t="s">
        <v>309</v>
      </c>
      <c r="B22" s="107">
        <f>+B10+B18</f>
        <v>10796404.359999999</v>
      </c>
      <c r="C22" s="103">
        <f t="shared" ref="C21:C22" si="1">(B22*$C$5)/$B$5</f>
        <v>0.3564187254777354</v>
      </c>
    </row>
    <row r="23" spans="1:3" x14ac:dyDescent="0.25">
      <c r="A23" s="112"/>
      <c r="C23" s="103"/>
    </row>
    <row r="24" spans="1:3" x14ac:dyDescent="0.25">
      <c r="A24" s="114" t="s">
        <v>81</v>
      </c>
      <c r="B24" s="115">
        <f>B7-B10-B18</f>
        <v>8306877.6399999997</v>
      </c>
      <c r="C24" s="116">
        <f>(B24*C5)/B5</f>
        <v>0.27423266510076305</v>
      </c>
    </row>
    <row r="27" spans="1:3" x14ac:dyDescent="0.25">
      <c r="A27" s="117" t="s">
        <v>300</v>
      </c>
      <c r="B27" s="118">
        <f>+'Gastos Galicia'!C135</f>
        <v>5327784</v>
      </c>
      <c r="C27" s="119"/>
    </row>
  </sheetData>
  <sortState xmlns:xlrd2="http://schemas.microsoft.com/office/spreadsheetml/2017/richdata2" ref="A11:A17">
    <sortCondition ref="A11:A17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:C16 C18:C2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C10:C16 C18:C23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A81B-9448-3444-9158-BA9D7E0411BD}">
  <dimension ref="A1:E145"/>
  <sheetViews>
    <sheetView topLeftCell="A125" zoomScaleNormal="100" workbookViewId="0">
      <selection activeCell="A142" sqref="A142:XFD144"/>
    </sheetView>
  </sheetViews>
  <sheetFormatPr baseColWidth="10" defaultColWidth="11.42578125" defaultRowHeight="13.5" x14ac:dyDescent="0.25"/>
  <cols>
    <col min="1" max="1" width="11.28515625" style="6" bestFit="1" customWidth="1"/>
    <col min="2" max="2" width="78.85546875" style="6" customWidth="1"/>
    <col min="3" max="3" width="16.7109375" style="6" customWidth="1"/>
    <col min="4" max="4" width="21.85546875" style="6" customWidth="1"/>
    <col min="5" max="5" width="25.85546875" style="6" customWidth="1"/>
    <col min="6" max="16384" width="11.42578125" style="6"/>
  </cols>
  <sheetData>
    <row r="1" spans="1:5" ht="15" thickTop="1" thickBot="1" x14ac:dyDescent="0.3">
      <c r="A1" s="12" t="s">
        <v>249</v>
      </c>
      <c r="B1" s="13" t="s">
        <v>250</v>
      </c>
      <c r="C1" s="13" t="s">
        <v>251</v>
      </c>
      <c r="D1" s="13" t="s">
        <v>252</v>
      </c>
      <c r="E1" s="13" t="s">
        <v>253</v>
      </c>
    </row>
    <row r="2" spans="1:5" ht="15" thickTop="1" thickBot="1" x14ac:dyDescent="0.3">
      <c r="A2" s="15">
        <v>45631</v>
      </c>
      <c r="B2" s="16" t="s">
        <v>128</v>
      </c>
      <c r="C2" s="14">
        <v>5715</v>
      </c>
      <c r="D2" s="16" t="s">
        <v>265</v>
      </c>
      <c r="E2" s="16" t="s">
        <v>256</v>
      </c>
    </row>
    <row r="3" spans="1:5" ht="14.25" thickBot="1" x14ac:dyDescent="0.3">
      <c r="A3" s="15">
        <v>45643</v>
      </c>
      <c r="B3" s="16" t="s">
        <v>136</v>
      </c>
      <c r="C3" s="14">
        <v>58963.25</v>
      </c>
      <c r="D3" s="16" t="s">
        <v>265</v>
      </c>
      <c r="E3" s="16" t="s">
        <v>168</v>
      </c>
    </row>
    <row r="4" spans="1:5" ht="14.25" thickBot="1" x14ac:dyDescent="0.3">
      <c r="A4" s="15">
        <v>45652</v>
      </c>
      <c r="B4" s="16" t="s">
        <v>136</v>
      </c>
      <c r="C4" s="14">
        <v>69614.240000000005</v>
      </c>
      <c r="D4" s="16" t="s">
        <v>265</v>
      </c>
      <c r="E4" s="16" t="s">
        <v>168</v>
      </c>
    </row>
    <row r="5" spans="1:5" ht="14.25" thickBot="1" x14ac:dyDescent="0.3">
      <c r="A5" s="15">
        <v>46021</v>
      </c>
      <c r="B5" s="16" t="s">
        <v>152</v>
      </c>
      <c r="C5" s="14">
        <v>50300</v>
      </c>
      <c r="D5" s="16" t="s">
        <v>265</v>
      </c>
      <c r="E5" s="16" t="s">
        <v>256</v>
      </c>
    </row>
    <row r="6" spans="1:5" ht="15.75" thickBot="1" x14ac:dyDescent="0.3">
      <c r="A6" s="86"/>
      <c r="B6" s="82" t="s">
        <v>295</v>
      </c>
      <c r="C6" s="83">
        <f>SUM(C2:C5)</f>
        <v>184592.49</v>
      </c>
      <c r="D6" s="82"/>
      <c r="E6" s="82"/>
    </row>
    <row r="7" spans="1:5" ht="14.25" thickBot="1" x14ac:dyDescent="0.3">
      <c r="A7" s="15">
        <v>45631</v>
      </c>
      <c r="B7" s="16" t="s">
        <v>130</v>
      </c>
      <c r="C7" s="14">
        <v>358970</v>
      </c>
      <c r="D7" s="16" t="s">
        <v>260</v>
      </c>
      <c r="E7" s="16" t="s">
        <v>162</v>
      </c>
    </row>
    <row r="8" spans="1:5" ht="14.25" thickBot="1" x14ac:dyDescent="0.3">
      <c r="A8" s="15">
        <v>45643</v>
      </c>
      <c r="B8" s="16" t="s">
        <v>137</v>
      </c>
      <c r="C8" s="14">
        <v>181500</v>
      </c>
      <c r="D8" s="16" t="s">
        <v>260</v>
      </c>
      <c r="E8" s="16" t="s">
        <v>261</v>
      </c>
    </row>
    <row r="9" spans="1:5" ht="14.25" thickBot="1" x14ac:dyDescent="0.3">
      <c r="A9" s="15">
        <v>45652</v>
      </c>
      <c r="B9" s="16" t="s">
        <v>146</v>
      </c>
      <c r="C9" s="14">
        <v>63404</v>
      </c>
      <c r="D9" s="16" t="s">
        <v>260</v>
      </c>
      <c r="E9" s="16" t="s">
        <v>262</v>
      </c>
    </row>
    <row r="10" spans="1:5" ht="14.25" thickBot="1" x14ac:dyDescent="0.3">
      <c r="A10" s="15">
        <v>45652</v>
      </c>
      <c r="B10" s="16" t="s">
        <v>147</v>
      </c>
      <c r="C10" s="14">
        <v>125600.42</v>
      </c>
      <c r="D10" s="16" t="s">
        <v>260</v>
      </c>
      <c r="E10" s="16" t="s">
        <v>263</v>
      </c>
    </row>
    <row r="11" spans="1:5" ht="15.75" thickBot="1" x14ac:dyDescent="0.3">
      <c r="A11" s="86"/>
      <c r="B11" s="82" t="s">
        <v>296</v>
      </c>
      <c r="C11" s="83">
        <f>SUM(C7:C10)</f>
        <v>729474.42</v>
      </c>
      <c r="D11" s="82"/>
      <c r="E11" s="82"/>
    </row>
    <row r="12" spans="1:5" ht="14.25" thickBot="1" x14ac:dyDescent="0.3">
      <c r="A12" s="15">
        <v>45643</v>
      </c>
      <c r="B12" s="16" t="s">
        <v>138</v>
      </c>
      <c r="C12" s="14">
        <v>209843.04</v>
      </c>
      <c r="D12" s="16" t="s">
        <v>266</v>
      </c>
      <c r="E12" s="16" t="s">
        <v>169</v>
      </c>
    </row>
    <row r="13" spans="1:5" ht="14.25" thickBot="1" x14ac:dyDescent="0.3">
      <c r="A13" s="15">
        <v>46021</v>
      </c>
      <c r="B13" s="16" t="s">
        <v>151</v>
      </c>
      <c r="C13" s="14">
        <v>120000</v>
      </c>
      <c r="D13" s="16" t="s">
        <v>266</v>
      </c>
      <c r="E13" s="16" t="s">
        <v>169</v>
      </c>
    </row>
    <row r="14" spans="1:5" ht="15.75" thickBot="1" x14ac:dyDescent="0.3">
      <c r="A14" s="86"/>
      <c r="B14" s="82" t="s">
        <v>297</v>
      </c>
      <c r="C14" s="83">
        <f>SUM(C12:C13)</f>
        <v>329843.04000000004</v>
      </c>
      <c r="D14" s="82"/>
      <c r="E14" s="82"/>
    </row>
    <row r="15" spans="1:5" ht="14.25" thickBot="1" x14ac:dyDescent="0.3">
      <c r="A15" s="15">
        <v>45628</v>
      </c>
      <c r="B15" s="16" t="s">
        <v>125</v>
      </c>
      <c r="C15" s="14">
        <v>5.64</v>
      </c>
      <c r="D15" s="16" t="s">
        <v>157</v>
      </c>
      <c r="E15" s="16" t="s">
        <v>158</v>
      </c>
    </row>
    <row r="16" spans="1:5" ht="14.25" thickBot="1" x14ac:dyDescent="0.3">
      <c r="A16" s="15">
        <v>45628</v>
      </c>
      <c r="B16" s="16" t="s">
        <v>125</v>
      </c>
      <c r="C16" s="14">
        <v>9.0500000000000007</v>
      </c>
      <c r="D16" s="16" t="s">
        <v>157</v>
      </c>
      <c r="E16" s="16" t="s">
        <v>158</v>
      </c>
    </row>
    <row r="17" spans="1:5" ht="14.25" thickBot="1" x14ac:dyDescent="0.3">
      <c r="A17" s="15">
        <v>45628</v>
      </c>
      <c r="B17" s="16" t="s">
        <v>125</v>
      </c>
      <c r="C17" s="14">
        <v>9.0500000000000007</v>
      </c>
      <c r="D17" s="16" t="s">
        <v>157</v>
      </c>
      <c r="E17" s="16" t="s">
        <v>158</v>
      </c>
    </row>
    <row r="18" spans="1:5" ht="14.25" thickBot="1" x14ac:dyDescent="0.3">
      <c r="A18" s="15">
        <v>45628</v>
      </c>
      <c r="B18" s="16" t="s">
        <v>125</v>
      </c>
      <c r="C18" s="14">
        <v>39.5</v>
      </c>
      <c r="D18" s="16" t="s">
        <v>157</v>
      </c>
      <c r="E18" s="16" t="s">
        <v>158</v>
      </c>
    </row>
    <row r="19" spans="1:5" ht="14.25" thickBot="1" x14ac:dyDescent="0.3">
      <c r="A19" s="15">
        <v>45628</v>
      </c>
      <c r="B19" s="16" t="s">
        <v>125</v>
      </c>
      <c r="C19" s="14">
        <v>63.38</v>
      </c>
      <c r="D19" s="16" t="s">
        <v>157</v>
      </c>
      <c r="E19" s="16" t="s">
        <v>158</v>
      </c>
    </row>
    <row r="20" spans="1:5" ht="14.25" thickBot="1" x14ac:dyDescent="0.3">
      <c r="A20" s="15">
        <v>45628</v>
      </c>
      <c r="B20" s="16" t="s">
        <v>125</v>
      </c>
      <c r="C20" s="14">
        <v>188.11</v>
      </c>
      <c r="D20" s="16" t="s">
        <v>157</v>
      </c>
      <c r="E20" s="16" t="s">
        <v>158</v>
      </c>
    </row>
    <row r="21" spans="1:5" ht="14.25" thickBot="1" x14ac:dyDescent="0.3">
      <c r="A21" s="15">
        <v>45628</v>
      </c>
      <c r="B21" s="16" t="s">
        <v>125</v>
      </c>
      <c r="C21" s="14">
        <v>301.8</v>
      </c>
      <c r="D21" s="16" t="s">
        <v>157</v>
      </c>
      <c r="E21" s="16" t="s">
        <v>158</v>
      </c>
    </row>
    <row r="22" spans="1:5" ht="14.25" thickBot="1" x14ac:dyDescent="0.3">
      <c r="A22" s="15">
        <v>45628</v>
      </c>
      <c r="B22" s="16" t="s">
        <v>125</v>
      </c>
      <c r="C22" s="14">
        <v>1888.92</v>
      </c>
      <c r="D22" s="16" t="s">
        <v>157</v>
      </c>
      <c r="E22" s="16" t="s">
        <v>158</v>
      </c>
    </row>
    <row r="23" spans="1:5" ht="14.25" thickBot="1" x14ac:dyDescent="0.3">
      <c r="A23" s="15">
        <v>45628</v>
      </c>
      <c r="B23" s="16" t="s">
        <v>125</v>
      </c>
      <c r="C23" s="14">
        <v>15470.09</v>
      </c>
      <c r="D23" s="16" t="s">
        <v>157</v>
      </c>
      <c r="E23" s="16" t="s">
        <v>158</v>
      </c>
    </row>
    <row r="24" spans="1:5" ht="14.25" thickBot="1" x14ac:dyDescent="0.3">
      <c r="A24" s="15">
        <v>45629</v>
      </c>
      <c r="B24" s="16" t="s">
        <v>125</v>
      </c>
      <c r="C24" s="14">
        <v>454.38</v>
      </c>
      <c r="D24" s="16" t="s">
        <v>157</v>
      </c>
      <c r="E24" s="16" t="s">
        <v>158</v>
      </c>
    </row>
    <row r="25" spans="1:5" ht="14.25" thickBot="1" x14ac:dyDescent="0.3">
      <c r="A25" s="15">
        <v>45629</v>
      </c>
      <c r="B25" s="16" t="s">
        <v>125</v>
      </c>
      <c r="C25" s="14">
        <v>2926.42</v>
      </c>
      <c r="D25" s="16" t="s">
        <v>157</v>
      </c>
      <c r="E25" s="16" t="s">
        <v>158</v>
      </c>
    </row>
    <row r="26" spans="1:5" ht="14.25" thickBot="1" x14ac:dyDescent="0.3">
      <c r="A26" s="15">
        <v>45629</v>
      </c>
      <c r="B26" s="16" t="s">
        <v>125</v>
      </c>
      <c r="C26" s="14">
        <v>2926.42</v>
      </c>
      <c r="D26" s="16" t="s">
        <v>157</v>
      </c>
      <c r="E26" s="16" t="s">
        <v>158</v>
      </c>
    </row>
    <row r="27" spans="1:5" ht="14.25" thickBot="1" x14ac:dyDescent="0.3">
      <c r="A27" s="15">
        <v>45629</v>
      </c>
      <c r="B27" s="16" t="s">
        <v>125</v>
      </c>
      <c r="C27" s="14">
        <v>6149.22</v>
      </c>
      <c r="D27" s="16" t="s">
        <v>157</v>
      </c>
      <c r="E27" s="16" t="s">
        <v>158</v>
      </c>
    </row>
    <row r="28" spans="1:5" ht="14.25" thickBot="1" x14ac:dyDescent="0.3">
      <c r="A28" s="15">
        <v>45629</v>
      </c>
      <c r="B28" s="16" t="s">
        <v>126</v>
      </c>
      <c r="C28" s="14">
        <v>11273.57</v>
      </c>
      <c r="D28" s="16" t="s">
        <v>157</v>
      </c>
      <c r="E28" s="16" t="s">
        <v>159</v>
      </c>
    </row>
    <row r="29" spans="1:5" ht="14.25" thickBot="1" x14ac:dyDescent="0.3">
      <c r="A29" s="15">
        <v>45630</v>
      </c>
      <c r="B29" s="16" t="s">
        <v>125</v>
      </c>
      <c r="C29" s="14">
        <v>67.64</v>
      </c>
      <c r="D29" s="16" t="s">
        <v>157</v>
      </c>
      <c r="E29" s="16" t="s">
        <v>158</v>
      </c>
    </row>
    <row r="30" spans="1:5" ht="14.25" thickBot="1" x14ac:dyDescent="0.3">
      <c r="A30" s="15">
        <v>45630</v>
      </c>
      <c r="B30" s="16" t="s">
        <v>125</v>
      </c>
      <c r="C30" s="14">
        <v>3764.88</v>
      </c>
      <c r="D30" s="16" t="s">
        <v>157</v>
      </c>
      <c r="E30" s="16" t="s">
        <v>158</v>
      </c>
    </row>
    <row r="31" spans="1:5" ht="14.25" thickBot="1" x14ac:dyDescent="0.3">
      <c r="A31" s="15">
        <v>45631</v>
      </c>
      <c r="B31" s="16" t="s">
        <v>125</v>
      </c>
      <c r="C31" s="14">
        <v>146.59</v>
      </c>
      <c r="D31" s="16" t="s">
        <v>157</v>
      </c>
      <c r="E31" s="16" t="s">
        <v>158</v>
      </c>
    </row>
    <row r="32" spans="1:5" ht="14.25" thickBot="1" x14ac:dyDescent="0.3">
      <c r="A32" s="15">
        <v>45632</v>
      </c>
      <c r="B32" s="16" t="s">
        <v>125</v>
      </c>
      <c r="C32" s="14">
        <v>34.29</v>
      </c>
      <c r="D32" s="16" t="s">
        <v>157</v>
      </c>
      <c r="E32" s="16" t="s">
        <v>158</v>
      </c>
    </row>
    <row r="33" spans="1:5" ht="14.25" thickBot="1" x14ac:dyDescent="0.3">
      <c r="A33" s="15">
        <v>45632</v>
      </c>
      <c r="B33" s="16" t="s">
        <v>125</v>
      </c>
      <c r="C33" s="14">
        <v>1506.54</v>
      </c>
      <c r="D33" s="16" t="s">
        <v>157</v>
      </c>
      <c r="E33" s="16" t="s">
        <v>158</v>
      </c>
    </row>
    <row r="34" spans="1:5" ht="14.25" thickBot="1" x14ac:dyDescent="0.3">
      <c r="A34" s="15">
        <v>45632</v>
      </c>
      <c r="B34" s="16" t="s">
        <v>125</v>
      </c>
      <c r="C34" s="14">
        <v>2153.8200000000002</v>
      </c>
      <c r="D34" s="16" t="s">
        <v>157</v>
      </c>
      <c r="E34" s="16" t="s">
        <v>158</v>
      </c>
    </row>
    <row r="35" spans="1:5" ht="14.25" thickBot="1" x14ac:dyDescent="0.3">
      <c r="A35" s="15">
        <v>45632</v>
      </c>
      <c r="B35" s="16" t="s">
        <v>125</v>
      </c>
      <c r="C35" s="14">
        <v>3000</v>
      </c>
      <c r="D35" s="16" t="s">
        <v>157</v>
      </c>
      <c r="E35" s="16" t="s">
        <v>158</v>
      </c>
    </row>
    <row r="36" spans="1:5" ht="14.25" thickBot="1" x14ac:dyDescent="0.3">
      <c r="A36" s="15">
        <v>45632</v>
      </c>
      <c r="B36" s="16" t="s">
        <v>125</v>
      </c>
      <c r="C36" s="14">
        <v>3000</v>
      </c>
      <c r="D36" s="16" t="s">
        <v>157</v>
      </c>
      <c r="E36" s="16" t="s">
        <v>158</v>
      </c>
    </row>
    <row r="37" spans="1:5" ht="14.25" thickBot="1" x14ac:dyDescent="0.3">
      <c r="A37" s="15">
        <v>45632</v>
      </c>
      <c r="B37" s="16" t="s">
        <v>126</v>
      </c>
      <c r="C37" s="14">
        <v>5500</v>
      </c>
      <c r="D37" s="16" t="s">
        <v>157</v>
      </c>
      <c r="E37" s="16" t="s">
        <v>159</v>
      </c>
    </row>
    <row r="38" spans="1:5" ht="14.25" thickBot="1" x14ac:dyDescent="0.3">
      <c r="A38" s="15">
        <v>45632</v>
      </c>
      <c r="B38" s="16" t="s">
        <v>126</v>
      </c>
      <c r="C38" s="14">
        <v>5500</v>
      </c>
      <c r="D38" s="16" t="s">
        <v>157</v>
      </c>
      <c r="E38" s="16" t="s">
        <v>159</v>
      </c>
    </row>
    <row r="39" spans="1:5" ht="14.25" thickBot="1" x14ac:dyDescent="0.3">
      <c r="A39" s="15">
        <v>45635</v>
      </c>
      <c r="B39" s="16" t="s">
        <v>125</v>
      </c>
      <c r="C39" s="14">
        <v>33</v>
      </c>
      <c r="D39" s="16" t="s">
        <v>157</v>
      </c>
      <c r="E39" s="16" t="s">
        <v>158</v>
      </c>
    </row>
    <row r="40" spans="1:5" ht="14.25" thickBot="1" x14ac:dyDescent="0.3">
      <c r="A40" s="15">
        <v>45635</v>
      </c>
      <c r="B40" s="16" t="s">
        <v>125</v>
      </c>
      <c r="C40" s="14">
        <v>33</v>
      </c>
      <c r="D40" s="16" t="s">
        <v>157</v>
      </c>
      <c r="E40" s="16" t="s">
        <v>158</v>
      </c>
    </row>
    <row r="41" spans="1:5" ht="14.25" thickBot="1" x14ac:dyDescent="0.3">
      <c r="A41" s="15">
        <v>45635</v>
      </c>
      <c r="B41" s="16" t="s">
        <v>125</v>
      </c>
      <c r="C41" s="14">
        <v>3049.9</v>
      </c>
      <c r="D41" s="16" t="s">
        <v>157</v>
      </c>
      <c r="E41" s="16" t="s">
        <v>158</v>
      </c>
    </row>
    <row r="42" spans="1:5" ht="14.25" thickBot="1" x14ac:dyDescent="0.3">
      <c r="A42" s="15">
        <v>45635</v>
      </c>
      <c r="B42" s="16" t="s">
        <v>125</v>
      </c>
      <c r="C42" s="14">
        <v>5647.32</v>
      </c>
      <c r="D42" s="16" t="s">
        <v>157</v>
      </c>
      <c r="E42" s="16" t="s">
        <v>158</v>
      </c>
    </row>
    <row r="43" spans="1:5" ht="14.25" thickBot="1" x14ac:dyDescent="0.3">
      <c r="A43" s="15">
        <v>45636</v>
      </c>
      <c r="B43" s="16" t="s">
        <v>125</v>
      </c>
      <c r="C43" s="14">
        <v>3000</v>
      </c>
      <c r="D43" s="16" t="s">
        <v>157</v>
      </c>
      <c r="E43" s="16" t="s">
        <v>158</v>
      </c>
    </row>
    <row r="44" spans="1:5" ht="14.25" thickBot="1" x14ac:dyDescent="0.3">
      <c r="A44" s="15">
        <v>45636</v>
      </c>
      <c r="B44" s="16" t="s">
        <v>125</v>
      </c>
      <c r="C44" s="14">
        <v>4911.59</v>
      </c>
      <c r="D44" s="16" t="s">
        <v>157</v>
      </c>
      <c r="E44" s="16" t="s">
        <v>158</v>
      </c>
    </row>
    <row r="45" spans="1:5" ht="14.25" thickBot="1" x14ac:dyDescent="0.3">
      <c r="A45" s="15">
        <v>45636</v>
      </c>
      <c r="B45" s="16" t="s">
        <v>125</v>
      </c>
      <c r="C45" s="14">
        <v>5426.99</v>
      </c>
      <c r="D45" s="16" t="s">
        <v>157</v>
      </c>
      <c r="E45" s="16" t="s">
        <v>158</v>
      </c>
    </row>
    <row r="46" spans="1:5" ht="14.25" thickBot="1" x14ac:dyDescent="0.3">
      <c r="A46" s="15">
        <v>45636</v>
      </c>
      <c r="B46" s="16" t="s">
        <v>126</v>
      </c>
      <c r="C46" s="14">
        <v>5500</v>
      </c>
      <c r="D46" s="16" t="s">
        <v>157</v>
      </c>
      <c r="E46" s="16" t="s">
        <v>159</v>
      </c>
    </row>
    <row r="47" spans="1:5" ht="14.25" thickBot="1" x14ac:dyDescent="0.3">
      <c r="A47" s="15">
        <v>45636</v>
      </c>
      <c r="B47" s="16" t="s">
        <v>126</v>
      </c>
      <c r="C47" s="14">
        <v>9004.58</v>
      </c>
      <c r="D47" s="16" t="s">
        <v>157</v>
      </c>
      <c r="E47" s="16" t="s">
        <v>159</v>
      </c>
    </row>
    <row r="48" spans="1:5" ht="14.25" thickBot="1" x14ac:dyDescent="0.3">
      <c r="A48" s="15">
        <v>45636</v>
      </c>
      <c r="B48" s="16" t="s">
        <v>126</v>
      </c>
      <c r="C48" s="14">
        <v>9949.48</v>
      </c>
      <c r="D48" s="16" t="s">
        <v>157</v>
      </c>
      <c r="E48" s="16" t="s">
        <v>159</v>
      </c>
    </row>
    <row r="49" spans="1:5" ht="14.25" thickBot="1" x14ac:dyDescent="0.3">
      <c r="A49" s="15">
        <v>45636</v>
      </c>
      <c r="B49" s="16" t="s">
        <v>133</v>
      </c>
      <c r="C49" s="14">
        <v>34186.28</v>
      </c>
      <c r="D49" s="16" t="s">
        <v>157</v>
      </c>
      <c r="E49" s="16" t="s">
        <v>154</v>
      </c>
    </row>
    <row r="50" spans="1:5" ht="14.25" thickBot="1" x14ac:dyDescent="0.3">
      <c r="A50" s="15">
        <v>45636</v>
      </c>
      <c r="B50" s="16" t="s">
        <v>134</v>
      </c>
      <c r="C50" s="14">
        <v>64840.39</v>
      </c>
      <c r="D50" s="16" t="s">
        <v>157</v>
      </c>
      <c r="E50" s="16" t="s">
        <v>165</v>
      </c>
    </row>
    <row r="51" spans="1:5" ht="14.25" thickBot="1" x14ac:dyDescent="0.3">
      <c r="A51" s="15">
        <v>45637</v>
      </c>
      <c r="B51" s="16" t="s">
        <v>125</v>
      </c>
      <c r="C51" s="14">
        <v>33</v>
      </c>
      <c r="D51" s="16" t="s">
        <v>157</v>
      </c>
      <c r="E51" s="16" t="s">
        <v>158</v>
      </c>
    </row>
    <row r="52" spans="1:5" ht="14.25" thickBot="1" x14ac:dyDescent="0.3">
      <c r="A52" s="15">
        <v>45637</v>
      </c>
      <c r="B52" s="16" t="s">
        <v>125</v>
      </c>
      <c r="C52" s="14">
        <v>35.409999999999997</v>
      </c>
      <c r="D52" s="16" t="s">
        <v>157</v>
      </c>
      <c r="E52" s="16" t="s">
        <v>158</v>
      </c>
    </row>
    <row r="53" spans="1:5" ht="14.25" thickBot="1" x14ac:dyDescent="0.3">
      <c r="A53" s="15">
        <v>45637</v>
      </c>
      <c r="B53" s="16" t="s">
        <v>125</v>
      </c>
      <c r="C53" s="14">
        <v>52.62</v>
      </c>
      <c r="D53" s="16" t="s">
        <v>157</v>
      </c>
      <c r="E53" s="16" t="s">
        <v>158</v>
      </c>
    </row>
    <row r="54" spans="1:5" ht="14.25" thickBot="1" x14ac:dyDescent="0.3">
      <c r="A54" s="15">
        <v>45637</v>
      </c>
      <c r="B54" s="16" t="s">
        <v>125</v>
      </c>
      <c r="C54" s="14">
        <v>54.03</v>
      </c>
      <c r="D54" s="16" t="s">
        <v>157</v>
      </c>
      <c r="E54" s="16" t="s">
        <v>158</v>
      </c>
    </row>
    <row r="55" spans="1:5" ht="14.25" thickBot="1" x14ac:dyDescent="0.3">
      <c r="A55" s="15">
        <v>45637</v>
      </c>
      <c r="B55" s="16" t="s">
        <v>125</v>
      </c>
      <c r="C55" s="14">
        <v>59.7</v>
      </c>
      <c r="D55" s="16" t="s">
        <v>157</v>
      </c>
      <c r="E55" s="16" t="s">
        <v>158</v>
      </c>
    </row>
    <row r="56" spans="1:5" ht="14.25" thickBot="1" x14ac:dyDescent="0.3">
      <c r="A56" s="15">
        <v>45637</v>
      </c>
      <c r="B56" s="16" t="s">
        <v>125</v>
      </c>
      <c r="C56" s="14">
        <v>205.12</v>
      </c>
      <c r="D56" s="16" t="s">
        <v>157</v>
      </c>
      <c r="E56" s="16" t="s">
        <v>158</v>
      </c>
    </row>
    <row r="57" spans="1:5" ht="14.25" thickBot="1" x14ac:dyDescent="0.3">
      <c r="A57" s="15">
        <v>45637</v>
      </c>
      <c r="B57" s="16" t="s">
        <v>125</v>
      </c>
      <c r="C57" s="14">
        <v>389.04</v>
      </c>
      <c r="D57" s="16" t="s">
        <v>157</v>
      </c>
      <c r="E57" s="16" t="s">
        <v>158</v>
      </c>
    </row>
    <row r="58" spans="1:5" ht="14.25" thickBot="1" x14ac:dyDescent="0.3">
      <c r="A58" s="15">
        <v>45637</v>
      </c>
      <c r="B58" s="16" t="s">
        <v>125</v>
      </c>
      <c r="C58" s="14">
        <v>747.78</v>
      </c>
      <c r="D58" s="16" t="s">
        <v>157</v>
      </c>
      <c r="E58" s="16" t="s">
        <v>158</v>
      </c>
    </row>
    <row r="59" spans="1:5" ht="14.25" thickBot="1" x14ac:dyDescent="0.3">
      <c r="A59" s="15">
        <v>45638</v>
      </c>
      <c r="B59" s="16" t="s">
        <v>125</v>
      </c>
      <c r="C59" s="14">
        <v>544.15</v>
      </c>
      <c r="D59" s="16" t="s">
        <v>157</v>
      </c>
      <c r="E59" s="16" t="s">
        <v>158</v>
      </c>
    </row>
    <row r="60" spans="1:5" ht="14.25" thickBot="1" x14ac:dyDescent="0.3">
      <c r="A60" s="15">
        <v>45638</v>
      </c>
      <c r="B60" s="16" t="s">
        <v>125</v>
      </c>
      <c r="C60" s="14">
        <v>12000</v>
      </c>
      <c r="D60" s="16" t="s">
        <v>157</v>
      </c>
      <c r="E60" s="16" t="s">
        <v>158</v>
      </c>
    </row>
    <row r="61" spans="1:5" ht="14.25" thickBot="1" x14ac:dyDescent="0.3">
      <c r="A61" s="15">
        <v>45639</v>
      </c>
      <c r="B61" s="16" t="s">
        <v>126</v>
      </c>
      <c r="C61" s="14">
        <v>22000</v>
      </c>
      <c r="D61" s="16" t="s">
        <v>157</v>
      </c>
      <c r="E61" s="16" t="s">
        <v>159</v>
      </c>
    </row>
    <row r="62" spans="1:5" ht="14.25" thickBot="1" x14ac:dyDescent="0.3">
      <c r="A62" s="15">
        <v>45642</v>
      </c>
      <c r="B62" s="16" t="s">
        <v>125</v>
      </c>
      <c r="C62" s="14">
        <v>132</v>
      </c>
      <c r="D62" s="16" t="s">
        <v>157</v>
      </c>
      <c r="E62" s="16" t="s">
        <v>158</v>
      </c>
    </row>
    <row r="63" spans="1:5" ht="14.25" thickBot="1" x14ac:dyDescent="0.3">
      <c r="A63" s="15">
        <v>45643</v>
      </c>
      <c r="B63" s="16" t="s">
        <v>125</v>
      </c>
      <c r="C63" s="14">
        <v>13956.45</v>
      </c>
      <c r="D63" s="16" t="s">
        <v>157</v>
      </c>
      <c r="E63" s="16" t="s">
        <v>158</v>
      </c>
    </row>
    <row r="64" spans="1:5" ht="14.25" thickBot="1" x14ac:dyDescent="0.3">
      <c r="A64" s="15">
        <v>45643</v>
      </c>
      <c r="B64" s="16" t="s">
        <v>126</v>
      </c>
      <c r="C64" s="14">
        <v>25586.83</v>
      </c>
      <c r="D64" s="16" t="s">
        <v>157</v>
      </c>
      <c r="E64" s="16" t="s">
        <v>159</v>
      </c>
    </row>
    <row r="65" spans="1:5" ht="14.25" thickBot="1" x14ac:dyDescent="0.3">
      <c r="A65" s="15">
        <v>45644</v>
      </c>
      <c r="B65" s="16" t="s">
        <v>125</v>
      </c>
      <c r="C65" s="14">
        <v>153.52000000000001</v>
      </c>
      <c r="D65" s="16" t="s">
        <v>157</v>
      </c>
      <c r="E65" s="16" t="s">
        <v>158</v>
      </c>
    </row>
    <row r="66" spans="1:5" ht="14.25" thickBot="1" x14ac:dyDescent="0.3">
      <c r="A66" s="15">
        <v>45644</v>
      </c>
      <c r="B66" s="16" t="s">
        <v>125</v>
      </c>
      <c r="C66" s="14">
        <v>353.78</v>
      </c>
      <c r="D66" s="16" t="s">
        <v>157</v>
      </c>
      <c r="E66" s="16" t="s">
        <v>158</v>
      </c>
    </row>
    <row r="67" spans="1:5" ht="14.25" thickBot="1" x14ac:dyDescent="0.3">
      <c r="A67" s="15">
        <v>45644</v>
      </c>
      <c r="B67" s="16" t="s">
        <v>125</v>
      </c>
      <c r="C67" s="14">
        <v>1089</v>
      </c>
      <c r="D67" s="16" t="s">
        <v>157</v>
      </c>
      <c r="E67" s="16" t="s">
        <v>158</v>
      </c>
    </row>
    <row r="68" spans="1:5" ht="14.25" thickBot="1" x14ac:dyDescent="0.3">
      <c r="A68" s="15">
        <v>45644</v>
      </c>
      <c r="B68" s="16" t="s">
        <v>125</v>
      </c>
      <c r="C68" s="14">
        <v>1259.06</v>
      </c>
      <c r="D68" s="16" t="s">
        <v>157</v>
      </c>
      <c r="E68" s="16" t="s">
        <v>158</v>
      </c>
    </row>
    <row r="69" spans="1:5" ht="14.25" thickBot="1" x14ac:dyDescent="0.3">
      <c r="A69" s="15">
        <v>45644</v>
      </c>
      <c r="B69" s="16" t="s">
        <v>125</v>
      </c>
      <c r="C69" s="14">
        <v>4917.47</v>
      </c>
      <c r="D69" s="16" t="s">
        <v>157</v>
      </c>
      <c r="E69" s="16" t="s">
        <v>158</v>
      </c>
    </row>
    <row r="70" spans="1:5" ht="14.25" thickBot="1" x14ac:dyDescent="0.3">
      <c r="A70" s="15">
        <v>45644</v>
      </c>
      <c r="B70" s="16" t="s">
        <v>126</v>
      </c>
      <c r="C70" s="14">
        <v>9015.36</v>
      </c>
      <c r="D70" s="16" t="s">
        <v>157</v>
      </c>
      <c r="E70" s="16" t="s">
        <v>159</v>
      </c>
    </row>
    <row r="71" spans="1:5" ht="14.25" thickBot="1" x14ac:dyDescent="0.3">
      <c r="A71" s="15">
        <v>45645</v>
      </c>
      <c r="B71" s="16" t="s">
        <v>125</v>
      </c>
      <c r="C71" s="14">
        <v>54.09</v>
      </c>
      <c r="D71" s="16" t="s">
        <v>157</v>
      </c>
      <c r="E71" s="16" t="s">
        <v>158</v>
      </c>
    </row>
    <row r="72" spans="1:5" ht="14.25" thickBot="1" x14ac:dyDescent="0.3">
      <c r="A72" s="15">
        <v>45645</v>
      </c>
      <c r="B72" s="16" t="s">
        <v>125</v>
      </c>
      <c r="C72" s="14">
        <v>680.4</v>
      </c>
      <c r="D72" s="16" t="s">
        <v>157</v>
      </c>
      <c r="E72" s="16" t="s">
        <v>158</v>
      </c>
    </row>
    <row r="73" spans="1:5" ht="14.25" thickBot="1" x14ac:dyDescent="0.3">
      <c r="A73" s="15">
        <v>45645</v>
      </c>
      <c r="B73" s="16" t="s">
        <v>125</v>
      </c>
      <c r="C73" s="14">
        <v>767.9</v>
      </c>
      <c r="D73" s="16" t="s">
        <v>157</v>
      </c>
      <c r="E73" s="16" t="s">
        <v>158</v>
      </c>
    </row>
    <row r="74" spans="1:5" ht="14.25" thickBot="1" x14ac:dyDescent="0.3">
      <c r="A74" s="15">
        <v>45645</v>
      </c>
      <c r="B74" s="16" t="s">
        <v>126</v>
      </c>
      <c r="C74" s="14">
        <v>1247.4000000000001</v>
      </c>
      <c r="D74" s="16" t="s">
        <v>157</v>
      </c>
      <c r="E74" s="16" t="s">
        <v>159</v>
      </c>
    </row>
    <row r="75" spans="1:5" ht="14.25" thickBot="1" x14ac:dyDescent="0.3">
      <c r="A75" s="15">
        <v>45645</v>
      </c>
      <c r="B75" s="16" t="s">
        <v>125</v>
      </c>
      <c r="C75" s="14">
        <v>1348.32</v>
      </c>
      <c r="D75" s="16" t="s">
        <v>157</v>
      </c>
      <c r="E75" s="16" t="s">
        <v>158</v>
      </c>
    </row>
    <row r="76" spans="1:5" ht="14.25" thickBot="1" x14ac:dyDescent="0.3">
      <c r="A76" s="15">
        <v>45646</v>
      </c>
      <c r="B76" s="16" t="s">
        <v>125</v>
      </c>
      <c r="C76" s="14">
        <v>7.48</v>
      </c>
      <c r="D76" s="16" t="s">
        <v>157</v>
      </c>
      <c r="E76" s="16" t="s">
        <v>158</v>
      </c>
    </row>
    <row r="77" spans="1:5" ht="14.25" thickBot="1" x14ac:dyDescent="0.3">
      <c r="A77" s="15">
        <v>45646</v>
      </c>
      <c r="B77" s="16" t="s">
        <v>141</v>
      </c>
      <c r="C77" s="14">
        <v>194615.07</v>
      </c>
      <c r="D77" s="16" t="s">
        <v>157</v>
      </c>
      <c r="E77" s="16" t="s">
        <v>154</v>
      </c>
    </row>
    <row r="78" spans="1:5" ht="14.25" thickBot="1" x14ac:dyDescent="0.3">
      <c r="A78" s="15">
        <v>45649</v>
      </c>
      <c r="B78" s="16" t="s">
        <v>125</v>
      </c>
      <c r="C78" s="14">
        <v>1167.69</v>
      </c>
      <c r="D78" s="16" t="s">
        <v>157</v>
      </c>
      <c r="E78" s="16" t="s">
        <v>158</v>
      </c>
    </row>
    <row r="79" spans="1:5" ht="14.25" thickBot="1" x14ac:dyDescent="0.3">
      <c r="A79" s="15">
        <v>45649</v>
      </c>
      <c r="B79" s="16" t="s">
        <v>125</v>
      </c>
      <c r="C79" s="14">
        <v>1320</v>
      </c>
      <c r="D79" s="16" t="s">
        <v>157</v>
      </c>
      <c r="E79" s="16" t="s">
        <v>158</v>
      </c>
    </row>
    <row r="80" spans="1:5" ht="14.25" thickBot="1" x14ac:dyDescent="0.3">
      <c r="A80" s="15">
        <v>45649</v>
      </c>
      <c r="B80" s="16" t="s">
        <v>125</v>
      </c>
      <c r="C80" s="14">
        <v>3000</v>
      </c>
      <c r="D80" s="16" t="s">
        <v>157</v>
      </c>
      <c r="E80" s="16" t="s">
        <v>158</v>
      </c>
    </row>
    <row r="81" spans="1:5" ht="14.25" thickBot="1" x14ac:dyDescent="0.3">
      <c r="A81" s="15">
        <v>45649</v>
      </c>
      <c r="B81" s="16" t="s">
        <v>125</v>
      </c>
      <c r="C81" s="14">
        <v>3000</v>
      </c>
      <c r="D81" s="16" t="s">
        <v>157</v>
      </c>
      <c r="E81" s="16" t="s">
        <v>158</v>
      </c>
    </row>
    <row r="82" spans="1:5" ht="14.25" thickBot="1" x14ac:dyDescent="0.3">
      <c r="A82" s="15">
        <v>45649</v>
      </c>
      <c r="B82" s="16" t="s">
        <v>126</v>
      </c>
      <c r="C82" s="14">
        <v>5500</v>
      </c>
      <c r="D82" s="16" t="s">
        <v>157</v>
      </c>
      <c r="E82" s="16" t="s">
        <v>159</v>
      </c>
    </row>
    <row r="83" spans="1:5" ht="14.25" thickBot="1" x14ac:dyDescent="0.3">
      <c r="A83" s="15">
        <v>45649</v>
      </c>
      <c r="B83" s="16" t="s">
        <v>126</v>
      </c>
      <c r="C83" s="14">
        <v>5500</v>
      </c>
      <c r="D83" s="16" t="s">
        <v>157</v>
      </c>
      <c r="E83" s="16" t="s">
        <v>159</v>
      </c>
    </row>
    <row r="84" spans="1:5" ht="14.25" thickBot="1" x14ac:dyDescent="0.3">
      <c r="A84" s="15">
        <v>45652</v>
      </c>
      <c r="B84" s="16" t="s">
        <v>125</v>
      </c>
      <c r="C84" s="14">
        <v>9133.34</v>
      </c>
      <c r="D84" s="16" t="s">
        <v>157</v>
      </c>
      <c r="E84" s="16" t="s">
        <v>158</v>
      </c>
    </row>
    <row r="85" spans="1:5" ht="14.25" thickBot="1" x14ac:dyDescent="0.3">
      <c r="A85" s="15">
        <v>45652</v>
      </c>
      <c r="B85" s="16" t="s">
        <v>125</v>
      </c>
      <c r="C85" s="14">
        <v>10209.42</v>
      </c>
      <c r="D85" s="16" t="s">
        <v>157</v>
      </c>
      <c r="E85" s="16" t="s">
        <v>158</v>
      </c>
    </row>
    <row r="86" spans="1:5" ht="14.25" thickBot="1" x14ac:dyDescent="0.3">
      <c r="A86" s="15">
        <v>45652</v>
      </c>
      <c r="B86" s="16" t="s">
        <v>125</v>
      </c>
      <c r="C86" s="14">
        <v>11416.68</v>
      </c>
      <c r="D86" s="16" t="s">
        <v>157</v>
      </c>
      <c r="E86" s="16" t="s">
        <v>158</v>
      </c>
    </row>
    <row r="87" spans="1:5" ht="14.25" thickBot="1" x14ac:dyDescent="0.3">
      <c r="A87" s="15">
        <v>45652</v>
      </c>
      <c r="B87" s="16" t="s">
        <v>125</v>
      </c>
      <c r="C87" s="14">
        <v>11416.68</v>
      </c>
      <c r="D87" s="16" t="s">
        <v>157</v>
      </c>
      <c r="E87" s="16" t="s">
        <v>158</v>
      </c>
    </row>
    <row r="88" spans="1:5" ht="14.25" thickBot="1" x14ac:dyDescent="0.3">
      <c r="A88" s="15">
        <v>45652</v>
      </c>
      <c r="B88" s="16" t="s">
        <v>125</v>
      </c>
      <c r="C88" s="14">
        <v>29467.61</v>
      </c>
      <c r="D88" s="16" t="s">
        <v>157</v>
      </c>
      <c r="E88" s="16" t="s">
        <v>158</v>
      </c>
    </row>
    <row r="89" spans="1:5" ht="14.25" thickBot="1" x14ac:dyDescent="0.3">
      <c r="A89" s="15">
        <v>45653</v>
      </c>
      <c r="B89" s="16" t="s">
        <v>125</v>
      </c>
      <c r="C89" s="14">
        <v>380.42</v>
      </c>
      <c r="D89" s="16" t="s">
        <v>157</v>
      </c>
      <c r="E89" s="16" t="s">
        <v>158</v>
      </c>
    </row>
    <row r="90" spans="1:5" ht="14.25" thickBot="1" x14ac:dyDescent="0.3">
      <c r="A90" s="15">
        <v>45653</v>
      </c>
      <c r="B90" s="16" t="s">
        <v>125</v>
      </c>
      <c r="C90" s="14">
        <v>417.69</v>
      </c>
      <c r="D90" s="16" t="s">
        <v>157</v>
      </c>
      <c r="E90" s="16" t="s">
        <v>158</v>
      </c>
    </row>
    <row r="91" spans="1:5" ht="14.25" thickBot="1" x14ac:dyDescent="0.3">
      <c r="A91" s="15">
        <v>45653</v>
      </c>
      <c r="B91" s="16" t="s">
        <v>125</v>
      </c>
      <c r="C91" s="14">
        <v>753.6</v>
      </c>
      <c r="D91" s="16" t="s">
        <v>157</v>
      </c>
      <c r="E91" s="16" t="s">
        <v>158</v>
      </c>
    </row>
    <row r="92" spans="1:5" ht="14.25" thickBot="1" x14ac:dyDescent="0.3">
      <c r="A92" s="15">
        <v>45653</v>
      </c>
      <c r="B92" s="16" t="s">
        <v>125</v>
      </c>
      <c r="C92" s="14">
        <v>1312.2</v>
      </c>
      <c r="D92" s="16" t="s">
        <v>157</v>
      </c>
      <c r="E92" s="16" t="s">
        <v>158</v>
      </c>
    </row>
    <row r="93" spans="1:5" ht="14.25" thickBot="1" x14ac:dyDescent="0.3">
      <c r="A93" s="15">
        <v>45653</v>
      </c>
      <c r="B93" s="16" t="s">
        <v>125</v>
      </c>
      <c r="C93" s="14">
        <v>5805.75</v>
      </c>
      <c r="D93" s="16" t="s">
        <v>157</v>
      </c>
      <c r="E93" s="16" t="s">
        <v>158</v>
      </c>
    </row>
    <row r="94" spans="1:5" ht="14.25" thickBot="1" x14ac:dyDescent="0.3">
      <c r="A94" s="15">
        <v>45653</v>
      </c>
      <c r="B94" s="16" t="s">
        <v>125</v>
      </c>
      <c r="C94" s="14">
        <v>9577.0400000000009</v>
      </c>
      <c r="D94" s="16" t="s">
        <v>157</v>
      </c>
      <c r="E94" s="16" t="s">
        <v>158</v>
      </c>
    </row>
    <row r="95" spans="1:5" ht="14.25" thickBot="1" x14ac:dyDescent="0.3">
      <c r="A95" s="15">
        <v>45653</v>
      </c>
      <c r="B95" s="16" t="s">
        <v>126</v>
      </c>
      <c r="C95" s="14">
        <v>10643.87</v>
      </c>
      <c r="D95" s="16" t="s">
        <v>157</v>
      </c>
      <c r="E95" s="16" t="s">
        <v>159</v>
      </c>
    </row>
    <row r="96" spans="1:5" ht="14.25" thickBot="1" x14ac:dyDescent="0.3">
      <c r="A96" s="15">
        <v>45653</v>
      </c>
      <c r="B96" s="16" t="s">
        <v>126</v>
      </c>
      <c r="C96" s="14">
        <v>17557.900000000001</v>
      </c>
      <c r="D96" s="16" t="s">
        <v>157</v>
      </c>
      <c r="E96" s="16" t="s">
        <v>159</v>
      </c>
    </row>
    <row r="97" spans="1:5" ht="14.25" thickBot="1" x14ac:dyDescent="0.3">
      <c r="A97" s="15">
        <v>46021</v>
      </c>
      <c r="B97" s="16" t="s">
        <v>125</v>
      </c>
      <c r="C97" s="14">
        <v>33</v>
      </c>
      <c r="D97" s="16" t="s">
        <v>157</v>
      </c>
      <c r="E97" s="16" t="s">
        <v>158</v>
      </c>
    </row>
    <row r="98" spans="1:5" ht="14.25" thickBot="1" x14ac:dyDescent="0.3">
      <c r="A98" s="15">
        <v>46021</v>
      </c>
      <c r="B98" s="16" t="s">
        <v>125</v>
      </c>
      <c r="C98" s="14">
        <v>33</v>
      </c>
      <c r="D98" s="16" t="s">
        <v>157</v>
      </c>
      <c r="E98" s="16" t="s">
        <v>158</v>
      </c>
    </row>
    <row r="99" spans="1:5" ht="14.25" thickBot="1" x14ac:dyDescent="0.3">
      <c r="A99" s="15">
        <v>46021</v>
      </c>
      <c r="B99" s="16" t="s">
        <v>125</v>
      </c>
      <c r="C99" s="14">
        <v>63.86</v>
      </c>
      <c r="D99" s="16" t="s">
        <v>157</v>
      </c>
      <c r="E99" s="16" t="s">
        <v>158</v>
      </c>
    </row>
    <row r="100" spans="1:5" ht="14.25" thickBot="1" x14ac:dyDescent="0.3">
      <c r="A100" s="15">
        <v>46021</v>
      </c>
      <c r="B100" s="16" t="s">
        <v>125</v>
      </c>
      <c r="C100" s="14">
        <v>105.35</v>
      </c>
      <c r="D100" s="16" t="s">
        <v>157</v>
      </c>
      <c r="E100" s="16" t="s">
        <v>158</v>
      </c>
    </row>
    <row r="101" spans="1:5" ht="14.25" thickBot="1" x14ac:dyDescent="0.3">
      <c r="A101" s="15">
        <v>46021</v>
      </c>
      <c r="B101" s="16" t="s">
        <v>125</v>
      </c>
      <c r="C101" s="14">
        <v>6600.6</v>
      </c>
      <c r="D101" s="16" t="s">
        <v>157</v>
      </c>
      <c r="E101" s="16" t="s">
        <v>158</v>
      </c>
    </row>
    <row r="102" spans="1:5" ht="14.25" thickBot="1" x14ac:dyDescent="0.3">
      <c r="A102" s="15">
        <v>46021</v>
      </c>
      <c r="B102" s="16" t="s">
        <v>125</v>
      </c>
      <c r="C102" s="14">
        <v>7296.3</v>
      </c>
      <c r="D102" s="16" t="s">
        <v>157</v>
      </c>
      <c r="E102" s="16" t="s">
        <v>158</v>
      </c>
    </row>
    <row r="103" spans="1:5" ht="14.25" thickBot="1" x14ac:dyDescent="0.3">
      <c r="A103" s="15">
        <v>46021</v>
      </c>
      <c r="B103" s="16" t="s">
        <v>125</v>
      </c>
      <c r="C103" s="14">
        <v>8664.31</v>
      </c>
      <c r="D103" s="16" t="s">
        <v>157</v>
      </c>
      <c r="E103" s="16" t="s">
        <v>158</v>
      </c>
    </row>
    <row r="104" spans="1:5" ht="14.25" thickBot="1" x14ac:dyDescent="0.3">
      <c r="A104" s="15">
        <v>46021</v>
      </c>
      <c r="B104" s="16" t="s">
        <v>125</v>
      </c>
      <c r="C104" s="14">
        <v>9000</v>
      </c>
      <c r="D104" s="16" t="s">
        <v>157</v>
      </c>
      <c r="E104" s="16" t="s">
        <v>158</v>
      </c>
    </row>
    <row r="105" spans="1:5" ht="14.25" thickBot="1" x14ac:dyDescent="0.3">
      <c r="A105" s="15">
        <v>46021</v>
      </c>
      <c r="B105" s="16" t="s">
        <v>126</v>
      </c>
      <c r="C105" s="14">
        <v>13376.55</v>
      </c>
      <c r="D105" s="16" t="s">
        <v>157</v>
      </c>
      <c r="E105" s="16" t="s">
        <v>158</v>
      </c>
    </row>
    <row r="106" spans="1:5" ht="14.25" thickBot="1" x14ac:dyDescent="0.3">
      <c r="A106" s="15">
        <v>46021</v>
      </c>
      <c r="B106" s="16" t="s">
        <v>126</v>
      </c>
      <c r="C106" s="14">
        <v>15884.57</v>
      </c>
      <c r="D106" s="16" t="s">
        <v>157</v>
      </c>
      <c r="E106" s="16" t="s">
        <v>158</v>
      </c>
    </row>
    <row r="107" spans="1:5" ht="14.25" thickBot="1" x14ac:dyDescent="0.3">
      <c r="A107" s="15">
        <v>46021</v>
      </c>
      <c r="B107" s="16" t="s">
        <v>126</v>
      </c>
      <c r="C107" s="14">
        <v>16500</v>
      </c>
      <c r="D107" s="16" t="s">
        <v>157</v>
      </c>
      <c r="E107" s="16" t="s">
        <v>158</v>
      </c>
    </row>
    <row r="108" spans="1:5" ht="14.25" thickBot="1" x14ac:dyDescent="0.3">
      <c r="A108" s="15">
        <v>46021</v>
      </c>
      <c r="B108" s="16" t="s">
        <v>125</v>
      </c>
      <c r="C108" s="14">
        <v>19154.07</v>
      </c>
      <c r="D108" s="16" t="s">
        <v>157</v>
      </c>
      <c r="E108" s="16" t="s">
        <v>158</v>
      </c>
    </row>
    <row r="109" spans="1:5" ht="14.25" thickBot="1" x14ac:dyDescent="0.3">
      <c r="A109" s="15">
        <v>46021</v>
      </c>
      <c r="B109" s="16" t="s">
        <v>126</v>
      </c>
      <c r="C109" s="14">
        <v>35115.800000000003</v>
      </c>
      <c r="D109" s="16" t="s">
        <v>157</v>
      </c>
      <c r="E109" s="16" t="s">
        <v>159</v>
      </c>
    </row>
    <row r="110" spans="1:5" ht="14.25" thickBot="1" x14ac:dyDescent="0.3">
      <c r="A110" s="15">
        <v>46021</v>
      </c>
      <c r="B110" s="16" t="s">
        <v>122</v>
      </c>
      <c r="C110" s="14">
        <v>10563</v>
      </c>
      <c r="D110" s="16" t="s">
        <v>157</v>
      </c>
      <c r="E110" s="16" t="s">
        <v>122</v>
      </c>
    </row>
    <row r="111" spans="1:5" ht="14.25" thickBot="1" x14ac:dyDescent="0.3">
      <c r="A111" s="15">
        <v>46021</v>
      </c>
      <c r="B111" s="16" t="s">
        <v>153</v>
      </c>
      <c r="C111" s="14">
        <v>1509</v>
      </c>
      <c r="D111" s="16" t="s">
        <v>157</v>
      </c>
      <c r="E111" s="16" t="s">
        <v>122</v>
      </c>
    </row>
    <row r="112" spans="1:5" ht="14.25" thickBot="1" x14ac:dyDescent="0.3">
      <c r="A112" s="15">
        <v>46021</v>
      </c>
      <c r="B112" s="16" t="s">
        <v>154</v>
      </c>
      <c r="C112" s="14">
        <v>1509</v>
      </c>
      <c r="D112" s="16" t="s">
        <v>157</v>
      </c>
      <c r="E112" s="16" t="s">
        <v>172</v>
      </c>
    </row>
    <row r="113" spans="1:5" ht="15.75" thickBot="1" x14ac:dyDescent="0.3">
      <c r="A113" s="86"/>
      <c r="B113" s="82" t="s">
        <v>298</v>
      </c>
      <c r="C113" s="83">
        <f>SUM(C15:C112)</f>
        <v>786255.12000000023</v>
      </c>
      <c r="D113" s="82"/>
      <c r="E113" s="82"/>
    </row>
    <row r="114" spans="1:5" ht="14.25" thickBot="1" x14ac:dyDescent="0.3">
      <c r="A114" s="15">
        <v>45628</v>
      </c>
      <c r="B114" s="16" t="s">
        <v>254</v>
      </c>
      <c r="C114" s="14">
        <v>75730.17</v>
      </c>
      <c r="D114" s="16" t="s">
        <v>155</v>
      </c>
      <c r="E114" s="16" t="s">
        <v>255</v>
      </c>
    </row>
    <row r="115" spans="1:5" ht="14.25" thickBot="1" x14ac:dyDescent="0.3">
      <c r="A115" s="15">
        <v>45630</v>
      </c>
      <c r="B115" s="16" t="s">
        <v>127</v>
      </c>
      <c r="C115" s="14">
        <v>24431.64</v>
      </c>
      <c r="D115" s="16" t="s">
        <v>155</v>
      </c>
      <c r="E115" s="16" t="s">
        <v>160</v>
      </c>
    </row>
    <row r="116" spans="1:5" ht="14.25" thickBot="1" x14ac:dyDescent="0.3">
      <c r="A116" s="15">
        <v>45631</v>
      </c>
      <c r="B116" s="16" t="s">
        <v>129</v>
      </c>
      <c r="C116" s="14">
        <v>251090</v>
      </c>
      <c r="D116" s="16" t="s">
        <v>155</v>
      </c>
      <c r="E116" s="16" t="s">
        <v>161</v>
      </c>
    </row>
    <row r="117" spans="1:5" ht="14.25" thickBot="1" x14ac:dyDescent="0.3">
      <c r="A117" s="15">
        <v>45636</v>
      </c>
      <c r="B117" s="16" t="s">
        <v>257</v>
      </c>
      <c r="C117" s="14">
        <v>124630</v>
      </c>
      <c r="D117" s="16" t="s">
        <v>155</v>
      </c>
      <c r="E117" s="16" t="s">
        <v>258</v>
      </c>
    </row>
    <row r="118" spans="1:5" ht="14.25" thickBot="1" x14ac:dyDescent="0.3">
      <c r="A118" s="15">
        <v>45638</v>
      </c>
      <c r="B118" s="16" t="s">
        <v>259</v>
      </c>
      <c r="C118" s="14">
        <v>90691.53</v>
      </c>
      <c r="D118" s="16" t="s">
        <v>155</v>
      </c>
      <c r="E118" s="16" t="s">
        <v>167</v>
      </c>
    </row>
    <row r="119" spans="1:5" ht="14.25" thickBot="1" x14ac:dyDescent="0.3">
      <c r="A119" s="15">
        <v>45646</v>
      </c>
      <c r="B119" s="16" t="s">
        <v>142</v>
      </c>
      <c r="C119" s="14">
        <v>220000</v>
      </c>
      <c r="D119" s="16" t="s">
        <v>155</v>
      </c>
      <c r="E119" s="16" t="s">
        <v>170</v>
      </c>
    </row>
    <row r="120" spans="1:5" ht="15.75" thickBot="1" x14ac:dyDescent="0.3">
      <c r="A120" s="86"/>
      <c r="B120" s="82" t="s">
        <v>292</v>
      </c>
      <c r="C120" s="83">
        <f>SUM(C114:C119)</f>
        <v>786573.34</v>
      </c>
      <c r="D120" s="82"/>
      <c r="E120" s="82"/>
    </row>
    <row r="121" spans="1:5" s="90" customFormat="1" ht="14.25" thickBot="1" x14ac:dyDescent="0.3">
      <c r="A121" s="89">
        <v>45628</v>
      </c>
      <c r="B121" s="157" t="s">
        <v>123</v>
      </c>
      <c r="C121" s="14">
        <v>487737</v>
      </c>
      <c r="D121" s="16" t="s">
        <v>156</v>
      </c>
      <c r="E121" s="16" t="s">
        <v>156</v>
      </c>
    </row>
    <row r="122" spans="1:5" s="90" customFormat="1" ht="14.25" thickBot="1" x14ac:dyDescent="0.3">
      <c r="A122" s="89">
        <v>45628</v>
      </c>
      <c r="B122" s="157" t="s">
        <v>124</v>
      </c>
      <c r="C122" s="14">
        <v>487737</v>
      </c>
      <c r="D122" s="16" t="s">
        <v>156</v>
      </c>
      <c r="E122" s="16" t="s">
        <v>156</v>
      </c>
    </row>
    <row r="123" spans="1:5" ht="14.25" thickBot="1" x14ac:dyDescent="0.3">
      <c r="A123" s="15">
        <v>45632</v>
      </c>
      <c r="B123" s="16" t="s">
        <v>131</v>
      </c>
      <c r="C123" s="14">
        <v>508317.37</v>
      </c>
      <c r="D123" s="16" t="s">
        <v>156</v>
      </c>
      <c r="E123" s="16" t="s">
        <v>163</v>
      </c>
    </row>
    <row r="124" spans="1:5" ht="14.25" thickBot="1" x14ac:dyDescent="0.3">
      <c r="A124" s="15">
        <v>45636</v>
      </c>
      <c r="B124" s="16" t="s">
        <v>132</v>
      </c>
      <c r="C124" s="14">
        <v>5901.48</v>
      </c>
      <c r="D124" s="16" t="s">
        <v>156</v>
      </c>
      <c r="E124" s="16" t="s">
        <v>164</v>
      </c>
    </row>
    <row r="125" spans="1:5" ht="14.25" thickBot="1" x14ac:dyDescent="0.3">
      <c r="A125" s="15">
        <v>45636</v>
      </c>
      <c r="B125" s="16" t="s">
        <v>135</v>
      </c>
      <c r="C125" s="14">
        <v>8770.1</v>
      </c>
      <c r="D125" s="16" t="s">
        <v>156</v>
      </c>
      <c r="E125" s="16" t="s">
        <v>166</v>
      </c>
    </row>
    <row r="126" spans="1:5" ht="14.25" thickBot="1" x14ac:dyDescent="0.3">
      <c r="A126" s="15">
        <v>45644</v>
      </c>
      <c r="B126" s="16" t="s">
        <v>139</v>
      </c>
      <c r="C126" s="14">
        <v>127983</v>
      </c>
      <c r="D126" s="16" t="s">
        <v>156</v>
      </c>
      <c r="E126" s="16" t="s">
        <v>156</v>
      </c>
    </row>
    <row r="127" spans="1:5" ht="14.25" thickBot="1" x14ac:dyDescent="0.3">
      <c r="A127" s="15">
        <v>45644</v>
      </c>
      <c r="B127" s="16" t="s">
        <v>140</v>
      </c>
      <c r="C127" s="14">
        <v>224720</v>
      </c>
      <c r="D127" s="16" t="s">
        <v>156</v>
      </c>
      <c r="E127" s="16" t="s">
        <v>156</v>
      </c>
    </row>
    <row r="128" spans="1:5" ht="15.75" thickBot="1" x14ac:dyDescent="0.3">
      <c r="A128" s="86"/>
      <c r="B128" s="82" t="s">
        <v>291</v>
      </c>
      <c r="C128" s="83">
        <f>SUM(C121:C127)</f>
        <v>1851165.9500000002</v>
      </c>
      <c r="D128" s="82"/>
      <c r="E128" s="82"/>
    </row>
    <row r="130" spans="1:5" s="1" customFormat="1" ht="15" x14ac:dyDescent="0.25">
      <c r="A130" s="87"/>
      <c r="B130" s="87" t="s">
        <v>299</v>
      </c>
      <c r="C130" s="88">
        <f>+C6+C11+C14+C113+C120+C128</f>
        <v>4667904.3600000003</v>
      </c>
      <c r="D130" s="87"/>
      <c r="E130" s="87"/>
    </row>
    <row r="131" spans="1:5" ht="14.25" thickBot="1" x14ac:dyDescent="0.3"/>
    <row r="132" spans="1:5" ht="14.25" thickBot="1" x14ac:dyDescent="0.3">
      <c r="A132" s="15">
        <v>45649</v>
      </c>
      <c r="B132" s="16" t="s">
        <v>143</v>
      </c>
      <c r="C132" s="14">
        <v>1522224</v>
      </c>
      <c r="D132" s="16" t="s">
        <v>301</v>
      </c>
      <c r="E132" s="16" t="s">
        <v>171</v>
      </c>
    </row>
    <row r="133" spans="1:5" ht="14.25" thickBot="1" x14ac:dyDescent="0.3">
      <c r="A133" s="15">
        <v>45649</v>
      </c>
      <c r="B133" s="16" t="s">
        <v>144</v>
      </c>
      <c r="C133" s="14">
        <v>1902780</v>
      </c>
      <c r="D133" s="16" t="s">
        <v>301</v>
      </c>
      <c r="E133" s="16" t="s">
        <v>171</v>
      </c>
    </row>
    <row r="134" spans="1:5" ht="14.25" thickBot="1" x14ac:dyDescent="0.3">
      <c r="A134" s="15">
        <v>45649</v>
      </c>
      <c r="B134" s="16" t="s">
        <v>145</v>
      </c>
      <c r="C134" s="14">
        <v>1902780</v>
      </c>
      <c r="D134" s="16" t="s">
        <v>301</v>
      </c>
      <c r="E134" s="16" t="s">
        <v>171</v>
      </c>
    </row>
    <row r="135" spans="1:5" x14ac:dyDescent="0.25">
      <c r="A135" s="92"/>
      <c r="B135" s="92" t="s">
        <v>302</v>
      </c>
      <c r="C135" s="93">
        <f>SUM(C132:C134)</f>
        <v>5327784</v>
      </c>
      <c r="D135" s="92"/>
      <c r="E135" s="92"/>
    </row>
    <row r="137" spans="1:5" s="1" customFormat="1" ht="15" x14ac:dyDescent="0.25">
      <c r="A137" s="87"/>
      <c r="B137" s="87" t="s">
        <v>303</v>
      </c>
      <c r="C137" s="88">
        <f>+C130+'Gastos Efectivo'!C22</f>
        <v>10796404.359999999</v>
      </c>
      <c r="D137" s="87"/>
      <c r="E137" s="87"/>
    </row>
    <row r="139" spans="1:5" ht="15" x14ac:dyDescent="0.25">
      <c r="A139" s="94"/>
      <c r="B139" s="96" t="s">
        <v>304</v>
      </c>
      <c r="C139" s="95">
        <f>+C137+C135</f>
        <v>16124188.359999999</v>
      </c>
      <c r="D139" s="94"/>
      <c r="E139" s="94"/>
    </row>
    <row r="140" spans="1:5" x14ac:dyDescent="0.25">
      <c r="C140" s="91"/>
    </row>
    <row r="141" spans="1:5" ht="14.25" thickBot="1" x14ac:dyDescent="0.3">
      <c r="B141" s="6" t="s">
        <v>308</v>
      </c>
      <c r="C141" s="91"/>
    </row>
    <row r="142" spans="1:5" ht="14.25" thickBot="1" x14ac:dyDescent="0.3">
      <c r="A142" s="15">
        <v>46021</v>
      </c>
      <c r="B142" s="16" t="s">
        <v>149</v>
      </c>
      <c r="C142" s="14">
        <v>505218</v>
      </c>
      <c r="D142" s="16" t="s">
        <v>156</v>
      </c>
      <c r="E142" s="16" t="s">
        <v>156</v>
      </c>
    </row>
    <row r="143" spans="1:5" ht="14.25" thickBot="1" x14ac:dyDescent="0.3">
      <c r="A143" s="15">
        <v>46021</v>
      </c>
      <c r="B143" s="16" t="s">
        <v>148</v>
      </c>
      <c r="C143" s="14">
        <v>505218</v>
      </c>
      <c r="D143" s="16" t="s">
        <v>156</v>
      </c>
      <c r="E143" s="16" t="s">
        <v>156</v>
      </c>
    </row>
    <row r="144" spans="1:5" ht="14.25" thickBot="1" x14ac:dyDescent="0.3">
      <c r="A144" s="15">
        <v>46021</v>
      </c>
      <c r="B144" s="16" t="s">
        <v>150</v>
      </c>
      <c r="C144" s="14">
        <v>3119484</v>
      </c>
      <c r="D144" s="16" t="s">
        <v>156</v>
      </c>
      <c r="E144" s="16" t="s">
        <v>156</v>
      </c>
    </row>
    <row r="145" spans="3:3" x14ac:dyDescent="0.25">
      <c r="C145" s="91">
        <f>SUM(C142:C144)</f>
        <v>4129920</v>
      </c>
    </row>
  </sheetData>
  <autoFilter ref="A1:E128" xr:uid="{0CADA81B-9448-3444-9158-BA9D7E0411BD}">
    <sortState xmlns:xlrd2="http://schemas.microsoft.com/office/spreadsheetml/2017/richdata2" ref="A2:E128">
      <sortCondition ref="D1:D12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2296-5F48-8444-B907-5352166D5CD2}">
  <dimension ref="A1:E22"/>
  <sheetViews>
    <sheetView topLeftCell="A7" zoomScaleNormal="100" workbookViewId="0">
      <selection activeCell="C14" sqref="C14"/>
    </sheetView>
  </sheetViews>
  <sheetFormatPr baseColWidth="10" defaultRowHeight="15" x14ac:dyDescent="0.25"/>
  <cols>
    <col min="1" max="1" width="15.140625" customWidth="1"/>
    <col min="2" max="2" width="55.42578125" customWidth="1"/>
    <col min="3" max="3" width="14.7109375" customWidth="1"/>
    <col min="4" max="4" width="24.42578125" customWidth="1"/>
    <col min="5" max="5" width="20.28515625" customWidth="1"/>
  </cols>
  <sheetData>
    <row r="1" spans="1:5" ht="15.75" thickBot="1" x14ac:dyDescent="0.3"/>
    <row r="2" spans="1:5" ht="15.75" thickBot="1" x14ac:dyDescent="0.3">
      <c r="A2" s="84"/>
      <c r="B2" s="17" t="s">
        <v>269</v>
      </c>
      <c r="C2" s="18">
        <v>705000</v>
      </c>
      <c r="D2" s="17" t="s">
        <v>248</v>
      </c>
      <c r="E2" s="17" t="s">
        <v>270</v>
      </c>
    </row>
    <row r="3" spans="1:5" ht="15.75" thickBot="1" x14ac:dyDescent="0.3">
      <c r="A3" s="84"/>
      <c r="B3" s="17" t="s">
        <v>271</v>
      </c>
      <c r="C3" s="18">
        <v>645000</v>
      </c>
      <c r="D3" s="17" t="s">
        <v>248</v>
      </c>
      <c r="E3" s="17" t="s">
        <v>270</v>
      </c>
    </row>
    <row r="4" spans="1:5" ht="15.75" thickBot="1" x14ac:dyDescent="0.3">
      <c r="A4" s="86"/>
      <c r="B4" s="82" t="s">
        <v>293</v>
      </c>
      <c r="C4" s="83">
        <f>SUM(C2:C3)</f>
        <v>1350000</v>
      </c>
      <c r="D4" s="82"/>
      <c r="E4" s="82"/>
    </row>
    <row r="5" spans="1:5" ht="30.75" thickBot="1" x14ac:dyDescent="0.3">
      <c r="A5" s="84"/>
      <c r="B5" s="17" t="s">
        <v>274</v>
      </c>
      <c r="C5" s="18">
        <v>1915000</v>
      </c>
      <c r="D5" s="17" t="s">
        <v>305</v>
      </c>
      <c r="E5" s="17" t="s">
        <v>270</v>
      </c>
    </row>
    <row r="6" spans="1:5" ht="15.75" thickBot="1" x14ac:dyDescent="0.3">
      <c r="A6" s="86"/>
      <c r="B6" s="82" t="s">
        <v>293</v>
      </c>
      <c r="C6" s="83">
        <f>SUM(C5:C5)</f>
        <v>1915000</v>
      </c>
      <c r="D6" s="82"/>
      <c r="E6" s="82"/>
    </row>
    <row r="7" spans="1:5" ht="15.75" thickBot="1" x14ac:dyDescent="0.3">
      <c r="A7" s="84"/>
      <c r="B7" s="17" t="s">
        <v>267</v>
      </c>
      <c r="C7" s="18">
        <v>921000</v>
      </c>
      <c r="D7" s="17" t="s">
        <v>245</v>
      </c>
      <c r="E7" s="17" t="s">
        <v>268</v>
      </c>
    </row>
    <row r="8" spans="1:5" ht="15.75" thickBot="1" x14ac:dyDescent="0.3">
      <c r="A8" s="84"/>
      <c r="B8" s="17" t="s">
        <v>272</v>
      </c>
      <c r="C8" s="18">
        <v>50000</v>
      </c>
      <c r="D8" s="17" t="s">
        <v>245</v>
      </c>
      <c r="E8" s="17" t="s">
        <v>273</v>
      </c>
    </row>
    <row r="9" spans="1:5" ht="15.75" thickBot="1" x14ac:dyDescent="0.3">
      <c r="A9" s="85">
        <v>45635</v>
      </c>
      <c r="B9" s="17" t="s">
        <v>275</v>
      </c>
      <c r="C9" s="18">
        <v>20000</v>
      </c>
      <c r="D9" s="17" t="s">
        <v>245</v>
      </c>
      <c r="E9" s="17" t="s">
        <v>276</v>
      </c>
    </row>
    <row r="10" spans="1:5" ht="15.75" thickBot="1" x14ac:dyDescent="0.3">
      <c r="A10" s="85">
        <v>45635</v>
      </c>
      <c r="B10" s="17" t="s">
        <v>272</v>
      </c>
      <c r="C10" s="18">
        <v>30000</v>
      </c>
      <c r="D10" s="17" t="s">
        <v>245</v>
      </c>
      <c r="E10" s="17" t="s">
        <v>273</v>
      </c>
    </row>
    <row r="11" spans="1:5" ht="15.75" thickBot="1" x14ac:dyDescent="0.3">
      <c r="A11" s="85">
        <v>45646</v>
      </c>
      <c r="B11" s="17" t="s">
        <v>272</v>
      </c>
      <c r="C11" s="18">
        <v>49500</v>
      </c>
      <c r="D11" s="17" t="s">
        <v>245</v>
      </c>
      <c r="E11" s="17" t="s">
        <v>273</v>
      </c>
    </row>
    <row r="12" spans="1:5" ht="15.75" thickBot="1" x14ac:dyDescent="0.3">
      <c r="A12" s="85">
        <v>45653</v>
      </c>
      <c r="B12" s="17" t="s">
        <v>272</v>
      </c>
      <c r="C12" s="18">
        <v>50000</v>
      </c>
      <c r="D12" s="17" t="s">
        <v>245</v>
      </c>
      <c r="E12" s="17" t="s">
        <v>273</v>
      </c>
    </row>
    <row r="13" spans="1:5" ht="15.75" thickBot="1" x14ac:dyDescent="0.3">
      <c r="A13" s="85">
        <v>45656</v>
      </c>
      <c r="B13" s="17" t="s">
        <v>282</v>
      </c>
      <c r="C13" s="18">
        <v>150000</v>
      </c>
      <c r="D13" s="17" t="s">
        <v>245</v>
      </c>
      <c r="E13" s="17" t="s">
        <v>283</v>
      </c>
    </row>
    <row r="14" spans="1:5" ht="15.75" thickBot="1" x14ac:dyDescent="0.3">
      <c r="A14" s="86"/>
      <c r="B14" s="82" t="s">
        <v>292</v>
      </c>
      <c r="C14" s="83">
        <f>SUM(C7:C13)</f>
        <v>1270500</v>
      </c>
      <c r="D14" s="82"/>
      <c r="E14" s="82"/>
    </row>
    <row r="15" spans="1:5" ht="15.75" thickBot="1" x14ac:dyDescent="0.3">
      <c r="A15" s="85">
        <v>45646</v>
      </c>
      <c r="B15" s="17" t="s">
        <v>277</v>
      </c>
      <c r="C15" s="18">
        <v>100000</v>
      </c>
      <c r="D15" s="17" t="s">
        <v>244</v>
      </c>
      <c r="E15" s="17" t="s">
        <v>278</v>
      </c>
    </row>
    <row r="16" spans="1:5" ht="15.75" thickBot="1" x14ac:dyDescent="0.3">
      <c r="A16" s="85">
        <v>45646</v>
      </c>
      <c r="B16" s="17" t="s">
        <v>279</v>
      </c>
      <c r="C16" s="18">
        <v>43000</v>
      </c>
      <c r="D16" s="17" t="s">
        <v>244</v>
      </c>
      <c r="E16" s="17" t="s">
        <v>278</v>
      </c>
    </row>
    <row r="17" spans="1:5" ht="15.75" thickBot="1" x14ac:dyDescent="0.3">
      <c r="A17" s="85">
        <v>45653</v>
      </c>
      <c r="B17" s="17" t="s">
        <v>280</v>
      </c>
      <c r="C17" s="18">
        <v>250000</v>
      </c>
      <c r="D17" s="17" t="s">
        <v>244</v>
      </c>
      <c r="E17" s="17" t="s">
        <v>244</v>
      </c>
    </row>
    <row r="18" spans="1:5" ht="15.75" thickBot="1" x14ac:dyDescent="0.3">
      <c r="A18" s="85">
        <v>45653</v>
      </c>
      <c r="B18" s="17" t="s">
        <v>281</v>
      </c>
      <c r="C18" s="18">
        <v>200000</v>
      </c>
      <c r="D18" s="17" t="s">
        <v>244</v>
      </c>
      <c r="E18" s="17" t="s">
        <v>244</v>
      </c>
    </row>
    <row r="19" spans="1:5" ht="15.75" thickBot="1" x14ac:dyDescent="0.3">
      <c r="A19" s="85">
        <v>45656</v>
      </c>
      <c r="B19" s="17" t="s">
        <v>284</v>
      </c>
      <c r="C19" s="18">
        <v>1000000</v>
      </c>
      <c r="D19" s="17" t="s">
        <v>244</v>
      </c>
      <c r="E19" s="17" t="s">
        <v>244</v>
      </c>
    </row>
    <row r="20" spans="1:5" ht="15.75" thickBot="1" x14ac:dyDescent="0.3">
      <c r="A20" s="86"/>
      <c r="B20" s="82" t="s">
        <v>291</v>
      </c>
      <c r="C20" s="83">
        <f>SUM(C15:C19)</f>
        <v>1593000</v>
      </c>
      <c r="D20" s="82"/>
      <c r="E20" s="82"/>
    </row>
    <row r="21" spans="1:5" x14ac:dyDescent="0.25">
      <c r="C21" s="81"/>
    </row>
    <row r="22" spans="1:5" s="1" customFormat="1" x14ac:dyDescent="0.25">
      <c r="A22" s="87"/>
      <c r="B22" s="87" t="s">
        <v>294</v>
      </c>
      <c r="C22" s="88">
        <f>+C4+C14+C20+C6</f>
        <v>6128500</v>
      </c>
      <c r="D22" s="87"/>
      <c r="E22" s="87"/>
    </row>
  </sheetData>
  <autoFilter ref="A1:F19" xr:uid="{9C742296-5F48-8444-B907-5352166D5CD2}">
    <sortState xmlns:xlrd2="http://schemas.microsoft.com/office/spreadsheetml/2017/richdata2" ref="A2:F19">
      <sortCondition ref="D1:D1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AC1013"/>
  <sheetViews>
    <sheetView zoomScale="90" zoomScaleNormal="90" workbookViewId="0">
      <selection activeCell="V16" sqref="V16"/>
    </sheetView>
  </sheetViews>
  <sheetFormatPr baseColWidth="10" defaultRowHeight="15" x14ac:dyDescent="0.25"/>
  <cols>
    <col min="2" max="2" width="11" bestFit="1" customWidth="1"/>
    <col min="4" max="4" width="11" bestFit="1" customWidth="1"/>
    <col min="7" max="7" width="11" bestFit="1" customWidth="1"/>
    <col min="8" max="8" width="14.140625" bestFit="1" customWidth="1"/>
    <col min="9" max="9" width="14.85546875" bestFit="1" customWidth="1"/>
    <col min="10" max="10" width="14.140625" bestFit="1" customWidth="1"/>
    <col min="11" max="11" width="13" bestFit="1" customWidth="1"/>
    <col min="13" max="14" width="14.140625" bestFit="1" customWidth="1"/>
    <col min="15" max="15" width="11" bestFit="1" customWidth="1"/>
    <col min="16" max="16" width="18" customWidth="1"/>
    <col min="20" max="20" width="12.140625" bestFit="1" customWidth="1"/>
    <col min="22" max="22" width="17.140625" bestFit="1" customWidth="1"/>
  </cols>
  <sheetData>
    <row r="1" spans="1:29" ht="39.75" thickTop="1" thickBot="1" x14ac:dyDescent="0.3">
      <c r="A1" s="19" t="s">
        <v>174</v>
      </c>
      <c r="B1" s="20" t="s">
        <v>173</v>
      </c>
      <c r="C1" s="20" t="s">
        <v>175</v>
      </c>
      <c r="D1" s="20" t="s">
        <v>176</v>
      </c>
      <c r="E1" s="20" t="s">
        <v>177</v>
      </c>
      <c r="F1" s="20" t="s">
        <v>178</v>
      </c>
      <c r="G1" s="20" t="s">
        <v>179</v>
      </c>
      <c r="H1" s="75" t="s">
        <v>289</v>
      </c>
      <c r="I1" s="20" t="s">
        <v>180</v>
      </c>
      <c r="J1" s="20" t="s">
        <v>181</v>
      </c>
      <c r="K1" s="20" t="s">
        <v>122</v>
      </c>
      <c r="L1" s="20" t="s">
        <v>182</v>
      </c>
      <c r="M1" s="20" t="s">
        <v>183</v>
      </c>
      <c r="N1" s="20" t="s">
        <v>184</v>
      </c>
      <c r="O1" s="20" t="s">
        <v>185</v>
      </c>
      <c r="P1" s="20" t="s">
        <v>186</v>
      </c>
      <c r="Q1" s="20" t="s">
        <v>187</v>
      </c>
      <c r="R1" s="21" t="s">
        <v>188</v>
      </c>
      <c r="S1" s="20" t="s">
        <v>189</v>
      </c>
      <c r="T1" s="20" t="s">
        <v>190</v>
      </c>
      <c r="U1" s="20" t="s">
        <v>191</v>
      </c>
      <c r="V1" s="22" t="s">
        <v>192</v>
      </c>
      <c r="W1" s="23" t="s">
        <v>285</v>
      </c>
      <c r="X1" s="24" t="s">
        <v>286</v>
      </c>
      <c r="Y1" s="25" t="s">
        <v>287</v>
      </c>
      <c r="Z1" s="26"/>
      <c r="AA1" s="26"/>
      <c r="AB1" s="26"/>
      <c r="AC1" s="26"/>
    </row>
    <row r="2" spans="1:29" ht="37.5" customHeight="1" thickTop="1" thickBot="1" x14ac:dyDescent="0.3">
      <c r="A2" s="27" t="s">
        <v>193</v>
      </c>
      <c r="B2" s="28">
        <v>45597</v>
      </c>
      <c r="C2" s="29" t="s">
        <v>1</v>
      </c>
      <c r="D2" s="29">
        <v>202410306</v>
      </c>
      <c r="E2" s="29" t="s">
        <v>194</v>
      </c>
      <c r="F2" s="29" t="s">
        <v>195</v>
      </c>
      <c r="G2" s="30">
        <v>1</v>
      </c>
      <c r="H2" s="76">
        <v>1080000</v>
      </c>
      <c r="I2" s="31">
        <v>1080000</v>
      </c>
      <c r="J2" s="32">
        <v>1080000</v>
      </c>
      <c r="K2" s="32">
        <v>226800</v>
      </c>
      <c r="L2" s="33">
        <v>0.21</v>
      </c>
      <c r="M2" s="32">
        <v>1306800</v>
      </c>
      <c r="N2" s="34">
        <v>1306800</v>
      </c>
      <c r="O2" s="127">
        <v>1416910</v>
      </c>
      <c r="P2" s="129" t="s">
        <v>196</v>
      </c>
      <c r="Q2" s="131">
        <v>1416910</v>
      </c>
      <c r="R2" s="132">
        <v>0</v>
      </c>
      <c r="S2" s="121" t="s">
        <v>197</v>
      </c>
      <c r="T2" s="123">
        <v>27310946945</v>
      </c>
      <c r="U2" s="35" t="s">
        <v>185</v>
      </c>
      <c r="V2" s="36">
        <v>296472</v>
      </c>
      <c r="W2" s="37">
        <v>32400</v>
      </c>
      <c r="X2" s="38">
        <v>54000</v>
      </c>
      <c r="Y2" s="36">
        <v>75600</v>
      </c>
      <c r="Z2" s="26"/>
      <c r="AA2" s="26"/>
      <c r="AB2" s="26"/>
      <c r="AC2" s="26"/>
    </row>
    <row r="3" spans="1:29" ht="26.25" thickBot="1" x14ac:dyDescent="0.3">
      <c r="A3" s="27" t="s">
        <v>193</v>
      </c>
      <c r="B3" s="28">
        <v>45628</v>
      </c>
      <c r="C3" s="29" t="s">
        <v>198</v>
      </c>
      <c r="D3" s="29" t="s">
        <v>199</v>
      </c>
      <c r="E3" s="29" t="s">
        <v>199</v>
      </c>
      <c r="F3" s="29" t="s">
        <v>195</v>
      </c>
      <c r="G3" s="30">
        <v>1</v>
      </c>
      <c r="H3" s="76">
        <v>91000</v>
      </c>
      <c r="I3" s="31">
        <v>91000</v>
      </c>
      <c r="J3" s="32">
        <v>91000</v>
      </c>
      <c r="K3" s="32">
        <v>19110</v>
      </c>
      <c r="L3" s="33">
        <v>0.21</v>
      </c>
      <c r="M3" s="32">
        <v>110110</v>
      </c>
      <c r="N3" s="34">
        <v>110110</v>
      </c>
      <c r="O3" s="128"/>
      <c r="P3" s="130"/>
      <c r="Q3" s="126"/>
      <c r="R3" s="133"/>
      <c r="S3" s="122"/>
      <c r="T3" s="124"/>
      <c r="U3" s="35" t="s">
        <v>185</v>
      </c>
      <c r="V3" s="36">
        <v>34368</v>
      </c>
      <c r="W3" s="37">
        <v>2730</v>
      </c>
      <c r="X3" s="38">
        <v>4550</v>
      </c>
      <c r="Y3" s="36">
        <v>6370</v>
      </c>
      <c r="Z3" s="26"/>
      <c r="AA3" s="26"/>
      <c r="AB3" s="26"/>
      <c r="AC3" s="26"/>
    </row>
    <row r="4" spans="1:29" ht="26.25" thickBot="1" x14ac:dyDescent="0.3">
      <c r="A4" s="27" t="s">
        <v>193</v>
      </c>
      <c r="B4" s="28">
        <v>45638</v>
      </c>
      <c r="C4" s="29" t="s">
        <v>200</v>
      </c>
      <c r="D4" s="29">
        <v>24146001</v>
      </c>
      <c r="E4" s="29" t="s">
        <v>194</v>
      </c>
      <c r="F4" s="29" t="s">
        <v>201</v>
      </c>
      <c r="G4" s="30">
        <v>1</v>
      </c>
      <c r="H4" s="76">
        <v>4350000</v>
      </c>
      <c r="I4" s="31">
        <v>3915000</v>
      </c>
      <c r="J4" s="32">
        <v>3915000</v>
      </c>
      <c r="K4" s="32">
        <v>411075</v>
      </c>
      <c r="L4" s="33">
        <v>0.105</v>
      </c>
      <c r="M4" s="32">
        <v>4326075</v>
      </c>
      <c r="N4" s="34">
        <v>4326075</v>
      </c>
      <c r="O4" s="39">
        <v>4326075</v>
      </c>
      <c r="P4" s="40" t="s">
        <v>196</v>
      </c>
      <c r="Q4" s="32">
        <v>4326075</v>
      </c>
      <c r="R4" s="41">
        <v>0</v>
      </c>
      <c r="S4" s="42" t="s">
        <v>202</v>
      </c>
      <c r="T4" s="43">
        <v>20115516761</v>
      </c>
      <c r="U4" s="35" t="s">
        <v>185</v>
      </c>
      <c r="V4" s="36">
        <v>1201860</v>
      </c>
      <c r="W4" s="37">
        <v>117450</v>
      </c>
      <c r="X4" s="38">
        <v>195750</v>
      </c>
      <c r="Y4" s="36">
        <v>274050</v>
      </c>
      <c r="Z4" s="26"/>
      <c r="AA4" s="26"/>
      <c r="AB4" s="26"/>
      <c r="AC4" s="26"/>
    </row>
    <row r="5" spans="1:29" ht="30.75" thickBot="1" x14ac:dyDescent="0.3">
      <c r="A5" s="27" t="s">
        <v>193</v>
      </c>
      <c r="B5" s="28">
        <v>45652</v>
      </c>
      <c r="C5" s="29" t="s">
        <v>203</v>
      </c>
      <c r="D5" s="29" t="s">
        <v>204</v>
      </c>
      <c r="E5" s="29" t="s">
        <v>205</v>
      </c>
      <c r="F5" s="29" t="s">
        <v>206</v>
      </c>
      <c r="G5" s="30">
        <v>1</v>
      </c>
      <c r="H5" s="76">
        <v>3210000</v>
      </c>
      <c r="I5" s="31">
        <v>2889000</v>
      </c>
      <c r="J5" s="32">
        <v>1444500</v>
      </c>
      <c r="K5" s="32">
        <v>151672.5</v>
      </c>
      <c r="L5" s="33">
        <v>0.105</v>
      </c>
      <c r="M5" s="32">
        <v>1596172.5</v>
      </c>
      <c r="N5" s="34">
        <v>3040672.5</v>
      </c>
      <c r="O5" s="39">
        <v>1596173</v>
      </c>
      <c r="P5" s="37">
        <v>1444500</v>
      </c>
      <c r="Q5" s="32">
        <v>3040672.5</v>
      </c>
      <c r="R5" s="41">
        <v>0</v>
      </c>
      <c r="S5" s="42" t="s">
        <v>207</v>
      </c>
      <c r="T5" s="43">
        <v>30717906833</v>
      </c>
      <c r="U5" s="35" t="s">
        <v>208</v>
      </c>
      <c r="V5" s="36">
        <v>1267392</v>
      </c>
      <c r="W5" s="37">
        <v>86670</v>
      </c>
      <c r="X5" s="38">
        <v>144450</v>
      </c>
      <c r="Y5" s="36">
        <v>202230</v>
      </c>
      <c r="Z5" s="26"/>
      <c r="AA5" s="26"/>
      <c r="AB5" s="26"/>
      <c r="AC5" s="26"/>
    </row>
    <row r="6" spans="1:29" ht="39" thickBot="1" x14ac:dyDescent="0.3">
      <c r="A6" s="27" t="s">
        <v>193</v>
      </c>
      <c r="B6" s="28">
        <v>45653</v>
      </c>
      <c r="C6" s="29" t="s">
        <v>120</v>
      </c>
      <c r="D6" s="29">
        <v>202410336</v>
      </c>
      <c r="E6" s="29" t="s">
        <v>194</v>
      </c>
      <c r="F6" s="29" t="s">
        <v>209</v>
      </c>
      <c r="G6" s="30">
        <v>1</v>
      </c>
      <c r="H6" s="76">
        <v>2010000</v>
      </c>
      <c r="I6" s="31">
        <v>2010000</v>
      </c>
      <c r="J6" s="32">
        <v>2010000</v>
      </c>
      <c r="K6" s="32">
        <v>422100</v>
      </c>
      <c r="L6" s="33">
        <v>0.21</v>
      </c>
      <c r="M6" s="32">
        <v>2432100</v>
      </c>
      <c r="N6" s="34">
        <v>2432100</v>
      </c>
      <c r="O6" s="39">
        <v>2432100</v>
      </c>
      <c r="P6" s="40" t="s">
        <v>196</v>
      </c>
      <c r="Q6" s="32">
        <v>2432100</v>
      </c>
      <c r="R6" s="41">
        <v>0</v>
      </c>
      <c r="S6" s="42" t="s">
        <v>210</v>
      </c>
      <c r="T6" s="43">
        <v>20397058795</v>
      </c>
      <c r="U6" s="35" t="s">
        <v>211</v>
      </c>
      <c r="V6" s="36">
        <v>552108</v>
      </c>
      <c r="W6" s="37">
        <v>60300</v>
      </c>
      <c r="X6" s="38">
        <v>100500</v>
      </c>
      <c r="Y6" s="36">
        <v>140700</v>
      </c>
      <c r="Z6" s="26"/>
      <c r="AA6" s="26"/>
      <c r="AB6" s="26"/>
      <c r="AC6" s="26"/>
    </row>
    <row r="7" spans="1:29" ht="26.25" thickBot="1" x14ac:dyDescent="0.3">
      <c r="A7" s="44" t="s">
        <v>193</v>
      </c>
      <c r="B7" s="45">
        <v>45653</v>
      </c>
      <c r="C7" s="46" t="s">
        <v>203</v>
      </c>
      <c r="D7" s="46" t="s">
        <v>212</v>
      </c>
      <c r="E7" s="46" t="s">
        <v>205</v>
      </c>
      <c r="F7" s="46" t="s">
        <v>213</v>
      </c>
      <c r="G7" s="47">
        <v>1</v>
      </c>
      <c r="H7" s="77">
        <v>3210000</v>
      </c>
      <c r="I7" s="48">
        <v>2889000</v>
      </c>
      <c r="J7" s="49">
        <v>2889000</v>
      </c>
      <c r="K7" s="49">
        <v>303345</v>
      </c>
      <c r="L7" s="50">
        <v>0.105</v>
      </c>
      <c r="M7" s="49">
        <v>3192345</v>
      </c>
      <c r="N7" s="51">
        <v>3192345</v>
      </c>
      <c r="O7" s="52">
        <v>3192345</v>
      </c>
      <c r="P7" s="53" t="s">
        <v>196</v>
      </c>
      <c r="Q7" s="49">
        <v>3192345</v>
      </c>
      <c r="R7" s="54">
        <v>0</v>
      </c>
      <c r="S7" s="55" t="s">
        <v>214</v>
      </c>
      <c r="T7" s="56">
        <v>30714010898</v>
      </c>
      <c r="U7" s="57" t="s">
        <v>185</v>
      </c>
      <c r="V7" s="58">
        <v>1267392</v>
      </c>
      <c r="W7" s="59">
        <v>86670</v>
      </c>
      <c r="X7" s="60">
        <v>144450</v>
      </c>
      <c r="Y7" s="58">
        <v>202230</v>
      </c>
      <c r="Z7" s="61">
        <v>643700</v>
      </c>
      <c r="AA7" s="26"/>
      <c r="AB7" s="26"/>
      <c r="AC7" s="26"/>
    </row>
    <row r="8" spans="1:29" ht="65.25" thickTop="1" thickBot="1" x14ac:dyDescent="0.3">
      <c r="A8" s="27" t="s">
        <v>121</v>
      </c>
      <c r="B8" s="28">
        <v>45596</v>
      </c>
      <c r="C8" s="29" t="s">
        <v>1</v>
      </c>
      <c r="D8" s="29">
        <v>202410301</v>
      </c>
      <c r="E8" s="29" t="s">
        <v>194</v>
      </c>
      <c r="F8" s="29" t="s">
        <v>215</v>
      </c>
      <c r="G8" s="30">
        <v>1</v>
      </c>
      <c r="H8" s="76">
        <v>1080000</v>
      </c>
      <c r="I8" s="31">
        <v>1080000</v>
      </c>
      <c r="J8" s="32">
        <v>1080000</v>
      </c>
      <c r="K8" s="32">
        <v>226800</v>
      </c>
      <c r="L8" s="33">
        <v>0.21</v>
      </c>
      <c r="M8" s="32">
        <v>1306800</v>
      </c>
      <c r="N8" s="34">
        <v>1306800</v>
      </c>
      <c r="O8" s="39">
        <v>1306800</v>
      </c>
      <c r="P8" s="62">
        <v>0</v>
      </c>
      <c r="Q8" s="32">
        <v>1306800</v>
      </c>
      <c r="R8" s="41">
        <v>0</v>
      </c>
      <c r="S8" s="42" t="s">
        <v>216</v>
      </c>
      <c r="T8" s="43">
        <v>20345204734</v>
      </c>
      <c r="U8" s="35" t="s">
        <v>217</v>
      </c>
      <c r="V8" s="36">
        <v>296472</v>
      </c>
      <c r="W8" s="37">
        <v>32400</v>
      </c>
      <c r="X8" s="38">
        <v>54000</v>
      </c>
      <c r="Y8" s="36">
        <v>75600</v>
      </c>
      <c r="Z8" s="26"/>
      <c r="AA8" s="26"/>
      <c r="AB8" s="26"/>
      <c r="AC8" s="26"/>
    </row>
    <row r="9" spans="1:29" ht="30.75" thickBot="1" x14ac:dyDescent="0.3">
      <c r="A9" s="27" t="s">
        <v>121</v>
      </c>
      <c r="B9" s="28">
        <v>45568</v>
      </c>
      <c r="C9" s="29" t="s">
        <v>1</v>
      </c>
      <c r="D9" s="29">
        <v>202410304</v>
      </c>
      <c r="E9" s="29" t="s">
        <v>194</v>
      </c>
      <c r="F9" s="29" t="s">
        <v>218</v>
      </c>
      <c r="G9" s="30">
        <v>1</v>
      </c>
      <c r="H9" s="76">
        <v>1080000</v>
      </c>
      <c r="I9" s="31">
        <v>972000</v>
      </c>
      <c r="J9" s="32">
        <v>291600</v>
      </c>
      <c r="K9" s="32">
        <v>61236</v>
      </c>
      <c r="L9" s="33">
        <v>0.21</v>
      </c>
      <c r="M9" s="32">
        <v>352836</v>
      </c>
      <c r="N9" s="34">
        <v>1033236</v>
      </c>
      <c r="O9" s="39">
        <v>352836</v>
      </c>
      <c r="P9" s="39">
        <v>680400</v>
      </c>
      <c r="Q9" s="32">
        <v>1033236</v>
      </c>
      <c r="R9" s="41">
        <v>0</v>
      </c>
      <c r="S9" s="42" t="s">
        <v>219</v>
      </c>
      <c r="T9" s="43">
        <v>20106597767</v>
      </c>
      <c r="U9" s="35" t="s">
        <v>208</v>
      </c>
      <c r="V9" s="36">
        <v>296472</v>
      </c>
      <c r="W9" s="37">
        <v>29160</v>
      </c>
      <c r="X9" s="38">
        <v>48600</v>
      </c>
      <c r="Y9" s="36">
        <v>68040</v>
      </c>
      <c r="Z9" s="26"/>
      <c r="AA9" s="26"/>
      <c r="AB9" s="26"/>
      <c r="AC9" s="26"/>
    </row>
    <row r="10" spans="1:29" ht="30.75" thickBot="1" x14ac:dyDescent="0.3">
      <c r="A10" s="27" t="s">
        <v>121</v>
      </c>
      <c r="B10" s="28">
        <v>45632</v>
      </c>
      <c r="C10" s="29" t="s">
        <v>203</v>
      </c>
      <c r="D10" s="29" t="s">
        <v>220</v>
      </c>
      <c r="E10" s="29" t="s">
        <v>205</v>
      </c>
      <c r="F10" s="29" t="s">
        <v>221</v>
      </c>
      <c r="G10" s="30">
        <v>1</v>
      </c>
      <c r="H10" s="76">
        <v>3210000</v>
      </c>
      <c r="I10" s="31">
        <v>2728500</v>
      </c>
      <c r="J10" s="32">
        <v>818550</v>
      </c>
      <c r="K10" s="32">
        <v>85947.75</v>
      </c>
      <c r="L10" s="33">
        <v>0.105</v>
      </c>
      <c r="M10" s="32">
        <v>904497.75</v>
      </c>
      <c r="N10" s="34">
        <v>2814447.75</v>
      </c>
      <c r="O10" s="39">
        <v>904498</v>
      </c>
      <c r="P10" s="39">
        <v>1909950</v>
      </c>
      <c r="Q10" s="32">
        <v>2814448</v>
      </c>
      <c r="R10" s="41">
        <v>-0.25</v>
      </c>
      <c r="S10" s="42" t="s">
        <v>222</v>
      </c>
      <c r="T10" s="43">
        <v>30717748707</v>
      </c>
      <c r="U10" s="35" t="s">
        <v>208</v>
      </c>
      <c r="V10" s="36">
        <v>1267392</v>
      </c>
      <c r="W10" s="37">
        <v>81855</v>
      </c>
      <c r="X10" s="38">
        <v>136425</v>
      </c>
      <c r="Y10" s="36">
        <v>190995</v>
      </c>
      <c r="Z10" s="26"/>
      <c r="AA10" s="26"/>
      <c r="AB10" s="26"/>
      <c r="AC10" s="26"/>
    </row>
    <row r="11" spans="1:29" ht="25.5" customHeight="1" thickBot="1" x14ac:dyDescent="0.3">
      <c r="A11" s="27" t="s">
        <v>121</v>
      </c>
      <c r="B11" s="28">
        <v>45574</v>
      </c>
      <c r="C11" s="29" t="s">
        <v>1</v>
      </c>
      <c r="D11" s="29">
        <v>202410323</v>
      </c>
      <c r="E11" s="29" t="s">
        <v>194</v>
      </c>
      <c r="F11" s="29" t="s">
        <v>223</v>
      </c>
      <c r="G11" s="30">
        <v>1</v>
      </c>
      <c r="H11" s="76">
        <v>1080000</v>
      </c>
      <c r="I11" s="31">
        <v>1080000</v>
      </c>
      <c r="J11" s="32">
        <v>1080000</v>
      </c>
      <c r="K11" s="32">
        <v>226800</v>
      </c>
      <c r="L11" s="33">
        <v>0.21</v>
      </c>
      <c r="M11" s="32">
        <v>1306800</v>
      </c>
      <c r="N11" s="34">
        <v>1306800</v>
      </c>
      <c r="O11" s="39">
        <v>425073</v>
      </c>
      <c r="P11" s="39">
        <v>881650</v>
      </c>
      <c r="Q11" s="32">
        <v>1306723</v>
      </c>
      <c r="R11" s="41">
        <v>77</v>
      </c>
      <c r="S11" s="42" t="s">
        <v>224</v>
      </c>
      <c r="T11" s="43">
        <v>20435521275</v>
      </c>
      <c r="U11" s="35" t="s">
        <v>225</v>
      </c>
      <c r="V11" s="36">
        <v>296472</v>
      </c>
      <c r="W11" s="37">
        <v>32400</v>
      </c>
      <c r="X11" s="38">
        <v>54000</v>
      </c>
      <c r="Y11" s="36">
        <v>75600</v>
      </c>
      <c r="Z11" s="26"/>
      <c r="AA11" s="26"/>
      <c r="AB11" s="26"/>
      <c r="AC11" s="26"/>
    </row>
    <row r="12" spans="1:29" ht="26.25" thickBot="1" x14ac:dyDescent="0.3">
      <c r="A12" s="27" t="s">
        <v>121</v>
      </c>
      <c r="B12" s="28">
        <v>45653</v>
      </c>
      <c r="C12" s="29" t="s">
        <v>203</v>
      </c>
      <c r="D12" s="29" t="s">
        <v>226</v>
      </c>
      <c r="E12" s="29" t="s">
        <v>205</v>
      </c>
      <c r="F12" s="29" t="s">
        <v>227</v>
      </c>
      <c r="G12" s="134">
        <v>2</v>
      </c>
      <c r="H12" s="76">
        <v>3210000</v>
      </c>
      <c r="I12" s="136">
        <v>5328600</v>
      </c>
      <c r="J12" s="125">
        <v>2664300</v>
      </c>
      <c r="K12" s="125">
        <v>279751.5</v>
      </c>
      <c r="L12" s="138">
        <v>0.105</v>
      </c>
      <c r="M12" s="125">
        <v>2944051.5</v>
      </c>
      <c r="N12" s="146">
        <v>5608351.5</v>
      </c>
      <c r="O12" s="148">
        <v>2944052</v>
      </c>
      <c r="P12" s="148">
        <v>2660000</v>
      </c>
      <c r="Q12" s="125">
        <v>5604052</v>
      </c>
      <c r="R12" s="149">
        <v>4299.5</v>
      </c>
      <c r="S12" s="151" t="s">
        <v>228</v>
      </c>
      <c r="T12" s="154">
        <v>20321870253</v>
      </c>
      <c r="U12" s="155" t="s">
        <v>208</v>
      </c>
      <c r="V12" s="144">
        <v>2534784</v>
      </c>
      <c r="W12" s="140">
        <v>159858</v>
      </c>
      <c r="X12" s="142">
        <v>266430</v>
      </c>
      <c r="Y12" s="144">
        <v>373002</v>
      </c>
      <c r="Z12" s="26"/>
      <c r="AA12" s="26"/>
      <c r="AB12" s="26"/>
      <c r="AC12" s="26"/>
    </row>
    <row r="13" spans="1:29" ht="26.25" thickBot="1" x14ac:dyDescent="0.3">
      <c r="A13" s="27" t="s">
        <v>121</v>
      </c>
      <c r="B13" s="28">
        <v>45653</v>
      </c>
      <c r="C13" s="29" t="s">
        <v>203</v>
      </c>
      <c r="D13" s="29" t="s">
        <v>229</v>
      </c>
      <c r="E13" s="29" t="s">
        <v>205</v>
      </c>
      <c r="F13" s="29" t="s">
        <v>227</v>
      </c>
      <c r="G13" s="135"/>
      <c r="H13" s="76">
        <v>3210000</v>
      </c>
      <c r="I13" s="137"/>
      <c r="J13" s="126"/>
      <c r="K13" s="126"/>
      <c r="L13" s="139"/>
      <c r="M13" s="126"/>
      <c r="N13" s="147"/>
      <c r="O13" s="128"/>
      <c r="P13" s="128"/>
      <c r="Q13" s="126"/>
      <c r="R13" s="150"/>
      <c r="S13" s="122"/>
      <c r="T13" s="124"/>
      <c r="U13" s="156"/>
      <c r="V13" s="145"/>
      <c r="W13" s="141"/>
      <c r="X13" s="143"/>
      <c r="Y13" s="145"/>
      <c r="Z13" s="26"/>
      <c r="AA13" s="26"/>
      <c r="AB13" s="26"/>
      <c r="AC13" s="26"/>
    </row>
    <row r="14" spans="1:29" ht="26.25" thickBot="1" x14ac:dyDescent="0.3">
      <c r="A14" s="44" t="s">
        <v>121</v>
      </c>
      <c r="B14" s="45">
        <v>45653</v>
      </c>
      <c r="C14" s="46" t="s">
        <v>230</v>
      </c>
      <c r="D14" s="46" t="s">
        <v>199</v>
      </c>
      <c r="E14" s="46" t="s">
        <v>199</v>
      </c>
      <c r="F14" s="46" t="s">
        <v>227</v>
      </c>
      <c r="G14" s="47">
        <v>2</v>
      </c>
      <c r="H14" s="77">
        <v>91000</v>
      </c>
      <c r="I14" s="63">
        <v>0</v>
      </c>
      <c r="J14" s="64">
        <v>0</v>
      </c>
      <c r="K14" s="64">
        <v>0</v>
      </c>
      <c r="L14" s="50">
        <v>0</v>
      </c>
      <c r="M14" s="64">
        <v>0</v>
      </c>
      <c r="N14" s="65" t="s">
        <v>231</v>
      </c>
      <c r="O14" s="55"/>
      <c r="P14" s="55"/>
      <c r="Q14" s="64">
        <v>0</v>
      </c>
      <c r="R14" s="66"/>
      <c r="S14" s="55"/>
      <c r="T14" s="55"/>
      <c r="U14" s="55"/>
      <c r="V14" s="58">
        <v>34368</v>
      </c>
      <c r="W14" s="53" t="s">
        <v>196</v>
      </c>
      <c r="X14" s="67" t="s">
        <v>196</v>
      </c>
      <c r="Y14" s="68" t="s">
        <v>196</v>
      </c>
      <c r="Z14" s="61">
        <v>559455</v>
      </c>
      <c r="AA14" s="26"/>
      <c r="AB14" s="26"/>
      <c r="AC14" s="26"/>
    </row>
    <row r="15" spans="1:29" ht="39.75" thickTop="1" thickBot="1" x14ac:dyDescent="0.3">
      <c r="A15" s="27" t="s">
        <v>119</v>
      </c>
      <c r="B15" s="28">
        <v>45621</v>
      </c>
      <c r="C15" s="29" t="s">
        <v>232</v>
      </c>
      <c r="D15" s="29" t="s">
        <v>233</v>
      </c>
      <c r="E15" s="29" t="s">
        <v>205</v>
      </c>
      <c r="F15" s="29" t="s">
        <v>234</v>
      </c>
      <c r="G15" s="30">
        <v>1</v>
      </c>
      <c r="H15" s="76">
        <v>3125000</v>
      </c>
      <c r="I15" s="31">
        <v>2968750</v>
      </c>
      <c r="J15" s="32">
        <v>1484375</v>
      </c>
      <c r="K15" s="32">
        <v>311718.75</v>
      </c>
      <c r="L15" s="33">
        <v>0.21</v>
      </c>
      <c r="M15" s="32">
        <v>1796093.75</v>
      </c>
      <c r="N15" s="34">
        <v>3280468.75</v>
      </c>
      <c r="O15" s="39">
        <v>1796094</v>
      </c>
      <c r="P15" s="39">
        <v>1484375</v>
      </c>
      <c r="Q15" s="32">
        <v>3280469</v>
      </c>
      <c r="R15" s="41">
        <v>-0.25</v>
      </c>
      <c r="S15" s="42" t="s">
        <v>235</v>
      </c>
      <c r="T15" s="43">
        <v>23412378539</v>
      </c>
      <c r="U15" s="35" t="s">
        <v>208</v>
      </c>
      <c r="V15" s="36">
        <v>859236</v>
      </c>
      <c r="W15" s="42"/>
      <c r="X15" s="42"/>
      <c r="Y15" s="69"/>
      <c r="Z15" s="26"/>
      <c r="AA15" s="26"/>
      <c r="AB15" s="26"/>
      <c r="AC15" s="26"/>
    </row>
    <row r="16" spans="1:29" ht="30.75" thickBot="1" x14ac:dyDescent="0.3">
      <c r="A16" s="27" t="s">
        <v>119</v>
      </c>
      <c r="B16" s="28">
        <v>45635</v>
      </c>
      <c r="C16" s="29" t="s">
        <v>120</v>
      </c>
      <c r="D16" s="29">
        <v>202403602</v>
      </c>
      <c r="E16" s="29" t="s">
        <v>194</v>
      </c>
      <c r="F16" s="29" t="s">
        <v>236</v>
      </c>
      <c r="G16" s="30">
        <v>1</v>
      </c>
      <c r="H16" s="76">
        <v>2010000</v>
      </c>
      <c r="I16" s="31">
        <v>1809500</v>
      </c>
      <c r="J16" s="32">
        <v>904750</v>
      </c>
      <c r="K16" s="32">
        <v>189997.5</v>
      </c>
      <c r="L16" s="33">
        <v>0.21</v>
      </c>
      <c r="M16" s="32">
        <v>1094747.5</v>
      </c>
      <c r="N16" s="34">
        <v>1999497.5</v>
      </c>
      <c r="O16" s="39">
        <v>1094748</v>
      </c>
      <c r="P16" s="39">
        <v>905000</v>
      </c>
      <c r="Q16" s="32">
        <v>1999748</v>
      </c>
      <c r="R16" s="41">
        <v>-250.5</v>
      </c>
      <c r="S16" s="152" t="s">
        <v>237</v>
      </c>
      <c r="T16" s="154">
        <v>20380109485</v>
      </c>
      <c r="U16" s="35" t="s">
        <v>208</v>
      </c>
      <c r="V16" s="36">
        <v>552108</v>
      </c>
      <c r="W16" s="42"/>
      <c r="X16" s="42"/>
      <c r="Y16" s="69"/>
      <c r="Z16" s="26"/>
      <c r="AA16" s="26"/>
      <c r="AB16" s="26"/>
      <c r="AC16" s="26"/>
    </row>
    <row r="17" spans="1:29" ht="30.75" thickBot="1" x14ac:dyDescent="0.3">
      <c r="A17" s="27" t="s">
        <v>119</v>
      </c>
      <c r="B17" s="28">
        <v>45635</v>
      </c>
      <c r="C17" s="29" t="s">
        <v>238</v>
      </c>
      <c r="D17" s="29" t="s">
        <v>239</v>
      </c>
      <c r="E17" s="29" t="s">
        <v>205</v>
      </c>
      <c r="F17" s="29" t="s">
        <v>236</v>
      </c>
      <c r="G17" s="30">
        <v>1</v>
      </c>
      <c r="H17" s="76">
        <v>1080000</v>
      </c>
      <c r="I17" s="31">
        <v>370000</v>
      </c>
      <c r="J17" s="32">
        <v>185000</v>
      </c>
      <c r="K17" s="32">
        <v>38850</v>
      </c>
      <c r="L17" s="33">
        <v>0.21</v>
      </c>
      <c r="M17" s="32">
        <v>223850</v>
      </c>
      <c r="N17" s="34">
        <v>408850</v>
      </c>
      <c r="O17" s="39">
        <v>223850</v>
      </c>
      <c r="P17" s="39">
        <v>185000</v>
      </c>
      <c r="Q17" s="32">
        <v>408850</v>
      </c>
      <c r="R17" s="41">
        <v>0</v>
      </c>
      <c r="S17" s="153"/>
      <c r="T17" s="124"/>
      <c r="U17" s="35" t="s">
        <v>208</v>
      </c>
      <c r="V17" s="36">
        <v>129372</v>
      </c>
      <c r="W17" s="42"/>
      <c r="X17" s="42"/>
      <c r="Y17" s="69"/>
      <c r="Z17" s="26"/>
      <c r="AA17" s="26"/>
      <c r="AB17" s="26"/>
      <c r="AC17" s="26"/>
    </row>
    <row r="18" spans="1:29" ht="30.75" thickBot="1" x14ac:dyDescent="0.3">
      <c r="A18" s="27" t="s">
        <v>119</v>
      </c>
      <c r="B18" s="28">
        <v>45644</v>
      </c>
      <c r="C18" s="29" t="s">
        <v>240</v>
      </c>
      <c r="D18" s="29" t="s">
        <v>241</v>
      </c>
      <c r="E18" s="29" t="s">
        <v>205</v>
      </c>
      <c r="F18" s="29" t="s">
        <v>242</v>
      </c>
      <c r="G18" s="30">
        <v>1</v>
      </c>
      <c r="H18" s="76">
        <v>1080000</v>
      </c>
      <c r="I18" s="31">
        <v>1080000</v>
      </c>
      <c r="J18" s="32">
        <v>1080000</v>
      </c>
      <c r="K18" s="32">
        <v>113400</v>
      </c>
      <c r="L18" s="33">
        <v>0.105</v>
      </c>
      <c r="M18" s="32">
        <v>1193400</v>
      </c>
      <c r="N18" s="34">
        <v>1193400</v>
      </c>
      <c r="O18" s="39">
        <v>1193400</v>
      </c>
      <c r="P18" s="40" t="s">
        <v>196</v>
      </c>
      <c r="Q18" s="32">
        <v>1193400</v>
      </c>
      <c r="R18" s="41">
        <v>0</v>
      </c>
      <c r="S18" s="42" t="s">
        <v>243</v>
      </c>
      <c r="T18" s="43">
        <v>20269112213</v>
      </c>
      <c r="U18" s="35" t="s">
        <v>217</v>
      </c>
      <c r="V18" s="36">
        <v>301800</v>
      </c>
      <c r="W18" s="42"/>
      <c r="X18" s="42"/>
      <c r="Y18" s="69"/>
      <c r="Z18" s="26"/>
      <c r="AA18" s="26"/>
      <c r="AB18" s="26"/>
      <c r="AC18" s="26"/>
    </row>
    <row r="19" spans="1:29" ht="15.75" thickBot="1" x14ac:dyDescent="0.3">
      <c r="A19" s="70"/>
      <c r="B19" s="71"/>
      <c r="C19" s="71"/>
      <c r="D19" s="71"/>
      <c r="E19" s="71"/>
      <c r="F19" s="71"/>
      <c r="G19" s="71"/>
      <c r="H19" s="78">
        <v>34207000</v>
      </c>
      <c r="I19" s="72">
        <v>30291350</v>
      </c>
      <c r="J19" s="72">
        <v>21018075</v>
      </c>
      <c r="K19" s="72">
        <v>3068604</v>
      </c>
      <c r="L19" s="71"/>
      <c r="M19" s="72">
        <v>24086679</v>
      </c>
      <c r="N19" s="72">
        <v>33359954</v>
      </c>
      <c r="O19" s="71"/>
      <c r="P19" s="71"/>
      <c r="Q19" s="71"/>
      <c r="R19" s="73">
        <v>4125.5</v>
      </c>
      <c r="S19" s="71"/>
      <c r="T19" s="71"/>
      <c r="U19" s="71"/>
      <c r="V19" s="74">
        <v>11188068</v>
      </c>
      <c r="W19" s="71"/>
      <c r="X19" s="71"/>
      <c r="Y19" s="71"/>
      <c r="Z19" s="26"/>
      <c r="AA19" s="26"/>
      <c r="AB19" s="26"/>
      <c r="AC19" s="26"/>
    </row>
    <row r="20" spans="1:29" ht="16.5" thickTop="1" thickBo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15.75" thickBot="1" x14ac:dyDescent="0.3">
      <c r="A21" s="26"/>
      <c r="B21" s="26"/>
      <c r="C21" s="26"/>
      <c r="D21" s="26"/>
      <c r="E21" s="26"/>
      <c r="F21" s="26"/>
      <c r="G21" s="80" t="s">
        <v>290</v>
      </c>
      <c r="H21" s="79">
        <f>+H19-I19</f>
        <v>3915650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15.75" thickBo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15.75" thickBo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15.75" thickBo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15.75" thickBo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15.75" thickBo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15.75" thickBo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15.75" thickBo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15.75" thickBo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15.75" thickBot="1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5.75" thickBot="1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5.75" thickBot="1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5.75" thickBot="1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5.75" thickBot="1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5.75" thickBot="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5.75" thickBot="1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5.75" thickBot="1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5.75" thickBot="1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5.75" thickBot="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5.75" thickBot="1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5.75" thickBot="1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5.75" thickBot="1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5.75" thickBot="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5.75" thickBo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5.75" thickBo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5.75" thickBot="1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5.75" thickBot="1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5.75" thickBot="1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5.75" thickBot="1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5.75" thickBot="1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5.75" thickBo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5.75" thickBot="1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5.75" thickBot="1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5.75" thickBot="1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5.75" thickBot="1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5.75" thickBot="1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5.75" thickBot="1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5.75" thickBo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5.75" thickBo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5.75" thickBot="1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5.75" thickBo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5.75" thickBot="1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5.75" thickBot="1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5.75" thickBot="1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5.75" thickBot="1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5.75" thickBot="1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5.75" thickBot="1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5.75" thickBot="1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5.75" thickBot="1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5.75" thickBot="1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5.75" thickBot="1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5.75" thickBot="1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5.75" thickBot="1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5.75" thickBot="1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5.75" thickBot="1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5.75" thickBot="1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5.75" thickBot="1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5.75" thickBot="1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5.75" thickBot="1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5.75" thickBot="1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5.75" thickBot="1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5.75" thickBot="1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5.75" thickBot="1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5.75" thickBot="1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5.75" thickBot="1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5.75" thickBot="1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5.75" thickBot="1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5.75" thickBot="1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5.75" thickBot="1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5.75" thickBot="1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5.75" thickBot="1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5.75" thickBot="1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5.75" thickBot="1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5.75" thickBot="1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5.75" thickBot="1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5.75" thickBot="1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5.75" thickBot="1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5.75" thickBo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5.75" thickBot="1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5.75" thickBot="1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5.75" thickBot="1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5.75" thickBot="1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5.75" thickBot="1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5.75" thickBot="1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5.75" thickBot="1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5.75" thickBot="1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5.75" thickBot="1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5.75" thickBot="1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5.75" thickBot="1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5.75" thickBot="1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5.75" thickBot="1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5.75" thickBo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5.75" thickBot="1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5.75" thickBot="1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5.75" thickBot="1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5.75" thickBot="1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5.75" thickBot="1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5.75" thickBot="1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5.75" thickBot="1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5.75" thickBot="1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5.75" thickBot="1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5.75" thickBot="1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5.75" thickBot="1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5.75" thickBot="1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5.75" thickBot="1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5.75" thickBot="1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5.75" thickBot="1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5.75" thickBot="1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5.75" thickBot="1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5.75" thickBo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5.75" thickBo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5.75" thickBo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5.75" thickBot="1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5.75" thickBot="1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5.75" thickBot="1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5.75" thickBot="1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5.75" thickBot="1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5.75" thickBot="1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5.75" thickBot="1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5.75" thickBot="1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5.75" thickBot="1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5.75" thickBot="1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5.75" thickBot="1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5.75" thickBot="1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5.75" thickBot="1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5.75" thickBot="1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5.75" thickBo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5.75" thickBot="1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5.75" thickBot="1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5.75" thickBo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5.75" thickBot="1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5.75" thickBo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5.75" thickBo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5.75" thickBot="1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5.75" thickBot="1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5.75" thickBot="1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5.75" thickBo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5.75" thickBot="1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5.75" thickBot="1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5.75" thickBot="1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5.75" thickBot="1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5.75" thickBot="1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5.75" thickBot="1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5.75" thickBot="1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5.75" thickBot="1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5.75" thickBot="1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5.75" thickBo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5.75" thickBot="1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5.75" thickBot="1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5.75" thickBot="1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5.75" thickBot="1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5.75" thickBot="1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5.75" thickBot="1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5.75" thickBot="1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5.75" thickBot="1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5.75" thickBot="1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5.75" thickBot="1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5.75" thickBot="1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5.75" thickBot="1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5.75" thickBot="1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5.75" thickBot="1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5.75" thickBot="1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5.75" thickBot="1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5.75" thickBot="1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5.75" thickBot="1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5.75" thickBot="1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5.75" thickBot="1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5.75" thickBot="1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5.75" thickBot="1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5.75" thickBot="1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5.75" thickBot="1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5.75" thickBot="1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5.75" thickBot="1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5.75" thickBot="1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5.75" thickBot="1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5.75" thickBot="1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5.75" thickBot="1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5.75" thickBot="1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5.75" thickBot="1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5.75" thickBot="1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5.75" thickBot="1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5.75" thickBot="1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5.75" thickBot="1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5.75" thickBot="1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5.75" thickBot="1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5.75" thickBot="1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5.75" thickBo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5.75" thickBot="1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5.75" thickBo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5.75" thickBot="1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5.75" thickBot="1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5.75" thickBot="1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5.75" thickBot="1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5.75" thickBot="1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5.75" thickBot="1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5.75" thickBot="1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5.75" thickBot="1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5.75" thickBot="1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5.75" thickBot="1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5.75" thickBot="1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5.75" thickBot="1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15.75" thickBot="1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15.75" thickBot="1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15.75" thickBot="1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15.75" thickBot="1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15.75" thickBot="1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15.75" thickBot="1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15.75" thickBot="1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15.75" thickBot="1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15.75" thickBot="1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15.75" thickBot="1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15.75" thickBot="1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15.75" thickBot="1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15.75" thickBot="1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15.75" thickBot="1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15.75" thickBot="1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15.75" thickBot="1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15.75" thickBot="1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15.75" thickBot="1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15.75" thickBot="1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15.75" thickBot="1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15.75" thickBot="1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15.75" thickBot="1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15.75" thickBot="1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15.75" thickBot="1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15.75" thickBot="1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15.75" thickBot="1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15.75" thickBot="1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thickBot="1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ht="15.75" thickBot="1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ht="15.75" thickBot="1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ht="15.75" thickBot="1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ht="15.75" thickBot="1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spans="1:29" ht="15.75" thickBot="1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spans="1:29" ht="15.75" thickBot="1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spans="1:29" ht="15.75" thickBot="1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spans="1:29" ht="15.75" thickBot="1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spans="1:29" ht="15.75" thickBot="1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spans="1:29" ht="15.75" thickBot="1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spans="1:29" ht="15.75" thickBot="1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spans="1:29" ht="15.75" thickBot="1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spans="1:29" ht="15.75" thickBot="1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spans="1:29" ht="15.75" thickBot="1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spans="1:29" ht="15.75" thickBot="1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spans="1:29" ht="15.75" thickBot="1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spans="1:29" ht="15.75" thickBot="1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spans="1:29" ht="15.75" thickBot="1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spans="1:29" ht="15.75" thickBot="1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spans="1:29" ht="15.75" thickBot="1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spans="1:29" ht="15.75" thickBot="1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spans="1:29" ht="15.75" thickBot="1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spans="1:29" ht="15.75" thickBot="1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spans="1:29" ht="15.75" thickBot="1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spans="1:29" ht="15.75" thickBot="1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spans="1:29" ht="15.75" thickBot="1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spans="1:29" ht="15.75" thickBot="1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spans="1:29" ht="15.75" thickBot="1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spans="1:29" ht="15.75" thickBot="1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spans="1:29" ht="15.75" thickBot="1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spans="1:29" ht="15.75" thickBot="1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spans="1:29" ht="15.75" thickBot="1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spans="1:29" ht="15.75" thickBot="1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spans="1:29" ht="15.75" thickBot="1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spans="1:29" ht="15.75" thickBot="1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spans="1:29" ht="15.75" thickBot="1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spans="1:29" ht="15.75" thickBot="1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5.75" thickBot="1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ht="15.75" thickBot="1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spans="1:29" ht="15.75" thickBot="1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spans="1:29" ht="15.75" thickBot="1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spans="1:29" ht="15.75" thickBot="1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spans="1:29" ht="15.75" thickBot="1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spans="1:29" ht="15.75" thickBot="1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spans="1:29" ht="15.75" thickBot="1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spans="1:29" ht="15.75" thickBot="1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spans="1:29" ht="15.75" thickBot="1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spans="1:29" ht="15.75" thickBot="1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spans="1:29" ht="15.75" thickBot="1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spans="1:29" ht="15.75" thickBot="1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spans="1:29" ht="15.75" thickBot="1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spans="1:29" ht="15.75" thickBot="1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spans="1:29" ht="15.75" thickBot="1" x14ac:dyDescent="0.3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spans="1:29" ht="15.75" thickBot="1" x14ac:dyDescent="0.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spans="1:29" ht="15.75" thickBot="1" x14ac:dyDescent="0.3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spans="1:29" ht="15.75" thickBot="1" x14ac:dyDescent="0.3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spans="1:29" ht="15.75" thickBot="1" x14ac:dyDescent="0.3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spans="1:29" ht="15.75" thickBot="1" x14ac:dyDescent="0.3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spans="1:29" ht="15.75" thickBot="1" x14ac:dyDescent="0.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spans="1:29" ht="15.75" thickBot="1" x14ac:dyDescent="0.3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spans="1:29" ht="15.75" thickBot="1" x14ac:dyDescent="0.3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spans="1:29" ht="15.75" thickBot="1" x14ac:dyDescent="0.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spans="1:29" ht="15.75" thickBot="1" x14ac:dyDescent="0.3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5.75" thickBot="1" x14ac:dyDescent="0.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ht="15.75" thickBot="1" x14ac:dyDescent="0.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spans="1:29" ht="15.75" thickBot="1" x14ac:dyDescent="0.3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spans="1:29" ht="15.75" thickBot="1" x14ac:dyDescent="0.3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spans="1:29" ht="15.75" thickBot="1" x14ac:dyDescent="0.3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spans="1:29" ht="15.75" thickBot="1" x14ac:dyDescent="0.3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spans="1:29" ht="15.75" thickBot="1" x14ac:dyDescent="0.3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spans="1:29" ht="15.75" thickBot="1" x14ac:dyDescent="0.3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spans="1:29" ht="15.75" thickBot="1" x14ac:dyDescent="0.3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spans="1:29" ht="15.75" thickBot="1" x14ac:dyDescent="0.3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spans="1:29" ht="15.75" thickBot="1" x14ac:dyDescent="0.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spans="1:29" ht="15.75" thickBot="1" x14ac:dyDescent="0.3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spans="1:29" ht="15.75" thickBot="1" x14ac:dyDescent="0.3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spans="1:29" ht="15.75" thickBot="1" x14ac:dyDescent="0.3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spans="1:29" ht="15.75" thickBot="1" x14ac:dyDescent="0.3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spans="1:29" ht="15.75" thickBot="1" x14ac:dyDescent="0.3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spans="1:29" ht="15.75" thickBot="1" x14ac:dyDescent="0.3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spans="1:29" ht="15.75" thickBot="1" x14ac:dyDescent="0.3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spans="1:29" ht="15.75" thickBot="1" x14ac:dyDescent="0.3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spans="1:29" ht="15.75" thickBot="1" x14ac:dyDescent="0.3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spans="1:29" ht="15.75" thickBot="1" x14ac:dyDescent="0.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spans="1:29" ht="15.75" thickBot="1" x14ac:dyDescent="0.3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spans="1:29" ht="15.75" thickBot="1" x14ac:dyDescent="0.3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spans="1:29" ht="15.75" thickBot="1" x14ac:dyDescent="0.3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spans="1:29" ht="15.75" thickBot="1" x14ac:dyDescent="0.3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spans="1:29" ht="15.75" thickBot="1" x14ac:dyDescent="0.3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spans="1:29" ht="15.75" thickBot="1" x14ac:dyDescent="0.3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spans="1:29" ht="15.75" thickBot="1" x14ac:dyDescent="0.3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spans="1:29" ht="15.75" thickBot="1" x14ac:dyDescent="0.3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5.75" thickBot="1" x14ac:dyDescent="0.3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ht="15.75" thickBot="1" x14ac:dyDescent="0.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spans="1:29" ht="15.75" thickBot="1" x14ac:dyDescent="0.3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spans="1:29" ht="15.75" thickBot="1" x14ac:dyDescent="0.3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spans="1:29" ht="15.75" thickBot="1" x14ac:dyDescent="0.3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spans="1:29" ht="15.75" thickBot="1" x14ac:dyDescent="0.3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spans="1:29" ht="15.75" thickBot="1" x14ac:dyDescent="0.3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spans="1:29" ht="15.75" thickBot="1" x14ac:dyDescent="0.3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spans="1:29" ht="15.75" thickBot="1" x14ac:dyDescent="0.3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spans="1:29" ht="15.75" thickBot="1" x14ac:dyDescent="0.3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spans="1:29" ht="15.75" thickBot="1" x14ac:dyDescent="0.3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spans="1:29" ht="15.75" thickBot="1" x14ac:dyDescent="0.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spans="1:29" ht="15.75" thickBot="1" x14ac:dyDescent="0.3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spans="1:29" ht="15.75" thickBot="1" x14ac:dyDescent="0.3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spans="1:29" ht="15.75" thickBot="1" x14ac:dyDescent="0.3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spans="1:29" ht="15.75" thickBot="1" x14ac:dyDescent="0.3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spans="1:29" ht="15.75" thickBot="1" x14ac:dyDescent="0.3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spans="1:29" ht="15.75" thickBot="1" x14ac:dyDescent="0.3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spans="1:29" ht="15.75" thickBot="1" x14ac:dyDescent="0.3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spans="1:29" ht="15.75" thickBot="1" x14ac:dyDescent="0.3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spans="1:29" ht="15.75" thickBot="1" x14ac:dyDescent="0.3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spans="1:29" ht="15.75" thickBot="1" x14ac:dyDescent="0.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spans="1:29" ht="15.75" thickBot="1" x14ac:dyDescent="0.3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spans="1:29" ht="15.75" thickBot="1" x14ac:dyDescent="0.3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spans="1:29" ht="15.75" thickBot="1" x14ac:dyDescent="0.3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spans="1:29" ht="15.75" thickBot="1" x14ac:dyDescent="0.3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spans="1:29" ht="15.75" thickBot="1" x14ac:dyDescent="0.3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spans="1:29" ht="15.75" thickBot="1" x14ac:dyDescent="0.3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spans="1:29" ht="15.75" thickBot="1" x14ac:dyDescent="0.3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spans="1:29" ht="15.75" thickBot="1" x14ac:dyDescent="0.3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5.75" thickBot="1" x14ac:dyDescent="0.3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ht="15.75" thickBot="1" x14ac:dyDescent="0.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spans="1:29" ht="15.75" thickBot="1" x14ac:dyDescent="0.3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spans="1:29" ht="15.75" thickBot="1" x14ac:dyDescent="0.3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spans="1:29" ht="15.75" thickBot="1" x14ac:dyDescent="0.3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spans="1:29" ht="15.75" thickBot="1" x14ac:dyDescent="0.3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spans="1:29" ht="15.75" thickBot="1" x14ac:dyDescent="0.3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spans="1:29" ht="15.75" thickBot="1" x14ac:dyDescent="0.3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spans="1:29" ht="15.75" thickBot="1" x14ac:dyDescent="0.3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ht="15.75" thickBot="1" x14ac:dyDescent="0.3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spans="1:29" ht="15.75" thickBot="1" x14ac:dyDescent="0.3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spans="1:29" ht="15.75" thickBot="1" x14ac:dyDescent="0.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spans="1:29" ht="15.75" thickBot="1" x14ac:dyDescent="0.3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spans="1:29" ht="15.75" thickBot="1" x14ac:dyDescent="0.3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spans="1:29" ht="15.75" thickBot="1" x14ac:dyDescent="0.3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spans="1:29" ht="15.75" thickBot="1" x14ac:dyDescent="0.3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spans="1:29" ht="15.75" thickBot="1" x14ac:dyDescent="0.3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spans="1:29" ht="15.75" thickBot="1" x14ac:dyDescent="0.3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spans="1:29" ht="15.75" thickBot="1" x14ac:dyDescent="0.3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5.75" thickBot="1" x14ac:dyDescent="0.3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ht="15.75" thickBot="1" x14ac:dyDescent="0.3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spans="1:29" ht="15.75" thickBot="1" x14ac:dyDescent="0.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spans="1:29" ht="15.75" thickBot="1" x14ac:dyDescent="0.3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spans="1:29" ht="15.75" thickBot="1" x14ac:dyDescent="0.3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spans="1:29" ht="15.75" thickBot="1" x14ac:dyDescent="0.3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spans="1:29" ht="15.75" thickBot="1" x14ac:dyDescent="0.3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spans="1:29" ht="15.75" thickBot="1" x14ac:dyDescent="0.3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spans="1:29" ht="15.75" thickBot="1" x14ac:dyDescent="0.3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spans="1:29" ht="15.75" thickBot="1" x14ac:dyDescent="0.3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spans="1:29" ht="15.75" thickBot="1" x14ac:dyDescent="0.3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spans="1:29" ht="15.75" thickBot="1" x14ac:dyDescent="0.3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spans="1:29" ht="15.75" thickBot="1" x14ac:dyDescent="0.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spans="1:29" ht="15.75" thickBot="1" x14ac:dyDescent="0.3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spans="1:29" ht="15.75" thickBot="1" x14ac:dyDescent="0.3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spans="1:29" ht="15.75" thickBot="1" x14ac:dyDescent="0.3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spans="1:29" ht="15.75" thickBot="1" x14ac:dyDescent="0.3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spans="1:29" ht="15.75" thickBot="1" x14ac:dyDescent="0.3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spans="1:29" ht="15.75" thickBot="1" x14ac:dyDescent="0.3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spans="1:29" ht="15.75" thickBot="1" x14ac:dyDescent="0.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spans="1:29" ht="15.75" thickBot="1" x14ac:dyDescent="0.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spans="1:29" ht="15.75" thickBot="1" x14ac:dyDescent="0.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spans="1:29" ht="15.75" thickBot="1" x14ac:dyDescent="0.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spans="1:29" ht="15.75" thickBot="1" x14ac:dyDescent="0.3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spans="1:29" ht="15.75" thickBot="1" x14ac:dyDescent="0.3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spans="1:29" ht="15.75" thickBot="1" x14ac:dyDescent="0.3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spans="1:29" ht="15.75" thickBot="1" x14ac:dyDescent="0.3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spans="1:29" ht="15.75" thickBot="1" x14ac:dyDescent="0.3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spans="1:29" ht="15.75" thickBot="1" x14ac:dyDescent="0.3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spans="1:29" ht="15.75" thickBot="1" x14ac:dyDescent="0.3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spans="1:29" ht="15.75" thickBot="1" x14ac:dyDescent="0.3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spans="1:29" ht="15.75" thickBot="1" x14ac:dyDescent="0.3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spans="1:29" ht="15.75" thickBot="1" x14ac:dyDescent="0.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5.75" thickBot="1" x14ac:dyDescent="0.3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ht="15.75" thickBot="1" x14ac:dyDescent="0.3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spans="1:29" ht="15.75" thickBot="1" x14ac:dyDescent="0.3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spans="1:29" ht="15.75" thickBot="1" x14ac:dyDescent="0.3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spans="1:29" ht="15.75" thickBot="1" x14ac:dyDescent="0.3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spans="1:29" ht="15.75" thickBot="1" x14ac:dyDescent="0.3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spans="1:29" ht="15.75" thickBot="1" x14ac:dyDescent="0.3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spans="1:29" ht="15.75" thickBot="1" x14ac:dyDescent="0.3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spans="1:29" ht="15.75" thickBot="1" x14ac:dyDescent="0.3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spans="1:29" ht="15.75" thickBot="1" x14ac:dyDescent="0.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spans="1:29" ht="15.75" thickBot="1" x14ac:dyDescent="0.3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spans="1:29" ht="15.75" thickBot="1" x14ac:dyDescent="0.3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spans="1:29" ht="15.75" thickBot="1" x14ac:dyDescent="0.3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spans="1:29" ht="15.75" thickBot="1" x14ac:dyDescent="0.3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spans="1:29" ht="15.75" thickBot="1" x14ac:dyDescent="0.3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spans="1:29" ht="15.75" thickBot="1" x14ac:dyDescent="0.3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spans="1:29" ht="15.75" thickBot="1" x14ac:dyDescent="0.3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spans="1:29" ht="15.75" thickBot="1" x14ac:dyDescent="0.3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spans="1:29" ht="15.75" thickBot="1" x14ac:dyDescent="0.3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spans="1:29" ht="15.75" thickBot="1" x14ac:dyDescent="0.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spans="1:29" ht="15.75" thickBot="1" x14ac:dyDescent="0.3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spans="1:29" ht="15.75" thickBot="1" x14ac:dyDescent="0.3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spans="1:29" ht="15.75" thickBot="1" x14ac:dyDescent="0.3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spans="1:29" ht="15.75" thickBot="1" x14ac:dyDescent="0.3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spans="1:29" ht="15.75" thickBot="1" x14ac:dyDescent="0.3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spans="1:29" ht="15.75" thickBot="1" x14ac:dyDescent="0.3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spans="1:29" ht="15.75" thickBot="1" x14ac:dyDescent="0.3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spans="1:29" ht="15.75" thickBot="1" x14ac:dyDescent="0.3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spans="1:29" ht="15.75" thickBot="1" x14ac:dyDescent="0.3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spans="1:29" ht="15.75" thickBot="1" x14ac:dyDescent="0.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spans="1:29" ht="15.75" thickBot="1" x14ac:dyDescent="0.3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spans="1:29" ht="15.75" thickBot="1" x14ac:dyDescent="0.3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spans="1:29" ht="15.75" thickBot="1" x14ac:dyDescent="0.3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spans="1:29" ht="15.75" thickBot="1" x14ac:dyDescent="0.3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spans="1:29" ht="15.75" thickBot="1" x14ac:dyDescent="0.3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spans="1:29" ht="15.75" thickBot="1" x14ac:dyDescent="0.3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spans="1:29" ht="15.75" thickBot="1" x14ac:dyDescent="0.3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spans="1:29" ht="15.75" thickBot="1" x14ac:dyDescent="0.3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spans="1:29" ht="15.75" thickBot="1" x14ac:dyDescent="0.3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spans="1:29" ht="15.75" thickBot="1" x14ac:dyDescent="0.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spans="1:29" ht="15.75" thickBot="1" x14ac:dyDescent="0.3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spans="1:29" ht="15.75" thickBot="1" x14ac:dyDescent="0.3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spans="1:29" ht="15.75" thickBot="1" x14ac:dyDescent="0.3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spans="1:29" ht="15.75" thickBot="1" x14ac:dyDescent="0.3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spans="1:29" ht="15.75" thickBot="1" x14ac:dyDescent="0.3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spans="1:29" ht="15.75" thickBot="1" x14ac:dyDescent="0.3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5.75" thickBot="1" x14ac:dyDescent="0.3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ht="15.75" thickBot="1" x14ac:dyDescent="0.3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spans="1:29" ht="15.75" thickBot="1" x14ac:dyDescent="0.3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spans="1:29" ht="15.75" thickBot="1" x14ac:dyDescent="0.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spans="1:29" ht="15.75" thickBot="1" x14ac:dyDescent="0.3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spans="1:29" ht="15.75" thickBot="1" x14ac:dyDescent="0.3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spans="1:29" ht="15.75" thickBot="1" x14ac:dyDescent="0.3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spans="1:29" ht="15.75" thickBot="1" x14ac:dyDescent="0.3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spans="1:29" ht="15.75" thickBot="1" x14ac:dyDescent="0.3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spans="1:29" ht="15.75" thickBot="1" x14ac:dyDescent="0.3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spans="1:29" ht="15.75" thickBot="1" x14ac:dyDescent="0.3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spans="1:29" ht="15.75" thickBot="1" x14ac:dyDescent="0.3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spans="1:29" ht="15.75" thickBot="1" x14ac:dyDescent="0.3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spans="1:29" ht="15.75" thickBot="1" x14ac:dyDescent="0.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spans="1:29" ht="15.75" thickBot="1" x14ac:dyDescent="0.3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spans="1:29" ht="15.75" thickBot="1" x14ac:dyDescent="0.3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spans="1:29" ht="15.75" thickBot="1" x14ac:dyDescent="0.3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spans="1:29" ht="15.75" thickBot="1" x14ac:dyDescent="0.3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spans="1:29" ht="15.75" thickBot="1" x14ac:dyDescent="0.3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spans="1:29" ht="15.75" thickBot="1" x14ac:dyDescent="0.3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spans="1:29" ht="15.75" thickBot="1" x14ac:dyDescent="0.3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spans="1:29" ht="15.75" thickBot="1" x14ac:dyDescent="0.3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spans="1:29" ht="15.75" thickBot="1" x14ac:dyDescent="0.3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spans="1:29" ht="15.75" thickBot="1" x14ac:dyDescent="0.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spans="1:29" ht="15.75" thickBot="1" x14ac:dyDescent="0.3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spans="1:29" ht="15.75" thickBot="1" x14ac:dyDescent="0.3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spans="1:29" ht="15.75" thickBot="1" x14ac:dyDescent="0.3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spans="1:29" ht="15.75" thickBot="1" x14ac:dyDescent="0.3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spans="1:29" ht="15.75" thickBot="1" x14ac:dyDescent="0.3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spans="1:29" ht="15.75" thickBot="1" x14ac:dyDescent="0.3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spans="1:29" ht="15.75" thickBot="1" x14ac:dyDescent="0.3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spans="1:29" ht="15.75" thickBot="1" x14ac:dyDescent="0.3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spans="1:29" ht="15.75" thickBot="1" x14ac:dyDescent="0.3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spans="1:29" ht="15.75" thickBot="1" x14ac:dyDescent="0.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spans="1:29" ht="15.75" thickBot="1" x14ac:dyDescent="0.3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spans="1:29" ht="15.75" thickBot="1" x14ac:dyDescent="0.3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spans="1:29" ht="15.75" thickBot="1" x14ac:dyDescent="0.3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spans="1:29" ht="15.75" thickBot="1" x14ac:dyDescent="0.3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spans="1:29" ht="15.75" thickBot="1" x14ac:dyDescent="0.3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spans="1:29" ht="15.75" thickBot="1" x14ac:dyDescent="0.3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spans="1:29" ht="15.75" thickBot="1" x14ac:dyDescent="0.3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spans="1:29" ht="15.75" thickBot="1" x14ac:dyDescent="0.3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spans="1:29" ht="15.75" thickBot="1" x14ac:dyDescent="0.3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spans="1:29" ht="15.75" thickBot="1" x14ac:dyDescent="0.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spans="1:29" ht="15.75" thickBot="1" x14ac:dyDescent="0.3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spans="1:29" ht="15.75" thickBot="1" x14ac:dyDescent="0.3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spans="1:29" ht="15.75" thickBot="1" x14ac:dyDescent="0.3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spans="1:29" ht="15.75" thickBot="1" x14ac:dyDescent="0.3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spans="1:29" ht="15.75" thickBot="1" x14ac:dyDescent="0.3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spans="1:29" ht="15.75" thickBot="1" x14ac:dyDescent="0.3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spans="1:29" ht="15.75" thickBot="1" x14ac:dyDescent="0.3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spans="1:29" ht="15.75" thickBot="1" x14ac:dyDescent="0.3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spans="1:29" ht="15.75" thickBot="1" x14ac:dyDescent="0.3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spans="1:29" ht="15.75" thickBot="1" x14ac:dyDescent="0.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spans="1:29" ht="15.75" thickBot="1" x14ac:dyDescent="0.3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spans="1:29" ht="15.75" thickBot="1" x14ac:dyDescent="0.3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spans="1:29" ht="15.75" thickBot="1" x14ac:dyDescent="0.3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spans="1:29" ht="15.75" thickBot="1" x14ac:dyDescent="0.3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spans="1:29" ht="15.75" thickBot="1" x14ac:dyDescent="0.3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spans="1:29" ht="15.75" thickBot="1" x14ac:dyDescent="0.3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spans="1:29" ht="15.75" thickBot="1" x14ac:dyDescent="0.3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spans="1:29" ht="15.75" thickBot="1" x14ac:dyDescent="0.3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spans="1:29" ht="15.75" thickBot="1" x14ac:dyDescent="0.3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spans="1:29" ht="15.75" thickBot="1" x14ac:dyDescent="0.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spans="1:29" ht="15.75" thickBot="1" x14ac:dyDescent="0.3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spans="1:29" ht="15.75" thickBot="1" x14ac:dyDescent="0.3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spans="1:29" ht="15.75" thickBot="1" x14ac:dyDescent="0.3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spans="1:29" ht="15.75" thickBot="1" x14ac:dyDescent="0.3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spans="1:29" ht="15.75" thickBot="1" x14ac:dyDescent="0.3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spans="1:29" ht="15.75" thickBot="1" x14ac:dyDescent="0.3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spans="1:29" ht="15.75" thickBot="1" x14ac:dyDescent="0.3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spans="1:29" ht="15.75" thickBot="1" x14ac:dyDescent="0.3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spans="1:29" ht="15.75" thickBot="1" x14ac:dyDescent="0.3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spans="1:29" ht="15.75" thickBot="1" x14ac:dyDescent="0.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spans="1:29" ht="15.75" thickBot="1" x14ac:dyDescent="0.3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spans="1:29" ht="15.75" thickBot="1" x14ac:dyDescent="0.3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spans="1:29" ht="15.75" thickBot="1" x14ac:dyDescent="0.3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spans="1:29" ht="15.75" thickBot="1" x14ac:dyDescent="0.3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spans="1:29" ht="15.75" thickBot="1" x14ac:dyDescent="0.3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spans="1:29" ht="15.75" thickBot="1" x14ac:dyDescent="0.3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spans="1:29" ht="15.75" thickBot="1" x14ac:dyDescent="0.3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spans="1:29" ht="15.75" thickBot="1" x14ac:dyDescent="0.3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spans="1:29" ht="15.75" thickBot="1" x14ac:dyDescent="0.3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spans="1:29" ht="15.75" thickBot="1" x14ac:dyDescent="0.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spans="1:29" ht="15.75" thickBot="1" x14ac:dyDescent="0.3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spans="1:29" ht="15.75" thickBot="1" x14ac:dyDescent="0.3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spans="1:29" ht="15.75" thickBot="1" x14ac:dyDescent="0.3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spans="1:29" ht="15.75" thickBot="1" x14ac:dyDescent="0.3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spans="1:29" ht="15.75" thickBot="1" x14ac:dyDescent="0.3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spans="1:29" ht="15.75" thickBot="1" x14ac:dyDescent="0.3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spans="1:29" ht="15.75" thickBot="1" x14ac:dyDescent="0.3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spans="1:29" ht="15.75" thickBot="1" x14ac:dyDescent="0.3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spans="1:29" ht="15.75" thickBot="1" x14ac:dyDescent="0.3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spans="1:29" ht="15.75" thickBot="1" x14ac:dyDescent="0.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spans="1:29" ht="15.75" thickBot="1" x14ac:dyDescent="0.3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spans="1:29" ht="15.75" thickBot="1" x14ac:dyDescent="0.3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spans="1:29" ht="15.75" thickBot="1" x14ac:dyDescent="0.3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spans="1:29" ht="15.75" thickBot="1" x14ac:dyDescent="0.3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spans="1:29" ht="15.75" thickBot="1" x14ac:dyDescent="0.3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spans="1:29" ht="15.75" thickBot="1" x14ac:dyDescent="0.3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spans="1:29" ht="15.75" thickBot="1" x14ac:dyDescent="0.3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spans="1:29" ht="15.75" thickBot="1" x14ac:dyDescent="0.3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spans="1:29" ht="15.75" thickBot="1" x14ac:dyDescent="0.3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spans="1:29" ht="15.75" thickBot="1" x14ac:dyDescent="0.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spans="1:29" ht="15.75" thickBot="1" x14ac:dyDescent="0.3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spans="1:29" ht="15.75" thickBot="1" x14ac:dyDescent="0.3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spans="1:29" ht="15.75" thickBot="1" x14ac:dyDescent="0.3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spans="1:29" ht="15.75" thickBot="1" x14ac:dyDescent="0.3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spans="1:29" ht="15.75" thickBot="1" x14ac:dyDescent="0.3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spans="1:29" ht="15.75" thickBot="1" x14ac:dyDescent="0.3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spans="1:29" ht="15.75" thickBot="1" x14ac:dyDescent="0.3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spans="1:29" ht="15.75" thickBot="1" x14ac:dyDescent="0.3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spans="1:29" ht="15.75" thickBot="1" x14ac:dyDescent="0.3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spans="1:29" ht="15.75" thickBot="1" x14ac:dyDescent="0.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spans="1:29" ht="15.75" thickBot="1" x14ac:dyDescent="0.3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spans="1:29" ht="15.75" thickBot="1" x14ac:dyDescent="0.3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spans="1:29" ht="15.75" thickBot="1" x14ac:dyDescent="0.3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spans="1:29" ht="15.75" thickBot="1" x14ac:dyDescent="0.3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spans="1:29" ht="15.75" thickBot="1" x14ac:dyDescent="0.3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spans="1:29" ht="15.75" thickBot="1" x14ac:dyDescent="0.3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spans="1:29" ht="15.75" thickBot="1" x14ac:dyDescent="0.3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spans="1:29" ht="15.75" thickBot="1" x14ac:dyDescent="0.3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spans="1:29" ht="15.75" thickBot="1" x14ac:dyDescent="0.3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spans="1:29" ht="15.75" thickBot="1" x14ac:dyDescent="0.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spans="1:29" ht="15.75" thickBot="1" x14ac:dyDescent="0.3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spans="1:29" ht="15.75" thickBot="1" x14ac:dyDescent="0.3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spans="1:29" ht="15.75" thickBot="1" x14ac:dyDescent="0.3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spans="1:29" ht="15.75" thickBot="1" x14ac:dyDescent="0.3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spans="1:29" ht="15.75" thickBot="1" x14ac:dyDescent="0.3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spans="1:29" ht="15.75" thickBot="1" x14ac:dyDescent="0.3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spans="1:29" ht="15.75" thickBot="1" x14ac:dyDescent="0.3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spans="1:29" ht="15.75" thickBot="1" x14ac:dyDescent="0.3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spans="1:29" ht="15.75" thickBot="1" x14ac:dyDescent="0.3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spans="1:29" ht="15.75" thickBot="1" x14ac:dyDescent="0.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spans="1:29" ht="15.75" thickBot="1" x14ac:dyDescent="0.3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spans="1:29" ht="15.75" thickBot="1" x14ac:dyDescent="0.3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spans="1:29" ht="15.75" thickBot="1" x14ac:dyDescent="0.3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5.75" thickBot="1" x14ac:dyDescent="0.3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spans="1:29" ht="15.75" thickBot="1" x14ac:dyDescent="0.3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spans="1:29" ht="15.75" thickBot="1" x14ac:dyDescent="0.3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spans="1:29" ht="15.75" thickBot="1" x14ac:dyDescent="0.3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spans="1:29" ht="15.75" thickBot="1" x14ac:dyDescent="0.3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spans="1:29" ht="15.75" thickBot="1" x14ac:dyDescent="0.3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spans="1:29" ht="15.75" thickBot="1" x14ac:dyDescent="0.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spans="1:29" ht="15.75" thickBot="1" x14ac:dyDescent="0.3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spans="1:29" ht="15.75" thickBot="1" x14ac:dyDescent="0.3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spans="1:29" ht="15.75" thickBot="1" x14ac:dyDescent="0.3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spans="1:29" ht="15.75" thickBot="1" x14ac:dyDescent="0.3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spans="1:29" ht="15.75" thickBot="1" x14ac:dyDescent="0.3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spans="1:29" ht="15.75" thickBot="1" x14ac:dyDescent="0.3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spans="1:29" ht="15.75" thickBot="1" x14ac:dyDescent="0.3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spans="1:29" ht="15.75" thickBot="1" x14ac:dyDescent="0.3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spans="1:29" ht="15.75" thickBot="1" x14ac:dyDescent="0.3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spans="1:29" ht="15.75" thickBot="1" x14ac:dyDescent="0.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spans="1:29" ht="15.75" thickBot="1" x14ac:dyDescent="0.3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spans="1:29" ht="15.75" thickBot="1" x14ac:dyDescent="0.3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spans="1:29" ht="15.75" thickBot="1" x14ac:dyDescent="0.3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spans="1:29" ht="15.75" thickBot="1" x14ac:dyDescent="0.3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spans="1:29" ht="15.75" thickBot="1" x14ac:dyDescent="0.3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spans="1:29" ht="15.75" thickBot="1" x14ac:dyDescent="0.3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spans="1:29" ht="15.75" thickBot="1" x14ac:dyDescent="0.3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spans="1:29" ht="15.75" thickBot="1" x14ac:dyDescent="0.3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spans="1:29" ht="15.75" thickBot="1" x14ac:dyDescent="0.3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spans="1:29" ht="15.75" thickBot="1" x14ac:dyDescent="0.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spans="1:29" ht="15.75" thickBot="1" x14ac:dyDescent="0.3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spans="1:29" ht="15.75" thickBot="1" x14ac:dyDescent="0.3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spans="1:29" ht="15.75" thickBot="1" x14ac:dyDescent="0.3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spans="1:29" ht="15.75" thickBot="1" x14ac:dyDescent="0.3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spans="1:29" ht="15.75" thickBot="1" x14ac:dyDescent="0.3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spans="1:29" ht="15.75" thickBot="1" x14ac:dyDescent="0.3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spans="1:29" ht="15.75" thickBot="1" x14ac:dyDescent="0.3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spans="1:29" ht="15.75" thickBot="1" x14ac:dyDescent="0.3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spans="1:29" ht="15.75" thickBot="1" x14ac:dyDescent="0.3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spans="1:29" ht="15.75" thickBot="1" x14ac:dyDescent="0.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spans="1:29" ht="15.75" thickBot="1" x14ac:dyDescent="0.3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spans="1:29" ht="15.75" thickBot="1" x14ac:dyDescent="0.3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spans="1:29" ht="15.75" thickBot="1" x14ac:dyDescent="0.3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spans="1:29" ht="15.75" thickBot="1" x14ac:dyDescent="0.3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spans="1:29" ht="15.75" thickBot="1" x14ac:dyDescent="0.3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spans="1:29" ht="15.75" thickBot="1" x14ac:dyDescent="0.3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spans="1:29" ht="15.75" thickBot="1" x14ac:dyDescent="0.3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spans="1:29" ht="15.75" thickBot="1" x14ac:dyDescent="0.3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spans="1:29" ht="15.75" thickBot="1" x14ac:dyDescent="0.3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5.75" thickBot="1" x14ac:dyDescent="0.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spans="1:29" ht="15.75" thickBot="1" x14ac:dyDescent="0.3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spans="1:29" ht="15.75" thickBot="1" x14ac:dyDescent="0.3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spans="1:29" ht="15.75" thickBot="1" x14ac:dyDescent="0.3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spans="1:29" ht="15.75" thickBot="1" x14ac:dyDescent="0.3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spans="1:29" ht="15.75" thickBot="1" x14ac:dyDescent="0.3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spans="1:29" ht="15.75" thickBot="1" x14ac:dyDescent="0.3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spans="1:29" ht="15.75" thickBot="1" x14ac:dyDescent="0.3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spans="1:29" ht="15.75" thickBot="1" x14ac:dyDescent="0.3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spans="1:29" ht="15.75" thickBot="1" x14ac:dyDescent="0.3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spans="1:29" ht="15.75" thickBot="1" x14ac:dyDescent="0.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spans="1:29" ht="15.75" thickBot="1" x14ac:dyDescent="0.3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spans="1:29" ht="15.75" thickBot="1" x14ac:dyDescent="0.3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spans="1:29" ht="15.75" thickBot="1" x14ac:dyDescent="0.3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spans="1:29" ht="15.75" thickBot="1" x14ac:dyDescent="0.3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spans="1:29" ht="15.75" thickBot="1" x14ac:dyDescent="0.3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spans="1:29" ht="15.75" thickBot="1" x14ac:dyDescent="0.3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spans="1:29" ht="15.75" thickBot="1" x14ac:dyDescent="0.3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spans="1:29" ht="15.75" thickBot="1" x14ac:dyDescent="0.3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spans="1:29" ht="15.75" thickBot="1" x14ac:dyDescent="0.3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spans="1:29" ht="15.75" thickBot="1" x14ac:dyDescent="0.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spans="1:29" ht="15.75" thickBot="1" x14ac:dyDescent="0.3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spans="1:29" ht="15.75" thickBot="1" x14ac:dyDescent="0.3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spans="1:29" ht="15.75" thickBot="1" x14ac:dyDescent="0.3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spans="1:29" ht="15.75" thickBot="1" x14ac:dyDescent="0.3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spans="1:29" ht="15.75" thickBot="1" x14ac:dyDescent="0.3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spans="1:29" ht="15.75" thickBot="1" x14ac:dyDescent="0.3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spans="1:29" ht="15.75" thickBot="1" x14ac:dyDescent="0.3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spans="1:29" ht="15.75" thickBot="1" x14ac:dyDescent="0.3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spans="1:29" ht="15.75" thickBot="1" x14ac:dyDescent="0.3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15.75" thickBot="1" x14ac:dyDescent="0.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spans="1:29" ht="15.75" thickBot="1" x14ac:dyDescent="0.3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spans="1:29" ht="15.75" thickBot="1" x14ac:dyDescent="0.3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spans="1:29" ht="15.75" thickBot="1" x14ac:dyDescent="0.3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spans="1:29" ht="15.75" thickBot="1" x14ac:dyDescent="0.3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spans="1:29" ht="15.75" thickBot="1" x14ac:dyDescent="0.3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spans="1:29" ht="15.75" thickBot="1" x14ac:dyDescent="0.3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spans="1:29" ht="15.75" thickBot="1" x14ac:dyDescent="0.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spans="1:29" ht="15.75" thickBot="1" x14ac:dyDescent="0.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spans="1:29" ht="15.75" thickBot="1" x14ac:dyDescent="0.3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spans="1:29" ht="15.75" thickBot="1" x14ac:dyDescent="0.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spans="1:29" ht="15.75" thickBot="1" x14ac:dyDescent="0.3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spans="1:29" ht="15.75" thickBot="1" x14ac:dyDescent="0.3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spans="1:29" ht="15.75" thickBot="1" x14ac:dyDescent="0.3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spans="1:29" ht="15.75" thickBot="1" x14ac:dyDescent="0.3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spans="1:29" ht="15.75" thickBot="1" x14ac:dyDescent="0.3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spans="1:29" ht="15.75" thickBot="1" x14ac:dyDescent="0.3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spans="1:29" ht="15.75" thickBot="1" x14ac:dyDescent="0.3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spans="1:29" ht="15.75" thickBot="1" x14ac:dyDescent="0.3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spans="1:29" ht="15.75" thickBot="1" x14ac:dyDescent="0.3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spans="1:29" ht="15.75" thickBot="1" x14ac:dyDescent="0.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spans="1:29" ht="15.75" thickBot="1" x14ac:dyDescent="0.3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spans="1:29" ht="15.75" thickBot="1" x14ac:dyDescent="0.3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spans="1:29" ht="15.75" thickBot="1" x14ac:dyDescent="0.3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spans="1:29" ht="15.75" thickBot="1" x14ac:dyDescent="0.3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spans="1:29" ht="15.75" thickBot="1" x14ac:dyDescent="0.3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spans="1:29" ht="15.75" thickBot="1" x14ac:dyDescent="0.3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spans="1:29" ht="15.75" thickBot="1" x14ac:dyDescent="0.3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spans="1:29" ht="15.75" thickBot="1" x14ac:dyDescent="0.3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spans="1:29" ht="15.75" thickBot="1" x14ac:dyDescent="0.3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spans="1:29" ht="15.75" thickBot="1" x14ac:dyDescent="0.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spans="1:29" ht="15.75" thickBot="1" x14ac:dyDescent="0.3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spans="1:29" ht="15.75" thickBot="1" x14ac:dyDescent="0.3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spans="1:29" ht="15.75" thickBot="1" x14ac:dyDescent="0.3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spans="1:29" ht="15.75" thickBot="1" x14ac:dyDescent="0.3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spans="1:29" ht="15.75" thickBot="1" x14ac:dyDescent="0.3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spans="1:29" ht="15.75" thickBot="1" x14ac:dyDescent="0.3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spans="1:29" ht="15.75" thickBot="1" x14ac:dyDescent="0.3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spans="1:29" ht="15.75" thickBot="1" x14ac:dyDescent="0.3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spans="1:29" ht="15.75" thickBot="1" x14ac:dyDescent="0.3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spans="1:29" ht="15.75" thickBot="1" x14ac:dyDescent="0.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spans="1:29" ht="15.75" thickBot="1" x14ac:dyDescent="0.3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spans="1:29" ht="15.75" thickBot="1" x14ac:dyDescent="0.3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spans="1:29" ht="15.75" thickBot="1" x14ac:dyDescent="0.3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spans="1:29" ht="15.75" thickBot="1" x14ac:dyDescent="0.3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spans="1:29" ht="15.75" thickBot="1" x14ac:dyDescent="0.3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spans="1:29" ht="15.75" thickBot="1" x14ac:dyDescent="0.3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spans="1:29" ht="15.75" thickBot="1" x14ac:dyDescent="0.3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spans="1:29" ht="15.75" thickBot="1" x14ac:dyDescent="0.3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spans="1:29" ht="15.75" thickBot="1" x14ac:dyDescent="0.3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spans="1:29" ht="15.75" thickBot="1" x14ac:dyDescent="0.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spans="1:29" ht="15.75" thickBot="1" x14ac:dyDescent="0.3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spans="1:29" ht="15.75" thickBot="1" x14ac:dyDescent="0.3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spans="1:29" ht="15.75" thickBot="1" x14ac:dyDescent="0.3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spans="1:29" ht="15.75" thickBot="1" x14ac:dyDescent="0.3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spans="1:29" ht="15.75" thickBot="1" x14ac:dyDescent="0.3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spans="1:29" ht="15.75" thickBot="1" x14ac:dyDescent="0.3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spans="1:29" ht="15.75" thickBot="1" x14ac:dyDescent="0.3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spans="1:29" ht="15.75" thickBot="1" x14ac:dyDescent="0.3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spans="1:29" ht="15.75" thickBot="1" x14ac:dyDescent="0.3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spans="1:29" ht="15.75" thickBot="1" x14ac:dyDescent="0.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spans="1:29" ht="15.75" thickBot="1" x14ac:dyDescent="0.3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spans="1:29" ht="15.75" thickBot="1" x14ac:dyDescent="0.3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spans="1:29" ht="15.75" thickBot="1" x14ac:dyDescent="0.3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spans="1:29" ht="15.75" thickBot="1" x14ac:dyDescent="0.3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spans="1:29" ht="15.75" thickBot="1" x14ac:dyDescent="0.3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spans="1:29" ht="15.75" thickBot="1" x14ac:dyDescent="0.3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spans="1:29" ht="15.75" thickBot="1" x14ac:dyDescent="0.3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spans="1:29" ht="15.75" thickBot="1" x14ac:dyDescent="0.3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spans="1:29" ht="15.75" thickBot="1" x14ac:dyDescent="0.3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spans="1:29" ht="15.75" thickBot="1" x14ac:dyDescent="0.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spans="1:29" ht="15.75" thickBot="1" x14ac:dyDescent="0.3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spans="1:29" ht="15.75" thickBot="1" x14ac:dyDescent="0.3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spans="1:29" ht="15.75" thickBot="1" x14ac:dyDescent="0.3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spans="1:29" ht="15.75" thickBot="1" x14ac:dyDescent="0.3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spans="1:29" ht="15.75" thickBot="1" x14ac:dyDescent="0.3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spans="1:29" ht="15.75" thickBot="1" x14ac:dyDescent="0.3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5.75" thickBot="1" x14ac:dyDescent="0.3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spans="1:29" ht="15.75" thickBot="1" x14ac:dyDescent="0.3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spans="1:29" ht="15.75" thickBot="1" x14ac:dyDescent="0.3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spans="1:29" ht="15.75" thickBot="1" x14ac:dyDescent="0.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spans="1:29" ht="15.75" thickBot="1" x14ac:dyDescent="0.3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spans="1:29" ht="15.75" thickBot="1" x14ac:dyDescent="0.3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spans="1:29" ht="15.75" thickBot="1" x14ac:dyDescent="0.3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spans="1:29" ht="15.75" thickBot="1" x14ac:dyDescent="0.3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spans="1:29" ht="15.75" thickBot="1" x14ac:dyDescent="0.3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spans="1:29" ht="15.75" thickBot="1" x14ac:dyDescent="0.3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spans="1:29" ht="15.75" thickBot="1" x14ac:dyDescent="0.3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spans="1:29" ht="15.75" thickBot="1" x14ac:dyDescent="0.3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spans="1:29" ht="15.75" thickBot="1" x14ac:dyDescent="0.3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spans="1:29" ht="15.75" thickBot="1" x14ac:dyDescent="0.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spans="1:29" ht="15.75" thickBot="1" x14ac:dyDescent="0.3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spans="1:29" ht="15.75" thickBot="1" x14ac:dyDescent="0.3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spans="1:29" ht="15.75" thickBot="1" x14ac:dyDescent="0.3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spans="1:29" ht="15.75" thickBot="1" x14ac:dyDescent="0.3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5.75" thickBot="1" x14ac:dyDescent="0.3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spans="1:29" ht="15.75" thickBot="1" x14ac:dyDescent="0.3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spans="1:29" ht="15.75" thickBot="1" x14ac:dyDescent="0.3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spans="1:29" ht="15.75" thickBot="1" x14ac:dyDescent="0.3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spans="1:29" ht="15.75" thickBot="1" x14ac:dyDescent="0.3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spans="1:29" ht="15.75" thickBot="1" x14ac:dyDescent="0.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spans="1:29" ht="15.75" thickBot="1" x14ac:dyDescent="0.3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spans="1:29" ht="15.75" thickBot="1" x14ac:dyDescent="0.3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spans="1:29" ht="15.75" thickBot="1" x14ac:dyDescent="0.3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spans="1:29" ht="15.75" thickBot="1" x14ac:dyDescent="0.3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spans="1:29" ht="15.75" thickBot="1" x14ac:dyDescent="0.3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spans="1:29" ht="15.75" thickBot="1" x14ac:dyDescent="0.3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spans="1:29" ht="15.75" thickBot="1" x14ac:dyDescent="0.3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spans="1:29" ht="15.75" thickBot="1" x14ac:dyDescent="0.3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spans="1:29" ht="15.75" thickBot="1" x14ac:dyDescent="0.3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spans="1:29" ht="15.75" thickBot="1" x14ac:dyDescent="0.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spans="1:29" ht="15.75" thickBot="1" x14ac:dyDescent="0.3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spans="1:29" ht="15.75" thickBot="1" x14ac:dyDescent="0.3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spans="1:29" ht="15.75" thickBot="1" x14ac:dyDescent="0.3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spans="1:29" ht="15.75" thickBot="1" x14ac:dyDescent="0.3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spans="1:29" ht="15.75" thickBot="1" x14ac:dyDescent="0.3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spans="1:29" ht="15.75" thickBot="1" x14ac:dyDescent="0.3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spans="1:29" ht="15.75" thickBot="1" x14ac:dyDescent="0.3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spans="1:29" ht="15.75" thickBot="1" x14ac:dyDescent="0.3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spans="1:29" ht="15.75" thickBot="1" x14ac:dyDescent="0.3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spans="1:29" ht="15.75" thickBot="1" x14ac:dyDescent="0.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spans="1:29" ht="15.75" thickBot="1" x14ac:dyDescent="0.3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spans="1:29" ht="15.75" thickBot="1" x14ac:dyDescent="0.3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spans="1:29" ht="15.75" thickBot="1" x14ac:dyDescent="0.3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15.75" thickBot="1" x14ac:dyDescent="0.3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spans="1:29" ht="15.75" thickBot="1" x14ac:dyDescent="0.3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spans="1:29" ht="15.75" thickBot="1" x14ac:dyDescent="0.3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spans="1:29" ht="15.75" thickBot="1" x14ac:dyDescent="0.3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spans="1:29" ht="15.75" thickBot="1" x14ac:dyDescent="0.3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spans="1:29" ht="15.75" thickBot="1" x14ac:dyDescent="0.3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spans="1:29" ht="15.75" thickBot="1" x14ac:dyDescent="0.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spans="1:29" ht="15.75" thickBot="1" x14ac:dyDescent="0.3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spans="1:29" ht="15.75" thickBot="1" x14ac:dyDescent="0.3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spans="1:29" ht="15.75" thickBot="1" x14ac:dyDescent="0.3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spans="1:29" ht="15.75" thickBot="1" x14ac:dyDescent="0.3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spans="1:29" ht="15.75" thickBot="1" x14ac:dyDescent="0.3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spans="1:29" ht="15.75" thickBot="1" x14ac:dyDescent="0.3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spans="1:29" ht="15.75" thickBot="1" x14ac:dyDescent="0.3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spans="1:29" ht="15.75" thickBot="1" x14ac:dyDescent="0.3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spans="1:29" ht="15.75" thickBot="1" x14ac:dyDescent="0.3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spans="1:29" ht="15.75" thickBot="1" x14ac:dyDescent="0.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spans="1:29" ht="15.75" thickBot="1" x14ac:dyDescent="0.3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spans="1:29" ht="15.75" thickBot="1" x14ac:dyDescent="0.3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spans="1:29" ht="15.75" thickBot="1" x14ac:dyDescent="0.3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spans="1:29" ht="15.75" thickBot="1" x14ac:dyDescent="0.3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spans="1:29" ht="15.75" thickBot="1" x14ac:dyDescent="0.3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spans="1:29" ht="15.75" thickBot="1" x14ac:dyDescent="0.3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spans="1:29" ht="15.75" thickBot="1" x14ac:dyDescent="0.3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spans="1:29" ht="15.75" thickBot="1" x14ac:dyDescent="0.3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spans="1:29" ht="15.75" thickBot="1" x14ac:dyDescent="0.3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spans="1:29" ht="15.75" thickBot="1" x14ac:dyDescent="0.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spans="1:29" ht="15.75" thickBot="1" x14ac:dyDescent="0.3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spans="1:29" ht="15.75" thickBot="1" x14ac:dyDescent="0.3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5.75" thickBot="1" x14ac:dyDescent="0.3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spans="1:29" ht="15.75" thickBot="1" x14ac:dyDescent="0.3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spans="1:29" ht="15.75" thickBot="1" x14ac:dyDescent="0.3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spans="1:29" ht="15.75" thickBot="1" x14ac:dyDescent="0.3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spans="1:29" ht="15.75" thickBot="1" x14ac:dyDescent="0.3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spans="1:29" ht="15.75" thickBot="1" x14ac:dyDescent="0.3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spans="1:29" ht="15.75" thickBot="1" x14ac:dyDescent="0.3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spans="1:29" ht="15.75" thickBot="1" x14ac:dyDescent="0.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spans="1:29" ht="15.75" thickBot="1" x14ac:dyDescent="0.3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spans="1:29" ht="15.75" thickBot="1" x14ac:dyDescent="0.3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spans="1:29" ht="15.75" thickBot="1" x14ac:dyDescent="0.3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spans="1:29" ht="15.75" thickBot="1" x14ac:dyDescent="0.3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spans="1:29" ht="15.75" thickBot="1" x14ac:dyDescent="0.3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spans="1:29" ht="15.75" thickBot="1" x14ac:dyDescent="0.3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spans="1:29" ht="15.75" thickBot="1" x14ac:dyDescent="0.3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spans="1:29" ht="15.75" thickBot="1" x14ac:dyDescent="0.3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spans="1:29" ht="15.75" thickBot="1" x14ac:dyDescent="0.3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spans="1:29" ht="15.75" thickBot="1" x14ac:dyDescent="0.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spans="1:29" ht="15.75" thickBot="1" x14ac:dyDescent="0.3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spans="1:29" ht="15.75" thickBot="1" x14ac:dyDescent="0.3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spans="1:29" ht="15.75" thickBot="1" x14ac:dyDescent="0.3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spans="1:29" ht="15.75" thickBot="1" x14ac:dyDescent="0.3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spans="1:29" ht="15.75" thickBot="1" x14ac:dyDescent="0.3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spans="1:29" ht="15.75" thickBot="1" x14ac:dyDescent="0.3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spans="1:29" ht="15.75" thickBot="1" x14ac:dyDescent="0.3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spans="1:29" ht="15.75" thickBot="1" x14ac:dyDescent="0.3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spans="1:29" ht="15.75" thickBot="1" x14ac:dyDescent="0.3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spans="1:29" ht="15.75" thickBot="1" x14ac:dyDescent="0.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spans="1:29" ht="15.75" thickBot="1" x14ac:dyDescent="0.3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spans="1:29" ht="15.75" thickBot="1" x14ac:dyDescent="0.3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spans="1:29" ht="15.75" thickBot="1" x14ac:dyDescent="0.3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spans="1:29" ht="15.75" thickBot="1" x14ac:dyDescent="0.3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spans="1:29" ht="15.75" thickBot="1" x14ac:dyDescent="0.3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spans="1:29" ht="15.75" thickBot="1" x14ac:dyDescent="0.3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spans="1:29" ht="15.75" thickBot="1" x14ac:dyDescent="0.3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spans="1:29" ht="15.75" thickBot="1" x14ac:dyDescent="0.3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spans="1:29" ht="15.75" thickBot="1" x14ac:dyDescent="0.3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spans="1:29" ht="15.75" thickBot="1" x14ac:dyDescent="0.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spans="1:29" ht="15.75" thickBot="1" x14ac:dyDescent="0.3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spans="1:29" ht="15.75" thickBot="1" x14ac:dyDescent="0.3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spans="1:29" ht="15.75" thickBot="1" x14ac:dyDescent="0.3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spans="1:29" ht="15.75" thickBot="1" x14ac:dyDescent="0.3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spans="1:29" ht="15.75" thickBot="1" x14ac:dyDescent="0.3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spans="1:29" ht="15.75" thickBot="1" x14ac:dyDescent="0.3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spans="1:29" ht="15.75" thickBot="1" x14ac:dyDescent="0.3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spans="1:29" ht="15.75" thickBot="1" x14ac:dyDescent="0.3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spans="1:29" ht="15.75" thickBot="1" x14ac:dyDescent="0.3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spans="1:29" ht="15.75" thickBot="1" x14ac:dyDescent="0.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15.75" thickBot="1" x14ac:dyDescent="0.3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spans="1:29" ht="15.75" thickBot="1" x14ac:dyDescent="0.3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spans="1:29" ht="15.75" thickBot="1" x14ac:dyDescent="0.3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spans="1:29" ht="15.75" thickBot="1" x14ac:dyDescent="0.3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spans="1:29" ht="15.75" thickBot="1" x14ac:dyDescent="0.3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spans="1:29" ht="15.75" thickBot="1" x14ac:dyDescent="0.3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spans="1:29" ht="15.75" thickBot="1" x14ac:dyDescent="0.3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spans="1:29" ht="15.75" thickBot="1" x14ac:dyDescent="0.3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spans="1:29" ht="15.75" thickBot="1" x14ac:dyDescent="0.3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spans="1:29" ht="15.75" thickBot="1" x14ac:dyDescent="0.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spans="1:29" ht="15.75" thickBot="1" x14ac:dyDescent="0.3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spans="1:29" ht="15.75" thickBot="1" x14ac:dyDescent="0.3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spans="1:29" ht="15.75" thickBot="1" x14ac:dyDescent="0.3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spans="1:29" ht="15.75" thickBot="1" x14ac:dyDescent="0.3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spans="1:29" ht="15.75" thickBot="1" x14ac:dyDescent="0.3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spans="1:29" ht="15.75" thickBot="1" x14ac:dyDescent="0.3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spans="1:29" ht="15.75" thickBot="1" x14ac:dyDescent="0.3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spans="1:29" ht="15.75" thickBot="1" x14ac:dyDescent="0.3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spans="1:29" ht="15.75" thickBot="1" x14ac:dyDescent="0.3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spans="1:29" ht="15.75" thickBot="1" x14ac:dyDescent="0.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spans="1:29" ht="15.75" thickBot="1" x14ac:dyDescent="0.3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spans="1:29" ht="15.75" thickBot="1" x14ac:dyDescent="0.3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spans="1:29" ht="15.75" thickBot="1" x14ac:dyDescent="0.3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spans="1:29" ht="15.75" thickBot="1" x14ac:dyDescent="0.3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spans="1:29" ht="15.75" thickBot="1" x14ac:dyDescent="0.3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spans="1:29" ht="15.75" thickBot="1" x14ac:dyDescent="0.3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spans="1:29" ht="15.75" thickBot="1" x14ac:dyDescent="0.3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spans="1:29" ht="15.75" thickBot="1" x14ac:dyDescent="0.3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spans="1:29" ht="15.75" thickBot="1" x14ac:dyDescent="0.3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15.75" thickBot="1" x14ac:dyDescent="0.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spans="1:29" ht="15.75" thickBot="1" x14ac:dyDescent="0.3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spans="1:29" ht="15.75" thickBot="1" x14ac:dyDescent="0.3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spans="1:29" ht="15.75" thickBot="1" x14ac:dyDescent="0.3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spans="1:29" ht="15.75" thickBot="1" x14ac:dyDescent="0.3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spans="1:29" ht="15.75" thickBot="1" x14ac:dyDescent="0.3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spans="1:29" ht="15.75" thickBot="1" x14ac:dyDescent="0.3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spans="1:29" ht="15.75" thickBot="1" x14ac:dyDescent="0.3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spans="1:29" ht="15.75" thickBot="1" x14ac:dyDescent="0.3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spans="1:29" ht="15.75" thickBot="1" x14ac:dyDescent="0.3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spans="1:29" ht="15.75" thickBot="1" x14ac:dyDescent="0.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spans="1:29" ht="15.75" thickBot="1" x14ac:dyDescent="0.3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spans="1:29" ht="15.75" thickBot="1" x14ac:dyDescent="0.3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spans="1:29" ht="15.75" thickBot="1" x14ac:dyDescent="0.3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spans="1:29" ht="15.75" thickBot="1" x14ac:dyDescent="0.3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spans="1:29" ht="15.75" thickBot="1" x14ac:dyDescent="0.3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spans="1:29" ht="15.75" thickBot="1" x14ac:dyDescent="0.3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spans="1:29" ht="15.75" thickBot="1" x14ac:dyDescent="0.3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spans="1:29" ht="15.75" thickBot="1" x14ac:dyDescent="0.3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spans="1:29" ht="15.75" thickBot="1" x14ac:dyDescent="0.3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spans="1:29" ht="15.75" thickBot="1" x14ac:dyDescent="0.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spans="1:29" ht="15.75" thickBot="1" x14ac:dyDescent="0.3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spans="1:29" ht="15.75" thickBot="1" x14ac:dyDescent="0.3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spans="1:29" ht="15.75" thickBot="1" x14ac:dyDescent="0.3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spans="1:29" ht="15.75" thickBot="1" x14ac:dyDescent="0.3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spans="1:29" ht="15.75" thickBot="1" x14ac:dyDescent="0.3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spans="1:29" ht="15.75" thickBot="1" x14ac:dyDescent="0.3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spans="1:29" ht="15.75" thickBot="1" x14ac:dyDescent="0.3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spans="1:29" ht="15.75" thickBot="1" x14ac:dyDescent="0.3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spans="1:29" ht="15.75" thickBot="1" x14ac:dyDescent="0.3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spans="1:29" ht="15.75" thickBot="1" x14ac:dyDescent="0.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spans="1:29" ht="15.75" thickBot="1" x14ac:dyDescent="0.3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spans="1:29" ht="15.75" thickBot="1" x14ac:dyDescent="0.3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spans="1:29" ht="15.75" thickBot="1" x14ac:dyDescent="0.3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spans="1:29" ht="15.75" thickBot="1" x14ac:dyDescent="0.3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spans="1:29" ht="15.75" thickBot="1" x14ac:dyDescent="0.3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15.75" thickBot="1" x14ac:dyDescent="0.3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spans="1:29" ht="15.75" thickBot="1" x14ac:dyDescent="0.3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spans="1:29" ht="15.75" thickBot="1" x14ac:dyDescent="0.3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spans="1:29" ht="15.75" thickBot="1" x14ac:dyDescent="0.3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spans="1:29" ht="15.75" thickBot="1" x14ac:dyDescent="0.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spans="1:29" ht="15.75" thickBot="1" x14ac:dyDescent="0.3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spans="1:29" ht="15.75" thickBot="1" x14ac:dyDescent="0.3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spans="1:29" ht="15.75" thickBot="1" x14ac:dyDescent="0.3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spans="1:29" ht="15.75" thickBot="1" x14ac:dyDescent="0.3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spans="1:29" ht="15.75" thickBot="1" x14ac:dyDescent="0.3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spans="1:29" ht="15.75" thickBot="1" x14ac:dyDescent="0.3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spans="1:29" ht="15.75" thickBot="1" x14ac:dyDescent="0.3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spans="1:29" ht="15.75" thickBot="1" x14ac:dyDescent="0.3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spans="1:29" ht="15.75" thickBot="1" x14ac:dyDescent="0.3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spans="1:29" ht="15.75" thickBot="1" x14ac:dyDescent="0.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spans="1:29" ht="15.75" thickBot="1" x14ac:dyDescent="0.3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spans="1:29" ht="15.75" thickBot="1" x14ac:dyDescent="0.3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spans="1:29" ht="15.75" thickBot="1" x14ac:dyDescent="0.3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spans="1:29" ht="15.75" thickBot="1" x14ac:dyDescent="0.3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spans="1:29" ht="15.75" thickBot="1" x14ac:dyDescent="0.3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spans="1:29" ht="15.75" thickBot="1" x14ac:dyDescent="0.3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spans="1:29" ht="15.75" thickBot="1" x14ac:dyDescent="0.3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spans="1:29" ht="15.75" thickBot="1" x14ac:dyDescent="0.3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spans="1:29" ht="15.75" thickBot="1" x14ac:dyDescent="0.3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spans="1:29" ht="15.75" thickBot="1" x14ac:dyDescent="0.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spans="1:29" ht="15.75" thickBot="1" x14ac:dyDescent="0.3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spans="1:29" ht="15.75" thickBot="1" x14ac:dyDescent="0.3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spans="1:29" ht="15.75" thickBot="1" x14ac:dyDescent="0.3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spans="1:29" ht="15.75" thickBot="1" x14ac:dyDescent="0.3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spans="1:29" ht="15.75" thickBot="1" x14ac:dyDescent="0.3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spans="1:29" ht="15.75" thickBot="1" x14ac:dyDescent="0.3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spans="1:29" ht="15.75" thickBot="1" x14ac:dyDescent="0.3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spans="1:29" ht="15.75" thickBot="1" x14ac:dyDescent="0.3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spans="1:29" ht="15.75" thickBot="1" x14ac:dyDescent="0.3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spans="1:29" ht="15.75" thickBot="1" x14ac:dyDescent="0.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spans="1:29" ht="15.75" thickBot="1" x14ac:dyDescent="0.3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spans="1:29" ht="15.75" thickBot="1" x14ac:dyDescent="0.3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spans="1:29" ht="15.75" thickBot="1" x14ac:dyDescent="0.3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spans="1:29" ht="15.75" thickBot="1" x14ac:dyDescent="0.3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spans="1:29" ht="15.75" thickBot="1" x14ac:dyDescent="0.3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spans="1:29" ht="15.75" thickBot="1" x14ac:dyDescent="0.3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spans="1:29" ht="15.75" thickBot="1" x14ac:dyDescent="0.3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spans="1:29" ht="15.75" thickBot="1" x14ac:dyDescent="0.3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spans="1:29" ht="15.75" thickBot="1" x14ac:dyDescent="0.3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spans="1:29" ht="15.75" thickBot="1" x14ac:dyDescent="0.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spans="1:29" ht="15.75" thickBot="1" x14ac:dyDescent="0.3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spans="1:29" ht="15.75" thickBot="1" x14ac:dyDescent="0.3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spans="1:29" ht="15.75" thickBot="1" x14ac:dyDescent="0.3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spans="1:29" ht="15.75" thickBot="1" x14ac:dyDescent="0.3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spans="1:29" ht="15.75" thickBot="1" x14ac:dyDescent="0.3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spans="1:29" ht="15.75" thickBot="1" x14ac:dyDescent="0.3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spans="1:29" ht="15.75" thickBot="1" x14ac:dyDescent="0.3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spans="1:29" ht="15.75" thickBot="1" x14ac:dyDescent="0.3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 spans="1:29" ht="15.75" thickBot="1" x14ac:dyDescent="0.3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 spans="1:29" ht="15.75" thickBot="1" x14ac:dyDescent="0.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</row>
    <row r="1004" spans="1:29" ht="15.75" thickBot="1" x14ac:dyDescent="0.3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 spans="1:29" ht="15.75" thickBot="1" x14ac:dyDescent="0.3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</row>
    <row r="1006" spans="1:29" ht="15.75" thickBot="1" x14ac:dyDescent="0.3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  <row r="1007" spans="1:29" ht="15.75" thickBot="1" x14ac:dyDescent="0.3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</row>
    <row r="1008" spans="1:29" ht="15.75" thickBot="1" x14ac:dyDescent="0.3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</row>
    <row r="1009" spans="1:29" ht="15.75" thickBot="1" x14ac:dyDescent="0.3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</row>
    <row r="1010" spans="1:29" ht="15.75" thickBot="1" x14ac:dyDescent="0.3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</row>
    <row r="1011" spans="1:29" ht="15.75" thickBot="1" x14ac:dyDescent="0.3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</row>
    <row r="1012" spans="1:29" ht="15.75" thickBot="1" x14ac:dyDescent="0.3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</row>
    <row r="1013" spans="1:29" ht="15.75" thickBot="1" x14ac:dyDescent="0.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</row>
  </sheetData>
  <mergeCells count="26">
    <mergeCell ref="S16:S17"/>
    <mergeCell ref="T16:T17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G12:G13"/>
    <mergeCell ref="I12:I13"/>
    <mergeCell ref="J12:J13"/>
    <mergeCell ref="K12:K13"/>
    <mergeCell ref="L12:L13"/>
    <mergeCell ref="S2:S3"/>
    <mergeCell ref="T2:T3"/>
    <mergeCell ref="M12:M13"/>
    <mergeCell ref="O2:O3"/>
    <mergeCell ref="P2:P3"/>
    <mergeCell ref="Q2:Q3"/>
    <mergeCell ref="R2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3</v>
      </c>
      <c r="B1" t="s">
        <v>4</v>
      </c>
    </row>
    <row r="2" spans="1:2" ht="15.75" x14ac:dyDescent="0.25">
      <c r="A2" s="3" t="s">
        <v>31</v>
      </c>
      <c r="B2" t="s">
        <v>83</v>
      </c>
    </row>
    <row r="3" spans="1:2" x14ac:dyDescent="0.25">
      <c r="A3" s="1" t="s">
        <v>33</v>
      </c>
      <c r="B3" s="4" t="s">
        <v>32</v>
      </c>
    </row>
    <row r="4" spans="1:2" x14ac:dyDescent="0.25">
      <c r="A4" s="1" t="s">
        <v>11</v>
      </c>
      <c r="B4" s="4" t="s">
        <v>77</v>
      </c>
    </row>
    <row r="5" spans="1:2" ht="16.5" x14ac:dyDescent="0.3">
      <c r="A5" s="5" t="s">
        <v>17</v>
      </c>
      <c r="B5" s="4" t="s">
        <v>46</v>
      </c>
    </row>
    <row r="6" spans="1:2" ht="16.5" x14ac:dyDescent="0.3">
      <c r="A6" s="5" t="s">
        <v>55</v>
      </c>
      <c r="B6" s="4" t="s">
        <v>82</v>
      </c>
    </row>
    <row r="7" spans="1:2" ht="16.5" x14ac:dyDescent="0.3">
      <c r="A7" s="5" t="s">
        <v>84</v>
      </c>
      <c r="B7" s="6" t="s">
        <v>10</v>
      </c>
    </row>
    <row r="8" spans="1:2" ht="16.5" x14ac:dyDescent="0.3">
      <c r="A8" s="5" t="s">
        <v>65</v>
      </c>
      <c r="B8" s="6" t="s">
        <v>18</v>
      </c>
    </row>
    <row r="9" spans="1:2" ht="16.5" x14ac:dyDescent="0.3">
      <c r="A9" s="5" t="s">
        <v>67</v>
      </c>
      <c r="B9" s="4" t="s">
        <v>19</v>
      </c>
    </row>
    <row r="10" spans="1:2" ht="16.5" x14ac:dyDescent="0.3">
      <c r="A10" s="5" t="s">
        <v>21</v>
      </c>
      <c r="B10" s="4" t="s">
        <v>24</v>
      </c>
    </row>
    <row r="11" spans="1:2" ht="16.5" x14ac:dyDescent="0.3">
      <c r="A11" s="5" t="s">
        <v>77</v>
      </c>
      <c r="B11" s="4" t="s">
        <v>13</v>
      </c>
    </row>
    <row r="12" spans="1:2" ht="16.5" x14ac:dyDescent="0.3">
      <c r="A12" s="5" t="s">
        <v>78</v>
      </c>
      <c r="B12" s="4" t="s">
        <v>45</v>
      </c>
    </row>
    <row r="13" spans="1:2" ht="17.25" x14ac:dyDescent="0.3">
      <c r="A13" s="7" t="s">
        <v>79</v>
      </c>
      <c r="B13" s="4" t="s">
        <v>0</v>
      </c>
    </row>
    <row r="14" spans="1:2" ht="16.5" x14ac:dyDescent="0.3">
      <c r="A14" s="5" t="s">
        <v>85</v>
      </c>
      <c r="B14" s="4" t="s">
        <v>56</v>
      </c>
    </row>
    <row r="15" spans="1:2" ht="16.5" x14ac:dyDescent="0.3">
      <c r="A15" s="5" t="s">
        <v>23</v>
      </c>
      <c r="B15" s="4" t="s">
        <v>57</v>
      </c>
    </row>
    <row r="16" spans="1:2" ht="16.5" x14ac:dyDescent="0.3">
      <c r="A16" s="5" t="s">
        <v>7</v>
      </c>
      <c r="B16" s="4" t="s">
        <v>70</v>
      </c>
    </row>
    <row r="17" spans="2:2" x14ac:dyDescent="0.25">
      <c r="B17" s="6" t="s">
        <v>41</v>
      </c>
    </row>
    <row r="18" spans="2:2" x14ac:dyDescent="0.25">
      <c r="B18" s="4" t="s">
        <v>69</v>
      </c>
    </row>
    <row r="19" spans="2:2" x14ac:dyDescent="0.25">
      <c r="B19" s="4" t="s">
        <v>86</v>
      </c>
    </row>
    <row r="20" spans="2:2" x14ac:dyDescent="0.25">
      <c r="B20" s="4" t="s">
        <v>35</v>
      </c>
    </row>
    <row r="21" spans="2:2" x14ac:dyDescent="0.25">
      <c r="B21" s="6" t="s">
        <v>36</v>
      </c>
    </row>
    <row r="22" spans="2:2" x14ac:dyDescent="0.25">
      <c r="B22" s="4" t="s">
        <v>8</v>
      </c>
    </row>
    <row r="23" spans="2:2" x14ac:dyDescent="0.25">
      <c r="B23" s="4" t="s">
        <v>37</v>
      </c>
    </row>
    <row r="24" spans="2:2" x14ac:dyDescent="0.25">
      <c r="B24" s="4" t="s">
        <v>72</v>
      </c>
    </row>
    <row r="25" spans="2:2" x14ac:dyDescent="0.25">
      <c r="B25" s="6" t="s">
        <v>51</v>
      </c>
    </row>
    <row r="26" spans="2:2" x14ac:dyDescent="0.25">
      <c r="B26" s="6" t="s">
        <v>38</v>
      </c>
    </row>
    <row r="27" spans="2:2" x14ac:dyDescent="0.25">
      <c r="B27" s="6" t="s">
        <v>53</v>
      </c>
    </row>
    <row r="28" spans="2:2" x14ac:dyDescent="0.25">
      <c r="B28" s="6" t="s">
        <v>54</v>
      </c>
    </row>
    <row r="29" spans="2:2" x14ac:dyDescent="0.25">
      <c r="B29" s="4" t="s">
        <v>87</v>
      </c>
    </row>
    <row r="30" spans="2:2" x14ac:dyDescent="0.25">
      <c r="B30" s="6" t="s">
        <v>88</v>
      </c>
    </row>
    <row r="31" spans="2:2" x14ac:dyDescent="0.25">
      <c r="B31" s="4" t="s">
        <v>42</v>
      </c>
    </row>
    <row r="32" spans="2:2" x14ac:dyDescent="0.25">
      <c r="B32" s="4" t="s">
        <v>89</v>
      </c>
    </row>
    <row r="33" spans="2:2" x14ac:dyDescent="0.25">
      <c r="B33" s="4" t="s">
        <v>15</v>
      </c>
    </row>
    <row r="34" spans="2:2" x14ac:dyDescent="0.25">
      <c r="B34" s="4" t="s">
        <v>90</v>
      </c>
    </row>
    <row r="35" spans="2:2" x14ac:dyDescent="0.25">
      <c r="B35" s="4" t="s">
        <v>91</v>
      </c>
    </row>
    <row r="36" spans="2:2" x14ac:dyDescent="0.25">
      <c r="B36" s="4" t="s">
        <v>63</v>
      </c>
    </row>
    <row r="37" spans="2:2" x14ac:dyDescent="0.25">
      <c r="B37" s="6" t="s">
        <v>64</v>
      </c>
    </row>
    <row r="38" spans="2:2" x14ac:dyDescent="0.25">
      <c r="B38" s="6" t="s">
        <v>92</v>
      </c>
    </row>
    <row r="39" spans="2:2" x14ac:dyDescent="0.25">
      <c r="B39" s="6" t="s">
        <v>93</v>
      </c>
    </row>
    <row r="40" spans="2:2" x14ac:dyDescent="0.25">
      <c r="B40" s="6" t="s">
        <v>43</v>
      </c>
    </row>
    <row r="41" spans="2:2" x14ac:dyDescent="0.25">
      <c r="B41" s="6" t="s">
        <v>80</v>
      </c>
    </row>
    <row r="42" spans="2:2" x14ac:dyDescent="0.25">
      <c r="B42" s="6" t="s">
        <v>94</v>
      </c>
    </row>
    <row r="43" spans="2:2" x14ac:dyDescent="0.25">
      <c r="B43" s="6" t="s">
        <v>14</v>
      </c>
    </row>
    <row r="44" spans="2:2" x14ac:dyDescent="0.25">
      <c r="B44" s="6" t="s">
        <v>95</v>
      </c>
    </row>
    <row r="45" spans="2:2" x14ac:dyDescent="0.25">
      <c r="B45" s="6" t="s">
        <v>96</v>
      </c>
    </row>
    <row r="46" spans="2:2" x14ac:dyDescent="0.25">
      <c r="B46" s="4" t="s">
        <v>9</v>
      </c>
    </row>
    <row r="47" spans="2:2" x14ac:dyDescent="0.25">
      <c r="B47" s="4" t="s">
        <v>58</v>
      </c>
    </row>
    <row r="48" spans="2:2" x14ac:dyDescent="0.25">
      <c r="B48" s="4" t="s">
        <v>74</v>
      </c>
    </row>
    <row r="49" spans="2:2" x14ac:dyDescent="0.25">
      <c r="B49" s="4" t="s">
        <v>97</v>
      </c>
    </row>
    <row r="50" spans="2:2" x14ac:dyDescent="0.25">
      <c r="B50" s="4" t="s">
        <v>98</v>
      </c>
    </row>
    <row r="51" spans="2:2" x14ac:dyDescent="0.25">
      <c r="B51" s="4" t="s">
        <v>44</v>
      </c>
    </row>
    <row r="52" spans="2:2" x14ac:dyDescent="0.25">
      <c r="B52" s="4" t="s">
        <v>12</v>
      </c>
    </row>
    <row r="53" spans="2:2" x14ac:dyDescent="0.25">
      <c r="B53" s="4" t="s">
        <v>99</v>
      </c>
    </row>
    <row r="54" spans="2:2" x14ac:dyDescent="0.25">
      <c r="B54" s="4" t="s">
        <v>100</v>
      </c>
    </row>
    <row r="55" spans="2:2" x14ac:dyDescent="0.25">
      <c r="B55" s="4" t="s">
        <v>34</v>
      </c>
    </row>
    <row r="56" spans="2:2" x14ac:dyDescent="0.25">
      <c r="B56" s="4" t="s">
        <v>61</v>
      </c>
    </row>
    <row r="57" spans="2:2" x14ac:dyDescent="0.25">
      <c r="B57" s="8" t="s">
        <v>48</v>
      </c>
    </row>
    <row r="58" spans="2:2" x14ac:dyDescent="0.25">
      <c r="B58" s="4" t="s">
        <v>101</v>
      </c>
    </row>
    <row r="59" spans="2:2" x14ac:dyDescent="0.25">
      <c r="B59" s="4" t="s">
        <v>75</v>
      </c>
    </row>
    <row r="60" spans="2:2" x14ac:dyDescent="0.25">
      <c r="B60" s="4" t="s">
        <v>49</v>
      </c>
    </row>
    <row r="61" spans="2:2" x14ac:dyDescent="0.25">
      <c r="B61" s="8" t="s">
        <v>50</v>
      </c>
    </row>
    <row r="62" spans="2:2" x14ac:dyDescent="0.25">
      <c r="B62" s="4" t="s">
        <v>2</v>
      </c>
    </row>
    <row r="63" spans="2:2" x14ac:dyDescent="0.25">
      <c r="B63" s="4" t="s">
        <v>52</v>
      </c>
    </row>
    <row r="64" spans="2:2" x14ac:dyDescent="0.25">
      <c r="B64" s="4" t="s">
        <v>102</v>
      </c>
    </row>
    <row r="65" spans="2:2" x14ac:dyDescent="0.25">
      <c r="B65" s="4" t="s">
        <v>103</v>
      </c>
    </row>
    <row r="66" spans="2:2" x14ac:dyDescent="0.25">
      <c r="B66" s="4" t="s">
        <v>76</v>
      </c>
    </row>
    <row r="67" spans="2:2" x14ac:dyDescent="0.25">
      <c r="B67" s="6" t="s">
        <v>59</v>
      </c>
    </row>
    <row r="68" spans="2:2" x14ac:dyDescent="0.25">
      <c r="B68" s="6" t="s">
        <v>47</v>
      </c>
    </row>
    <row r="69" spans="2:2" x14ac:dyDescent="0.25">
      <c r="B69" s="9" t="s">
        <v>104</v>
      </c>
    </row>
    <row r="70" spans="2:2" x14ac:dyDescent="0.25">
      <c r="B70" s="4" t="s">
        <v>66</v>
      </c>
    </row>
    <row r="71" spans="2:2" x14ac:dyDescent="0.25">
      <c r="B71" s="6" t="s">
        <v>105</v>
      </c>
    </row>
    <row r="72" spans="2:2" x14ac:dyDescent="0.25">
      <c r="B72" t="s">
        <v>5</v>
      </c>
    </row>
    <row r="73" spans="2:2" x14ac:dyDescent="0.25">
      <c r="B73" s="6" t="s">
        <v>71</v>
      </c>
    </row>
    <row r="74" spans="2:2" x14ac:dyDescent="0.25">
      <c r="B74" s="6" t="s">
        <v>106</v>
      </c>
    </row>
    <row r="75" spans="2:2" x14ac:dyDescent="0.25">
      <c r="B75" s="6" t="s">
        <v>107</v>
      </c>
    </row>
    <row r="76" spans="2:2" x14ac:dyDescent="0.25">
      <c r="B76" s="6" t="s">
        <v>68</v>
      </c>
    </row>
    <row r="77" spans="2:2" x14ac:dyDescent="0.25">
      <c r="B77" s="6" t="s">
        <v>22</v>
      </c>
    </row>
    <row r="78" spans="2:2" x14ac:dyDescent="0.25">
      <c r="B78" s="6" t="s">
        <v>116</v>
      </c>
    </row>
    <row r="79" spans="2:2" x14ac:dyDescent="0.25">
      <c r="B79" s="6" t="s">
        <v>108</v>
      </c>
    </row>
    <row r="80" spans="2:2" x14ac:dyDescent="0.25">
      <c r="B80" s="6" t="s">
        <v>69</v>
      </c>
    </row>
    <row r="81" spans="2:2" x14ac:dyDescent="0.25">
      <c r="B81" s="6" t="s">
        <v>62</v>
      </c>
    </row>
    <row r="82" spans="2:2" x14ac:dyDescent="0.25">
      <c r="B82" s="6" t="s">
        <v>60</v>
      </c>
    </row>
    <row r="83" spans="2:2" x14ac:dyDescent="0.25">
      <c r="B83" s="6" t="s">
        <v>16</v>
      </c>
    </row>
    <row r="84" spans="2:2" x14ac:dyDescent="0.25">
      <c r="B84" s="6" t="s">
        <v>109</v>
      </c>
    </row>
    <row r="85" spans="2:2" x14ac:dyDescent="0.25">
      <c r="B85" s="6" t="s">
        <v>73</v>
      </c>
    </row>
    <row r="86" spans="2:2" x14ac:dyDescent="0.25">
      <c r="B86" s="6" t="s">
        <v>110</v>
      </c>
    </row>
    <row r="87" spans="2:2" x14ac:dyDescent="0.25">
      <c r="B87" s="6" t="s">
        <v>39</v>
      </c>
    </row>
    <row r="88" spans="2:2" x14ac:dyDescent="0.25">
      <c r="B88" s="6" t="s">
        <v>40</v>
      </c>
    </row>
    <row r="89" spans="2:2" x14ac:dyDescent="0.25">
      <c r="B89" s="6" t="s">
        <v>20</v>
      </c>
    </row>
    <row r="90" spans="2:2" x14ac:dyDescent="0.25">
      <c r="B90" s="10" t="s">
        <v>111</v>
      </c>
    </row>
    <row r="91" spans="2:2" x14ac:dyDescent="0.25">
      <c r="B91" s="6" t="s">
        <v>6</v>
      </c>
    </row>
    <row r="92" spans="2:2" x14ac:dyDescent="0.25">
      <c r="B92" s="6" t="s">
        <v>112</v>
      </c>
    </row>
    <row r="93" spans="2:2" x14ac:dyDescent="0.25">
      <c r="B93" s="6" t="s">
        <v>117</v>
      </c>
    </row>
    <row r="94" spans="2:2" x14ac:dyDescent="0.25">
      <c r="B94" t="s">
        <v>113</v>
      </c>
    </row>
    <row r="95" spans="2:2" x14ac:dyDescent="0.25">
      <c r="B95" s="6" t="s">
        <v>114</v>
      </c>
    </row>
    <row r="96" spans="2:2" x14ac:dyDescent="0.25">
      <c r="B96" s="6" t="s">
        <v>115</v>
      </c>
    </row>
    <row r="97" spans="2:2" x14ac:dyDescent="0.25">
      <c r="B97" s="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Dic'24</vt:lpstr>
      <vt:lpstr>Gastos Galicia</vt:lpstr>
      <vt:lpstr>Gastos Efectivo</vt:lpstr>
      <vt:lpstr>Ventas Dic'24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2025-02-07T16:53:49Z</dcterms:modified>
</cp:coreProperties>
</file>