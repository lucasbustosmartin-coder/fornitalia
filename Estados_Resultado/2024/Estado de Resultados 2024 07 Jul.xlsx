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/>
  <mc:AlternateContent xmlns:mc="http://schemas.openxmlformats.org/markup-compatibility/2006">
    <mc:Choice Requires="x15">
      <x15ac:absPath xmlns:x15ac="http://schemas.microsoft.com/office/spreadsheetml/2010/11/ac" url="https://d.docs.live.net/4e5a63a034435029/Escritorio/FN/Estado de Resultados/"/>
    </mc:Choice>
  </mc:AlternateContent>
  <xr:revisionPtr revIDLastSave="24" documentId="8_{6F4DBA26-1CC9-4A7A-9891-10D81A49E9D4}" xr6:coauthVersionLast="47" xr6:coauthVersionMax="47" xr10:uidLastSave="{BC80B72E-0FF6-461F-A5BB-B5D0B4FE4F24}"/>
  <bookViews>
    <workbookView xWindow="-120" yWindow="-120" windowWidth="20730" windowHeight="11040" tabRatio="599" xr2:uid="{30A6164E-A0D3-4996-9EF3-92045D51F006}"/>
  </bookViews>
  <sheets>
    <sheet name="Jul'24" sheetId="23" r:id="rId1"/>
    <sheet name="Gastos" sheetId="24" r:id="rId2"/>
    <sheet name="Ventas Jul´24" sheetId="18" r:id="rId3"/>
    <sheet name="LISTA CONCEPTOS" sheetId="15" state="hidden" r:id="rId4"/>
  </sheets>
  <definedNames>
    <definedName name="_xlnm._FilterDatabase" localSheetId="1" hidden="1">Gastos!$A$1:$D$1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6" i="23" l="1"/>
  <c r="B4" i="23"/>
  <c r="B3" i="23"/>
  <c r="J10" i="18"/>
  <c r="J9" i="18"/>
  <c r="J5" i="18"/>
  <c r="J7" i="18"/>
  <c r="J3" i="18"/>
  <c r="I10" i="18"/>
  <c r="H10" i="18"/>
  <c r="G10" i="18"/>
  <c r="J8" i="18"/>
  <c r="J6" i="18"/>
  <c r="J4" i="18"/>
  <c r="J2" i="18"/>
  <c r="G9" i="18"/>
  <c r="I9" i="18" s="1"/>
  <c r="I3" i="18"/>
  <c r="I4" i="18"/>
  <c r="I5" i="18"/>
  <c r="I6" i="18"/>
  <c r="I7" i="18"/>
  <c r="I8" i="18"/>
  <c r="I2" i="18"/>
  <c r="B30" i="23"/>
  <c r="C103" i="24" l="1"/>
  <c r="B103" i="24"/>
  <c r="C94" i="24"/>
  <c r="B23" i="23" s="1"/>
  <c r="B94" i="24"/>
  <c r="C91" i="24"/>
  <c r="B19" i="23" s="1"/>
  <c r="B91" i="24"/>
  <c r="C85" i="24"/>
  <c r="B17" i="23" s="1"/>
  <c r="B85" i="24"/>
  <c r="C79" i="24"/>
  <c r="B22" i="23" s="1"/>
  <c r="B79" i="24"/>
  <c r="C69" i="24"/>
  <c r="B16" i="23" s="1"/>
  <c r="B69" i="24"/>
  <c r="C8" i="24"/>
  <c r="B15" i="23" s="1"/>
  <c r="B8" i="24"/>
  <c r="C5" i="24"/>
  <c r="B11" i="23" s="1"/>
  <c r="B5" i="24"/>
  <c r="B10" i="23" l="1"/>
  <c r="C4" i="23" l="1"/>
  <c r="B5" i="23" l="1"/>
  <c r="C19" i="23" s="1"/>
  <c r="C22" i="23" l="1"/>
  <c r="C13" i="23"/>
  <c r="C18" i="23"/>
  <c r="C10" i="23"/>
  <c r="C15" i="23"/>
  <c r="C17" i="23"/>
  <c r="C16" i="23"/>
  <c r="B7" i="23"/>
  <c r="C7" i="23" s="1"/>
  <c r="C12" i="23"/>
  <c r="C14" i="23"/>
  <c r="C11" i="23"/>
  <c r="B21" i="23"/>
  <c r="C21" i="23" s="1"/>
  <c r="B25" i="23" l="1"/>
  <c r="B27" i="23"/>
  <c r="C27" i="23" s="1"/>
  <c r="C23" i="23"/>
</calcChain>
</file>

<file path=xl/sharedStrings.xml><?xml version="1.0" encoding="utf-8"?>
<sst xmlns="http://schemas.openxmlformats.org/spreadsheetml/2006/main" count="457" uniqueCount="235">
  <si>
    <t>CRM</t>
  </si>
  <si>
    <t>SERVICIOS CONTABLES</t>
  </si>
  <si>
    <t>CUENTA</t>
  </si>
  <si>
    <t>SUBCUENTA</t>
  </si>
  <si>
    <t>CAJA CHICA RICARDO $3000 (LOS DA FABIO) Y VIATICOS</t>
  </si>
  <si>
    <t>LUZ BODEGA</t>
  </si>
  <si>
    <t xml:space="preserve">Gastos de Viaje y Transportacion </t>
  </si>
  <si>
    <t>GASTOS VARIOS</t>
  </si>
  <si>
    <t>PAPELERIA</t>
  </si>
  <si>
    <t>CASETAS</t>
  </si>
  <si>
    <t>Gastos de venta</t>
  </si>
  <si>
    <t>PUBLICIDAD GOOGLE Y FACEBOOK</t>
  </si>
  <si>
    <t>COMISIONES VENDEDORES</t>
  </si>
  <si>
    <t>NOMINA ITALMEXY</t>
  </si>
  <si>
    <t>LUZ</t>
  </si>
  <si>
    <t>PLAYO</t>
  </si>
  <si>
    <t>Gastos financieros</t>
  </si>
  <si>
    <t>COMISIONES BANCARIAS</t>
  </si>
  <si>
    <t>COMISIONES EUROFORNO</t>
  </si>
  <si>
    <t>PUBLICIDAD IMPRESA (FOLLETOS, ORDENES DE COMPRA,TARJETAS DE PRESENTACION)</t>
  </si>
  <si>
    <t>Otros gastos operativos</t>
  </si>
  <si>
    <t xml:space="preserve">GASOLINA   </t>
  </si>
  <si>
    <t>FONDO FIJO TOLUCA</t>
  </si>
  <si>
    <t>COMISIONES SOBRE VENTAS</t>
  </si>
  <si>
    <t>Concepto</t>
  </si>
  <si>
    <t>Ventas Netas</t>
  </si>
  <si>
    <t>Total Ingresos</t>
  </si>
  <si>
    <t>Costo total</t>
  </si>
  <si>
    <t>Utilidad Marginal</t>
  </si>
  <si>
    <t>Gasto de nómina</t>
  </si>
  <si>
    <t>ALMACEN IFULL</t>
  </si>
  <si>
    <t>Gastos por servicios</t>
  </si>
  <si>
    <t>RECARGA LINEA TELEFONICA</t>
  </si>
  <si>
    <t>FERRETERIA Y HERRAMIENTAS PARA BODEGA TOLUCA</t>
  </si>
  <si>
    <t>GASOLINA FABIO</t>
  </si>
  <si>
    <t>GASTOS VARIOS (FABIO)</t>
  </si>
  <si>
    <t>IMPUESTOS FEDERALES</t>
  </si>
  <si>
    <t>CONSULTORIA   SCALELLA, ARMANDO</t>
  </si>
  <si>
    <t>CONSULTORIA MERCADO LIBRE</t>
  </si>
  <si>
    <t>EQUIPO PARA VENDEDORES (CARGADOR, USB,PILAS)</t>
  </si>
  <si>
    <t>LIMPIEZA ALMACEN TOLUCA</t>
  </si>
  <si>
    <t>MERCADOTECNIA (PABLO- QUITO)</t>
  </si>
  <si>
    <t>PUBLICIDAD DACTILAR</t>
  </si>
  <si>
    <t>CONSULTORIA ANA GPT</t>
  </si>
  <si>
    <t>ASOCIACION NACIONAL DE TIENDAS DE AUTOSERVICIO Y DEPARTAMENTALES</t>
  </si>
  <si>
    <t>UBM MEXICO EXPOSICIONES</t>
  </si>
  <si>
    <t>REMODELACION ALMACEN TOLUCA</t>
  </si>
  <si>
    <t>SERVICIO DE SOPORTE TECNICO (SISTEMAS)</t>
  </si>
  <si>
    <t>SERVICIO TECNICO (REPARACION DE HORNO)</t>
  </si>
  <si>
    <t>IMPUESTOS ANUALES</t>
  </si>
  <si>
    <t>SERVICIOS DE RECLUTAMIENTO (GRUPO REDA)</t>
  </si>
  <si>
    <t>IMPUESTOS ISR RET</t>
  </si>
  <si>
    <t>IMPUESTOS IVA RET</t>
  </si>
  <si>
    <t>Gasto logistica</t>
  </si>
  <si>
    <t>ENVIO DE MERCANCIA NORDIN</t>
  </si>
  <si>
    <t>ENVIOS A CLIENTES (PAQUETERÍA)</t>
  </si>
  <si>
    <t>PAQUETERIA POR COBRAR</t>
  </si>
  <si>
    <t>TRANSPORTE(TAXIS Y UBER)</t>
  </si>
  <si>
    <t>CATERING PARA CURSO</t>
  </si>
  <si>
    <t>REFACCIONES Y HERRAMIENTA</t>
  </si>
  <si>
    <t>GARRAFONES DE AGUA</t>
  </si>
  <si>
    <t>MANTENIMIENTO ALMACEN TOLUCA</t>
  </si>
  <si>
    <t>MATERIA PRIMA PARA CURSOS</t>
  </si>
  <si>
    <t>Gastos de almacenaje</t>
  </si>
  <si>
    <t>VIATICOS EXPO GDL</t>
  </si>
  <si>
    <t xml:space="preserve">Viaticos Expo Pan WTC </t>
  </si>
  <si>
    <t>COMIDAS</t>
  </si>
  <si>
    <t>ESTACIONAMIENTOS</t>
  </si>
  <si>
    <t>EQUIPO DE PROTECCION PERSONAL</t>
  </si>
  <si>
    <t>GAS PARA DEMOSTRACIONES</t>
  </si>
  <si>
    <t>HERRERIA BODEGA TOLUCA</t>
  </si>
  <si>
    <t>INSUMOS PARA CURSO (MANDILES, TABLAS, FILIPINAS)</t>
  </si>
  <si>
    <t>PERSONAL (MOVIMIENTOS ALMACEN)</t>
  </si>
  <si>
    <t>SEÑALAMIENTOS EMPAQUE Y EMBALAJE</t>
  </si>
  <si>
    <t>TALLER MECANICO</t>
  </si>
  <si>
    <t>ANTICIPO A PROVEEDORES</t>
  </si>
  <si>
    <t>CARGOS NO RECONOCIDOS BBVA</t>
  </si>
  <si>
    <t>Gastos extraordinarios</t>
  </si>
  <si>
    <t>MOBILIARIO Y EQUIPO</t>
  </si>
  <si>
    <t>UTILIDAD NETA</t>
  </si>
  <si>
    <t>CARGO NO IDENTIFICADO</t>
  </si>
  <si>
    <t>ADQUISICION DE MERCANCIAS</t>
  </si>
  <si>
    <t xml:space="preserve">Reembolsos </t>
  </si>
  <si>
    <t xml:space="preserve">Prestamos Bendita Diversificacion </t>
  </si>
  <si>
    <t>EXPO FOOD SERVICE DE MEXICO</t>
  </si>
  <si>
    <t>INTERNET IZZI NEGOCIOS</t>
  </si>
  <si>
    <t>KIT DE INSTALACION DE SISTEMA DE CIRCUITO CERRADO DE TV</t>
  </si>
  <si>
    <t>LIQUIDACION DE TRABAJADORES</t>
  </si>
  <si>
    <t>MANIOBRAS DE DESCARGA</t>
  </si>
  <si>
    <t xml:space="preserve">MANIOBRAS DE DESCARGA (HORNOS) </t>
  </si>
  <si>
    <t>MATERIAL DE EMPAQUE</t>
  </si>
  <si>
    <t>MERCADOTECNIA (CARLOS-BOGOTA)</t>
  </si>
  <si>
    <t>MONTAJE EXPO GDL</t>
  </si>
  <si>
    <t>OPERADOR (TIEMPO EXTRA)</t>
  </si>
  <si>
    <t>PAGO PARCIAL DE PRESTAMO</t>
  </si>
  <si>
    <t>PIPA DE AGUA</t>
  </si>
  <si>
    <t>PIZZA EXPO</t>
  </si>
  <si>
    <t>PUBLICIDAD IMPRESA EXPO MTY</t>
  </si>
  <si>
    <t>PUBLICIDAD Y MARKETING</t>
  </si>
  <si>
    <t>RENTA BODEGA TOLUCA</t>
  </si>
  <si>
    <t>SISTEMA CONTPAQ ANUAL</t>
  </si>
  <si>
    <t>STAND ABASTUR</t>
  </si>
  <si>
    <t>VIATICOS CHINA (FABIO)</t>
  </si>
  <si>
    <t xml:space="preserve">VIATICOS Y GASTOS DE VIAJE (RICARDO CINTERMEX MTY) </t>
  </si>
  <si>
    <t xml:space="preserve">PUBLICIDAD IMPRESA CURSOS </t>
  </si>
  <si>
    <t>HOTEL</t>
  </si>
  <si>
    <t xml:space="preserve">INSUMOS </t>
  </si>
  <si>
    <t xml:space="preserve">VUELOS </t>
  </si>
  <si>
    <t xml:space="preserve">PROTOTIPOS </t>
  </si>
  <si>
    <t>EXPO GASTRONOMICA WTC</t>
  </si>
  <si>
    <t>PRESTAMOS BENDITA DIVERSIFICACION</t>
  </si>
  <si>
    <t>GARANTIA DE LOS EQUIPOS AT&amp;T</t>
  </si>
  <si>
    <t>HORAS EXTRA</t>
  </si>
  <si>
    <t>FINIQUITO</t>
  </si>
  <si>
    <t>EXPO PAN WTC JUNIO</t>
  </si>
  <si>
    <t>COMISIONES JUNIO</t>
  </si>
  <si>
    <t>PUBLICIDAD DIGITAL MANTTO PAG. INTERNET-QUITO, ECUADOR</t>
  </si>
  <si>
    <t>Javier</t>
  </si>
  <si>
    <t>IVA</t>
  </si>
  <si>
    <t>Local</t>
  </si>
  <si>
    <t>Sueldos</t>
  </si>
  <si>
    <t>Impuestos</t>
  </si>
  <si>
    <t>Ley 25.413</t>
  </si>
  <si>
    <t>Costo Contable</t>
  </si>
  <si>
    <t>SUELDOS</t>
  </si>
  <si>
    <t>LOCAL</t>
  </si>
  <si>
    <t>IMPUESTOS</t>
  </si>
  <si>
    <t>EXTRAORDINARIOS</t>
  </si>
  <si>
    <t>COMISIONES VENTAS</t>
  </si>
  <si>
    <t>Fecha</t>
  </si>
  <si>
    <t>Descripción</t>
  </si>
  <si>
    <t>Retiros Débito</t>
  </si>
  <si>
    <t>FLETES</t>
  </si>
  <si>
    <t>Comisiones Bancarias</t>
  </si>
  <si>
    <t xml:space="preserve">Descuentos Realizados </t>
  </si>
  <si>
    <t>COMISIONES DISTRIBUIDORES</t>
  </si>
  <si>
    <t>GASTOS VARIABLES</t>
  </si>
  <si>
    <t>GASTOS FIJOS</t>
  </si>
  <si>
    <t>GASTOS TOTALES</t>
  </si>
  <si>
    <t>Categoría</t>
  </si>
  <si>
    <t>SubCategoría</t>
  </si>
  <si>
    <t>PUESTA EN MARCHA</t>
  </si>
  <si>
    <t>%</t>
  </si>
  <si>
    <t>ALQUILER</t>
  </si>
  <si>
    <t>MARKETING</t>
  </si>
  <si>
    <t>Estado de Resultados 2024</t>
  </si>
  <si>
    <t>Teléfonos</t>
  </si>
  <si>
    <t>SIN IDENTIFICAR</t>
  </si>
  <si>
    <t>Alquiler</t>
  </si>
  <si>
    <t>IVA Percepción</t>
  </si>
  <si>
    <t>Ingresos Brutos</t>
  </si>
  <si>
    <t>FN1 PRO</t>
  </si>
  <si>
    <t>Dto. %</t>
  </si>
  <si>
    <t>PayWay</t>
  </si>
  <si>
    <t>sueldo ariel</t>
  </si>
  <si>
    <t>Ariel</t>
  </si>
  <si>
    <t>Producto</t>
  </si>
  <si>
    <t>Nombre cliente</t>
  </si>
  <si>
    <t>Precio Lista</t>
  </si>
  <si>
    <t>Inversión</t>
  </si>
  <si>
    <t>IMP. LEY 25.413 BASE:</t>
  </si>
  <si>
    <t>PAGO 07622 PAGO SERV.</t>
  </si>
  <si>
    <t>Importaciones</t>
  </si>
  <si>
    <t>AFIP | Anticipo Aduana</t>
  </si>
  <si>
    <t>PAGO 09345 PAGO SERV.</t>
  </si>
  <si>
    <t>PAGO 07892 PAGO SERV.</t>
  </si>
  <si>
    <t>PAGO 070004103 PROSEGUR CLIENTE 546521</t>
  </si>
  <si>
    <t>Alarma Local</t>
  </si>
  <si>
    <t>IMP. EXTERIOR 01230 REF. 24001IC04098482B</t>
  </si>
  <si>
    <t>Importación</t>
  </si>
  <si>
    <t>IMP. EXTERIOR 01246 REF. 24001IC04098588X</t>
  </si>
  <si>
    <t>IMP. EXTERIOR 01229 REF. 24001IC04098482B</t>
  </si>
  <si>
    <t>IMP. EXTERIOR 01245 REF. 24001IC04098588X</t>
  </si>
  <si>
    <t>IMP. EXTERIOR 01231 REF. 24001IC04098482B</t>
  </si>
  <si>
    <t>IMP. EXTERIOR 01247 REF. 24001IC04098588X</t>
  </si>
  <si>
    <t>AJUSTE TARJETA DEBITO 0056 TARJ. CRED. (AJUSTE COM)</t>
  </si>
  <si>
    <t>005698 0012 TRANSF. ELECTRONICA</t>
  </si>
  <si>
    <t>TRANSF ELEC. 05648 INSTRUCCIÓN DE PAGO</t>
  </si>
  <si>
    <t>TARJETA DEBITO 0700002875 DEBITO AUTOM- CABLEVISION</t>
  </si>
  <si>
    <t>TRANSF ELEC. 09861 TRANSF. ELECTRÓNICA</t>
  </si>
  <si>
    <t>PAGO 0051381545 0091 INSTRUCCIÓN DE PAGO</t>
  </si>
  <si>
    <t>PAGO LA HOLANDO SUDAM SEGUROS FACT AP 5957185 010</t>
  </si>
  <si>
    <t>Marketing</t>
  </si>
  <si>
    <t>Seguro Stand y Personal Expo?</t>
  </si>
  <si>
    <t>PAGO LA HOLANDO SUDAM SEGUROS FACT RC 1077328 000</t>
  </si>
  <si>
    <t>PAGO 0051418204 INSTRUCCIÓN DE PAGO</t>
  </si>
  <si>
    <t>PAGO 0051418201 INSTRUCCIÓN DE PAGO</t>
  </si>
  <si>
    <t>PAGO 0051576193 INSTRUCCIÓN DE PAGO</t>
  </si>
  <si>
    <t>PAGO 0051580735 INSTRUCCIÓN DE PAGO</t>
  </si>
  <si>
    <t>PAGO 0051775602 INSTRUCCIÓN DE PAGO</t>
  </si>
  <si>
    <t>Honorarios Contables</t>
  </si>
  <si>
    <t>PAGO 1151775589 INSTRUCCIÓN DE PAGO</t>
  </si>
  <si>
    <t>PAGO 0051775522 INSTRUCCIÓN DE PAGO</t>
  </si>
  <si>
    <t>TARJ CRED. AJUSTE COM TARJ CRED.(AJUSTE COM)</t>
  </si>
  <si>
    <t>COMISION MANT. CTA</t>
  </si>
  <si>
    <t>2161 'IVA</t>
  </si>
  <si>
    <t>2163 IVA PERCEPCION</t>
  </si>
  <si>
    <t>2165 INGRESOS BRUTOS</t>
  </si>
  <si>
    <t>a cuenta sueldo ariel</t>
  </si>
  <si>
    <t>SUELDO</t>
  </si>
  <si>
    <t>CENA FABIO Y JAVIER HAPENNING</t>
  </si>
  <si>
    <t>GASTOS REPRESENTACION</t>
  </si>
  <si>
    <t>flete hornos</t>
  </si>
  <si>
    <t>renta julio</t>
  </si>
  <si>
    <t>ariel sueldo a cuenta</t>
  </si>
  <si>
    <t>alquiler agosto</t>
  </si>
  <si>
    <t>agua del local</t>
  </si>
  <si>
    <t>AYSA (AGUA LOCAL)</t>
  </si>
  <si>
    <t>comida con diego apyce</t>
  </si>
  <si>
    <t>flete</t>
  </si>
  <si>
    <t>Autoelevador?</t>
  </si>
  <si>
    <t>Flete</t>
  </si>
  <si>
    <t>Imputar en Junio</t>
  </si>
  <si>
    <t>INVERSIONES</t>
  </si>
  <si>
    <t>Tomasso- Matias/PIZZAS AL VACIO</t>
  </si>
  <si>
    <t>202403580 y 202403583</t>
  </si>
  <si>
    <t>Ortigoza- Misiones/MARIO FABIAN</t>
  </si>
  <si>
    <t>GS240380320002</t>
  </si>
  <si>
    <t>Fragor SRL- MIsiones</t>
  </si>
  <si>
    <t>ariel</t>
  </si>
  <si>
    <t>Nicolas Zanet/ROMINA SOLEDAD</t>
  </si>
  <si>
    <t>GS24038032007</t>
  </si>
  <si>
    <t>Federico de Bella</t>
  </si>
  <si>
    <t>Baguette del sol Srl</t>
  </si>
  <si>
    <t>ES240380320010</t>
  </si>
  <si>
    <t>Mauro Nicolosi</t>
  </si>
  <si>
    <t>2024 035087</t>
  </si>
  <si>
    <t>Lionel/LEE CONFITERIAS</t>
  </si>
  <si>
    <t>24038032003 y 24038032006</t>
  </si>
  <si>
    <t>Vendedor</t>
  </si>
  <si>
    <t>Cant</t>
  </si>
  <si>
    <t>Nro de serie</t>
  </si>
  <si>
    <t>Precio Cotizado</t>
  </si>
  <si>
    <t>PRO ELÉCTRICO 90</t>
  </si>
  <si>
    <t>PRO GAS 90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</si>
</sst>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6">
    <numFmt numFmtId="6" formatCode="&quot;$&quot;\ #,##0;[Red]\-&quot;$&quot;\ #,##0"/>
    <numFmt numFmtId="8" formatCode="&quot;$&quot;\ #,##0.00;[Red]\-&quot;$&quot;\ #,##0.00"/>
    <numFmt numFmtId="43" formatCode="_-* #,##0.00_-;\-* #,##0.00_-;_-* &quot;-&quot;??_-;_-@_-"/>
    <numFmt numFmtId="164" formatCode="&quot;$&quot;#,##0.00;[Red]\-&quot;$&quot;#,##0.00"/>
    <numFmt numFmtId="165" formatCode="_-&quot;$&quot;* #,##0.00_-;\-&quot;$&quot;* #,##0.00_-;_-&quot;$&quot;* &quot;-&quot;??_-;_-@_-"/>
    <numFmt numFmtId="166" formatCode="&quot;$&quot;\ #,##0.00"/>
  </numFmts>
  <fonts count="2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b/>
      <sz val="11"/>
      <name val="Segoe UI"/>
      <family val="2"/>
    </font>
    <font>
      <b/>
      <sz val="12"/>
      <name val="Segoe UI"/>
      <family val="2"/>
    </font>
    <font>
      <b/>
      <sz val="16"/>
      <color theme="1" tint="4.9989318521683403E-2"/>
      <name val="Segoe UI"/>
      <family val="2"/>
    </font>
    <font>
      <b/>
      <sz val="12"/>
      <color theme="1"/>
      <name val="Aptos Narrow"/>
      <family val="2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b/>
      <sz val="10"/>
      <color rgb="FFFFFFFF"/>
      <name val="Arial"/>
      <family val="2"/>
    </font>
    <font>
      <b/>
      <sz val="11"/>
      <color rgb="FF000000"/>
      <name val="Aptos Narrow"/>
      <family val="2"/>
      <scheme val="minor"/>
    </font>
    <font>
      <sz val="11"/>
      <color rgb="FF0000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4"/>
      <color theme="0"/>
      <name val="Segoe UI"/>
      <family val="2"/>
    </font>
    <font>
      <sz val="10"/>
      <color theme="1"/>
      <name val="Calibri"/>
      <family val="2"/>
    </font>
    <font>
      <b/>
      <sz val="10"/>
      <color theme="1"/>
      <name val="Calibri"/>
      <family val="2"/>
    </font>
    <font>
      <sz val="11"/>
      <color theme="1"/>
      <name val="Calibri"/>
      <family val="2"/>
    </font>
    <font>
      <b/>
      <i/>
      <sz val="10"/>
      <color theme="1"/>
      <name val="Arial"/>
      <family val="2"/>
    </font>
    <font>
      <sz val="12"/>
      <color theme="1"/>
      <name val="Calibri"/>
      <family val="2"/>
    </font>
  </fonts>
  <fills count="11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215C98"/>
        <bgColor indexed="64"/>
      </patternFill>
    </fill>
    <fill>
      <patternFill patternType="solid">
        <fgColor rgb="FFC00000"/>
        <bgColor rgb="FF000000"/>
      </patternFill>
    </fill>
    <fill>
      <patternFill patternType="solid">
        <fgColor rgb="FFC0000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909EE6"/>
        <bgColor indexed="64"/>
      </patternFill>
    </fill>
    <fill>
      <patternFill patternType="solid">
        <fgColor theme="5"/>
        <bgColor indexed="64"/>
      </patternFill>
    </fill>
  </fills>
  <borders count="9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thick">
        <color rgb="FF000000"/>
      </left>
      <right style="thick">
        <color rgb="FF000000"/>
      </right>
      <top style="thick">
        <color rgb="FF000000"/>
      </top>
      <bottom/>
      <diagonal/>
    </border>
    <border>
      <left style="medium">
        <color rgb="FFCCCCCC"/>
      </left>
      <right style="thick">
        <color rgb="FF000000"/>
      </right>
      <top style="thick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CCCCCC"/>
      </left>
      <right/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/>
      <bottom style="medium">
        <color rgb="FFCCCCCC"/>
      </bottom>
      <diagonal/>
    </border>
  </borders>
  <cellStyleXfs count="6">
    <xf numFmtId="0" fontId="0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86">
    <xf numFmtId="0" fontId="0" fillId="0" borderId="0" xfId="0"/>
    <xf numFmtId="0" fontId="2" fillId="0" borderId="0" xfId="0" applyFont="1"/>
    <xf numFmtId="0" fontId="6" fillId="2" borderId="0" xfId="0" applyFont="1" applyFill="1" applyAlignment="1">
      <alignment horizontal="center" vertical="center"/>
    </xf>
    <xf numFmtId="0" fontId="7" fillId="0" borderId="0" xfId="0" applyFont="1"/>
    <xf numFmtId="0" fontId="3" fillId="0" borderId="0" xfId="0" applyFont="1" applyAlignment="1">
      <alignment horizontal="left"/>
    </xf>
    <xf numFmtId="164" fontId="4" fillId="2" borderId="0" xfId="0" applyNumberFormat="1" applyFont="1" applyFill="1"/>
    <xf numFmtId="0" fontId="3" fillId="0" borderId="0" xfId="0" applyFont="1"/>
    <xf numFmtId="164" fontId="5" fillId="2" borderId="0" xfId="0" applyNumberFormat="1" applyFont="1" applyFill="1"/>
    <xf numFmtId="0" fontId="0" fillId="0" borderId="0" xfId="0" applyAlignment="1">
      <alignment horizontal="left"/>
    </xf>
    <xf numFmtId="0" fontId="3" fillId="0" borderId="2" xfId="0" applyFont="1" applyBorder="1" applyAlignment="1">
      <alignment horizontal="left"/>
    </xf>
    <xf numFmtId="0" fontId="0" fillId="0" borderId="0" xfId="0" quotePrefix="1" applyAlignment="1">
      <alignment horizontal="left"/>
    </xf>
    <xf numFmtId="0" fontId="6" fillId="2" borderId="0" xfId="0" applyFont="1" applyFill="1" applyAlignment="1">
      <alignment vertical="center"/>
    </xf>
    <xf numFmtId="166" fontId="0" fillId="0" borderId="0" xfId="0" applyNumberFormat="1" applyAlignment="1">
      <alignment vertical="center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43" fontId="0" fillId="0" borderId="0" xfId="1" applyFont="1" applyAlignment="1">
      <alignment vertical="center"/>
    </xf>
    <xf numFmtId="9" fontId="0" fillId="0" borderId="0" xfId="0" applyNumberFormat="1" applyAlignment="1">
      <alignment horizontal="center" vertical="center"/>
    </xf>
    <xf numFmtId="43" fontId="2" fillId="0" borderId="0" xfId="1" applyFont="1" applyAlignment="1">
      <alignment vertical="center"/>
    </xf>
    <xf numFmtId="9" fontId="0" fillId="0" borderId="0" xfId="3" applyFont="1" applyAlignment="1">
      <alignment horizontal="center" vertical="center"/>
    </xf>
    <xf numFmtId="0" fontId="11" fillId="0" borderId="1" xfId="0" applyFont="1" applyBorder="1" applyAlignment="1">
      <alignment vertical="center"/>
    </xf>
    <xf numFmtId="0" fontId="11" fillId="0" borderId="0" xfId="0" applyFont="1" applyAlignment="1">
      <alignment vertical="center"/>
    </xf>
    <xf numFmtId="0" fontId="11" fillId="3" borderId="0" xfId="0" applyFont="1" applyFill="1" applyAlignment="1">
      <alignment vertical="center"/>
    </xf>
    <xf numFmtId="8" fontId="2" fillId="3" borderId="0" xfId="1" applyNumberFormat="1" applyFont="1" applyFill="1" applyAlignment="1">
      <alignment vertical="center"/>
    </xf>
    <xf numFmtId="9" fontId="2" fillId="0" borderId="0" xfId="3" applyFont="1" applyAlignment="1">
      <alignment horizontal="center" vertical="center"/>
    </xf>
    <xf numFmtId="166" fontId="2" fillId="0" borderId="0" xfId="0" applyNumberFormat="1" applyFont="1" applyAlignment="1">
      <alignment vertical="center"/>
    </xf>
    <xf numFmtId="43" fontId="2" fillId="0" borderId="0" xfId="0" applyNumberFormat="1" applyFont="1" applyAlignment="1">
      <alignment vertical="center"/>
    </xf>
    <xf numFmtId="0" fontId="2" fillId="0" borderId="0" xfId="0" applyFont="1" applyAlignment="1">
      <alignment vertical="center"/>
    </xf>
    <xf numFmtId="0" fontId="12" fillId="0" borderId="0" xfId="0" applyFont="1" applyAlignment="1">
      <alignment vertical="center"/>
    </xf>
    <xf numFmtId="8" fontId="0" fillId="0" borderId="0" xfId="1" applyNumberFormat="1" applyFont="1" applyAlignment="1">
      <alignment vertical="center"/>
    </xf>
    <xf numFmtId="0" fontId="11" fillId="4" borderId="0" xfId="0" applyFont="1" applyFill="1" applyAlignment="1">
      <alignment vertical="center"/>
    </xf>
    <xf numFmtId="43" fontId="2" fillId="4" borderId="0" xfId="1" applyFont="1" applyFill="1" applyAlignment="1">
      <alignment vertical="center"/>
    </xf>
    <xf numFmtId="9" fontId="2" fillId="4" borderId="0" xfId="3" applyFont="1" applyFill="1" applyAlignment="1">
      <alignment horizontal="center" vertical="center"/>
    </xf>
    <xf numFmtId="8" fontId="1" fillId="3" borderId="0" xfId="1" applyNumberFormat="1" applyFont="1" applyFill="1" applyAlignment="1">
      <alignment vertical="center"/>
    </xf>
    <xf numFmtId="0" fontId="9" fillId="0" borderId="0" xfId="0" applyFont="1"/>
    <xf numFmtId="0" fontId="14" fillId="6" borderId="0" xfId="0" applyFont="1" applyFill="1" applyAlignment="1">
      <alignment horizontal="center" vertical="center"/>
    </xf>
    <xf numFmtId="17" fontId="14" fillId="6" borderId="0" xfId="1" applyNumberFormat="1" applyFont="1" applyFill="1" applyAlignment="1">
      <alignment horizontal="center" vertical="center"/>
    </xf>
    <xf numFmtId="0" fontId="13" fillId="7" borderId="0" xfId="0" applyFont="1" applyFill="1" applyAlignment="1">
      <alignment horizontal="center" vertical="center"/>
    </xf>
    <xf numFmtId="0" fontId="9" fillId="0" borderId="3" xfId="0" applyFont="1" applyBorder="1" applyAlignment="1">
      <alignment wrapText="1"/>
    </xf>
    <xf numFmtId="0" fontId="10" fillId="5" borderId="4" xfId="0" applyFont="1" applyFill="1" applyBorder="1" applyAlignment="1">
      <alignment horizontal="center" vertical="center" wrapText="1"/>
    </xf>
    <xf numFmtId="0" fontId="10" fillId="5" borderId="5" xfId="0" applyFont="1" applyFill="1" applyBorder="1" applyAlignment="1">
      <alignment horizontal="center" vertical="center" wrapText="1"/>
    </xf>
    <xf numFmtId="15" fontId="9" fillId="0" borderId="0" xfId="0" applyNumberFormat="1" applyFont="1" applyAlignment="1">
      <alignment horizontal="center" wrapText="1"/>
    </xf>
    <xf numFmtId="0" fontId="9" fillId="0" borderId="0" xfId="0" applyFont="1" applyAlignment="1">
      <alignment wrapText="1"/>
    </xf>
    <xf numFmtId="8" fontId="9" fillId="0" borderId="0" xfId="0" applyNumberFormat="1" applyFont="1" applyAlignment="1">
      <alignment horizontal="right" wrapText="1"/>
    </xf>
    <xf numFmtId="0" fontId="0" fillId="0" borderId="0" xfId="0" applyAlignment="1">
      <alignment wrapText="1"/>
    </xf>
    <xf numFmtId="0" fontId="9" fillId="0" borderId="0" xfId="0" applyFont="1" applyAlignment="1">
      <alignment vertical="center" wrapText="1"/>
    </xf>
    <xf numFmtId="14" fontId="17" fillId="0" borderId="0" xfId="0" applyNumberFormat="1" applyFont="1" applyAlignment="1">
      <alignment horizontal="center" vertical="center" wrapText="1"/>
    </xf>
    <xf numFmtId="0" fontId="17" fillId="0" borderId="0" xfId="0" applyFont="1" applyAlignment="1">
      <alignment vertical="center" wrapText="1"/>
    </xf>
    <xf numFmtId="8" fontId="17" fillId="0" borderId="0" xfId="0" applyNumberFormat="1" applyFont="1" applyAlignment="1">
      <alignment horizontal="right" vertical="center" wrapText="1"/>
    </xf>
    <xf numFmtId="15" fontId="8" fillId="3" borderId="0" xfId="0" applyNumberFormat="1" applyFont="1" applyFill="1" applyAlignment="1">
      <alignment horizontal="center" wrapText="1"/>
    </xf>
    <xf numFmtId="0" fontId="8" fillId="3" borderId="0" xfId="0" applyFont="1" applyFill="1" applyAlignment="1">
      <alignment wrapText="1"/>
    </xf>
    <xf numFmtId="8" fontId="8" fillId="3" borderId="0" xfId="0" applyNumberFormat="1" applyFont="1" applyFill="1" applyAlignment="1">
      <alignment horizontal="right" wrapText="1"/>
    </xf>
    <xf numFmtId="14" fontId="17" fillId="9" borderId="0" xfId="0" applyNumberFormat="1" applyFont="1" applyFill="1" applyAlignment="1">
      <alignment horizontal="center" vertical="center" wrapText="1"/>
    </xf>
    <xf numFmtId="0" fontId="17" fillId="9" borderId="0" xfId="0" applyFont="1" applyFill="1" applyAlignment="1">
      <alignment vertical="center" wrapText="1"/>
    </xf>
    <xf numFmtId="8" fontId="17" fillId="9" borderId="0" xfId="0" applyNumberFormat="1" applyFont="1" applyFill="1" applyAlignment="1">
      <alignment horizontal="right" vertical="center" wrapText="1"/>
    </xf>
    <xf numFmtId="0" fontId="9" fillId="9" borderId="0" xfId="0" applyFont="1" applyFill="1"/>
    <xf numFmtId="0" fontId="0" fillId="10" borderId="0" xfId="0" applyFill="1" applyAlignment="1">
      <alignment vertical="center"/>
    </xf>
    <xf numFmtId="8" fontId="1" fillId="10" borderId="0" xfId="1" applyNumberFormat="1" applyFont="1" applyFill="1" applyAlignment="1">
      <alignment vertical="center"/>
    </xf>
    <xf numFmtId="0" fontId="0" fillId="10" borderId="0" xfId="0" applyFill="1" applyAlignment="1">
      <alignment horizontal="center" vertical="center"/>
    </xf>
    <xf numFmtId="15" fontId="9" fillId="10" borderId="0" xfId="0" applyNumberFormat="1" applyFont="1" applyFill="1" applyAlignment="1">
      <alignment horizontal="center" wrapText="1"/>
    </xf>
    <xf numFmtId="0" fontId="9" fillId="10" borderId="0" xfId="0" applyFont="1" applyFill="1" applyAlignment="1">
      <alignment wrapText="1"/>
    </xf>
    <xf numFmtId="8" fontId="9" fillId="10" borderId="0" xfId="0" applyNumberFormat="1" applyFont="1" applyFill="1" applyAlignment="1">
      <alignment horizontal="right" wrapText="1"/>
    </xf>
    <xf numFmtId="0" fontId="0" fillId="10" borderId="0" xfId="0" applyFill="1" applyAlignment="1">
      <alignment wrapText="1"/>
    </xf>
    <xf numFmtId="0" fontId="18" fillId="9" borderId="0" xfId="0" applyFont="1" applyFill="1"/>
    <xf numFmtId="0" fontId="15" fillId="0" borderId="0" xfId="0" applyFont="1" applyAlignment="1">
      <alignment vertical="center"/>
    </xf>
    <xf numFmtId="0" fontId="15" fillId="0" borderId="3" xfId="0" applyFont="1" applyBorder="1" applyAlignment="1">
      <alignment vertical="center" wrapText="1"/>
    </xf>
    <xf numFmtId="0" fontId="15" fillId="0" borderId="3" xfId="0" applyFont="1" applyBorder="1" applyAlignment="1">
      <alignment horizontal="center" vertical="center" wrapText="1"/>
    </xf>
    <xf numFmtId="0" fontId="15" fillId="0" borderId="0" xfId="0" applyFont="1" applyAlignment="1">
      <alignment horizontal="center" vertical="center"/>
    </xf>
    <xf numFmtId="0" fontId="15" fillId="0" borderId="3" xfId="0" applyFont="1" applyBorder="1" applyAlignment="1">
      <alignment horizontal="center" vertical="center"/>
    </xf>
    <xf numFmtId="4" fontId="15" fillId="0" borderId="6" xfId="0" applyNumberFormat="1" applyFont="1" applyBorder="1" applyAlignment="1">
      <alignment horizontal="right" vertical="center" wrapText="1"/>
    </xf>
    <xf numFmtId="0" fontId="16" fillId="0" borderId="7" xfId="0" applyFont="1" applyBorder="1" applyAlignment="1">
      <alignment horizontal="center" vertical="center" wrapText="1"/>
    </xf>
    <xf numFmtId="16" fontId="15" fillId="0" borderId="7" xfId="0" applyNumberFormat="1" applyFont="1" applyBorder="1" applyAlignment="1">
      <alignment horizontal="center" vertical="center"/>
    </xf>
    <xf numFmtId="0" fontId="15" fillId="0" borderId="7" xfId="0" applyFont="1" applyBorder="1" applyAlignment="1">
      <alignment horizontal="center" vertical="center"/>
    </xf>
    <xf numFmtId="0" fontId="15" fillId="0" borderId="8" xfId="0" applyFont="1" applyBorder="1" applyAlignment="1">
      <alignment vertical="center"/>
    </xf>
    <xf numFmtId="0" fontId="15" fillId="0" borderId="6" xfId="0" applyFont="1" applyBorder="1" applyAlignment="1">
      <alignment vertical="center"/>
    </xf>
    <xf numFmtId="0" fontId="15" fillId="0" borderId="6" xfId="0" applyFont="1" applyBorder="1" applyAlignment="1">
      <alignment horizontal="center" vertical="center"/>
    </xf>
    <xf numFmtId="0" fontId="15" fillId="0" borderId="6" xfId="0" applyFont="1" applyBorder="1" applyAlignment="1">
      <alignment horizontal="left" vertical="center"/>
    </xf>
    <xf numFmtId="0" fontId="19" fillId="0" borderId="6" xfId="0" applyFont="1" applyBorder="1" applyAlignment="1">
      <alignment horizontal="left" vertical="center"/>
    </xf>
    <xf numFmtId="6" fontId="15" fillId="0" borderId="6" xfId="0" applyNumberFormat="1" applyFont="1" applyBorder="1" applyAlignment="1">
      <alignment horizontal="right" vertical="center"/>
    </xf>
    <xf numFmtId="9" fontId="15" fillId="0" borderId="6" xfId="3" applyFont="1" applyFill="1" applyBorder="1" applyAlignment="1">
      <alignment horizontal="center" vertical="center"/>
    </xf>
    <xf numFmtId="0" fontId="17" fillId="0" borderId="6" xfId="0" applyFont="1" applyBorder="1" applyAlignment="1">
      <alignment horizontal="left" vertical="center"/>
    </xf>
    <xf numFmtId="0" fontId="16" fillId="8" borderId="6" xfId="0" applyFont="1" applyFill="1" applyBorder="1" applyAlignment="1">
      <alignment horizontal="center" vertical="center" wrapText="1"/>
    </xf>
    <xf numFmtId="0" fontId="16" fillId="8" borderId="6" xfId="0" applyFont="1" applyFill="1" applyBorder="1" applyAlignment="1">
      <alignment vertical="center"/>
    </xf>
    <xf numFmtId="6" fontId="16" fillId="8" borderId="6" xfId="0" applyNumberFormat="1" applyFont="1" applyFill="1" applyBorder="1" applyAlignment="1">
      <alignment vertical="center"/>
    </xf>
    <xf numFmtId="6" fontId="16" fillId="8" borderId="6" xfId="0" applyNumberFormat="1" applyFont="1" applyFill="1" applyBorder="1" applyAlignment="1">
      <alignment horizontal="center" vertical="center"/>
    </xf>
    <xf numFmtId="6" fontId="0" fillId="0" borderId="0" xfId="1" applyNumberFormat="1" applyFont="1" applyAlignment="1">
      <alignment vertical="center"/>
    </xf>
    <xf numFmtId="6" fontId="1" fillId="0" borderId="2" xfId="1" applyNumberFormat="1" applyFont="1" applyBorder="1" applyAlignment="1">
      <alignment vertical="center"/>
    </xf>
  </cellXfs>
  <cellStyles count="6">
    <cellStyle name="Millares" xfId="1" builtinId="3"/>
    <cellStyle name="Millares 2" xfId="5" xr:uid="{6055B29B-3539-473A-AE1E-B53434AF2097}"/>
    <cellStyle name="Moneda 2" xfId="2" xr:uid="{2B19F461-3CE7-49C6-8833-F2A9B7C29E43}"/>
    <cellStyle name="Moneda 3" xfId="4" xr:uid="{D431B3F6-F0AC-4B22-A2EF-B5778D33F5AF}"/>
    <cellStyle name="Normal" xfId="0" builtinId="0"/>
    <cellStyle name="Porcentaje" xfId="3" builtinId="5"/>
  </cellStyles>
  <dxfs count="0"/>
  <tableStyles count="1" defaultTableStyle="TableStyleMedium2" defaultPivotStyle="PivotStyleLight16">
    <tableStyle name="Invisible" pivot="0" table="0" count="0" xr9:uid="{F4DB1592-7028-4E40-86B2-18A0E6CF1560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517737</xdr:colOff>
      <xdr:row>0</xdr:row>
      <xdr:rowOff>19050</xdr:rowOff>
    </xdr:from>
    <xdr:to>
      <xdr:col>2</xdr:col>
      <xdr:colOff>246436</xdr:colOff>
      <xdr:row>0</xdr:row>
      <xdr:rowOff>811712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66BAEB90-3B90-43B5-9BC0-C8B8B61161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alphaModFix amt="70000"/>
        </a:blip>
        <a:stretch>
          <a:fillRect/>
        </a:stretch>
      </xdr:blipFill>
      <xdr:spPr>
        <a:xfrm>
          <a:off x="4965912" y="19050"/>
          <a:ext cx="671674" cy="79266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E70940-2D71-456F-A991-0C16E51095FC}">
  <dimension ref="A1:E30"/>
  <sheetViews>
    <sheetView tabSelected="1" zoomScaleNormal="100" workbookViewId="0">
      <selection activeCell="B3" sqref="B3"/>
    </sheetView>
  </sheetViews>
  <sheetFormatPr baseColWidth="10" defaultRowHeight="15" x14ac:dyDescent="0.25"/>
  <cols>
    <col min="1" max="1" width="66.7109375" style="13" customWidth="1"/>
    <col min="2" max="2" width="14.140625" style="15" bestFit="1" customWidth="1"/>
    <col min="3" max="3" width="11.42578125" style="14"/>
    <col min="4" max="4" width="14.28515625" style="12" bestFit="1" customWidth="1"/>
    <col min="5" max="16384" width="11.42578125" style="13"/>
  </cols>
  <sheetData>
    <row r="1" spans="1:5" ht="66.75" customHeight="1" x14ac:dyDescent="0.25">
      <c r="A1" s="2" t="s">
        <v>145</v>
      </c>
      <c r="B1" s="11"/>
      <c r="C1" s="2"/>
    </row>
    <row r="2" spans="1:5" ht="20.25" x14ac:dyDescent="0.25">
      <c r="A2" s="34" t="s">
        <v>24</v>
      </c>
      <c r="B2" s="35">
        <v>45474</v>
      </c>
      <c r="C2" s="36" t="s">
        <v>142</v>
      </c>
    </row>
    <row r="3" spans="1:5" x14ac:dyDescent="0.25">
      <c r="A3" s="13" t="s">
        <v>25</v>
      </c>
      <c r="B3" s="84">
        <f>+'Ventas Jul´24'!G10</f>
        <v>22170000</v>
      </c>
      <c r="C3" s="16">
        <v>1</v>
      </c>
    </row>
    <row r="4" spans="1:5" x14ac:dyDescent="0.25">
      <c r="A4" s="13" t="s">
        <v>134</v>
      </c>
      <c r="B4" s="85">
        <f>+'Ventas Jul´24'!H10</f>
        <v>431500</v>
      </c>
      <c r="C4" s="18">
        <f>(B4*C3)/B3</f>
        <v>1.9463238610735227E-2</v>
      </c>
    </row>
    <row r="5" spans="1:5" x14ac:dyDescent="0.25">
      <c r="A5" s="19" t="s">
        <v>26</v>
      </c>
      <c r="B5" s="17">
        <f>B3-B4</f>
        <v>21738500</v>
      </c>
      <c r="C5" s="16">
        <v>1</v>
      </c>
    </row>
    <row r="6" spans="1:5" x14ac:dyDescent="0.25">
      <c r="A6" s="20" t="s">
        <v>27</v>
      </c>
      <c r="B6" s="84">
        <f>+'Ventas Jul´24'!J10</f>
        <v>4571583.8999999994</v>
      </c>
      <c r="C6" s="18">
        <v>0.33</v>
      </c>
    </row>
    <row r="7" spans="1:5" x14ac:dyDescent="0.25">
      <c r="A7" s="20" t="s">
        <v>28</v>
      </c>
      <c r="B7" s="17">
        <f>B5-B6</f>
        <v>17166916.100000001</v>
      </c>
      <c r="C7" s="18">
        <f>(B7*C5)/B5</f>
        <v>0.78970104193021606</v>
      </c>
    </row>
    <row r="10" spans="1:5" s="26" customFormat="1" x14ac:dyDescent="0.25">
      <c r="A10" s="21" t="s">
        <v>136</v>
      </c>
      <c r="B10" s="32">
        <f>SUM(B11:B19)</f>
        <v>5071229.21</v>
      </c>
      <c r="C10" s="23">
        <f>(B10*$C5)/$B5</f>
        <v>0.23328330887595741</v>
      </c>
      <c r="D10" s="24"/>
      <c r="E10" s="25"/>
    </row>
    <row r="11" spans="1:5" x14ac:dyDescent="0.25">
      <c r="A11" s="27" t="s">
        <v>17</v>
      </c>
      <c r="B11" s="28">
        <f>+Gastos!C5</f>
        <v>73203.540000000008</v>
      </c>
      <c r="C11" s="18">
        <f>(B11*$C$5)/$B$5</f>
        <v>3.3674604963543947E-3</v>
      </c>
    </row>
    <row r="12" spans="1:5" x14ac:dyDescent="0.25">
      <c r="A12" s="27" t="s">
        <v>135</v>
      </c>
      <c r="B12" s="28">
        <v>0</v>
      </c>
      <c r="C12" s="18">
        <f>(B12*$C$5)/$B$5</f>
        <v>0</v>
      </c>
    </row>
    <row r="13" spans="1:5" x14ac:dyDescent="0.25">
      <c r="A13" s="27" t="s">
        <v>128</v>
      </c>
      <c r="B13" s="28">
        <v>0</v>
      </c>
      <c r="C13" s="18">
        <f t="shared" ref="C13:C16" si="0">(B13*$C$5)/$B$5</f>
        <v>0</v>
      </c>
    </row>
    <row r="14" spans="1:5" x14ac:dyDescent="0.25">
      <c r="A14" s="27" t="s">
        <v>127</v>
      </c>
      <c r="B14" s="28">
        <v>0</v>
      </c>
      <c r="C14" s="18">
        <f t="shared" si="0"/>
        <v>0</v>
      </c>
    </row>
    <row r="15" spans="1:5" x14ac:dyDescent="0.25">
      <c r="A15" s="27" t="s">
        <v>132</v>
      </c>
      <c r="B15" s="28">
        <f>+Gastos!C8</f>
        <v>108000</v>
      </c>
      <c r="C15" s="18">
        <f t="shared" si="0"/>
        <v>4.9681440761782094E-3</v>
      </c>
    </row>
    <row r="16" spans="1:5" x14ac:dyDescent="0.25">
      <c r="A16" s="27" t="s">
        <v>126</v>
      </c>
      <c r="B16" s="28">
        <f>+Gastos!C69</f>
        <v>1025927.0500000002</v>
      </c>
      <c r="C16" s="18">
        <f t="shared" si="0"/>
        <v>4.7194012926374873E-2</v>
      </c>
    </row>
    <row r="17" spans="1:3" x14ac:dyDescent="0.25">
      <c r="A17" s="27" t="s">
        <v>144</v>
      </c>
      <c r="B17" s="28">
        <f>+Gastos!C85</f>
        <v>340529.82</v>
      </c>
      <c r="C17" s="18">
        <f t="shared" ref="C17:C19" si="1">(B17*$C$5)/$B$5</f>
        <v>1.5664825999953998E-2</v>
      </c>
    </row>
    <row r="18" spans="1:3" x14ac:dyDescent="0.25">
      <c r="A18" s="27" t="s">
        <v>141</v>
      </c>
      <c r="B18" s="28">
        <v>0</v>
      </c>
      <c r="C18" s="18">
        <f t="shared" si="1"/>
        <v>0</v>
      </c>
    </row>
    <row r="19" spans="1:3" x14ac:dyDescent="0.25">
      <c r="A19" s="27" t="s">
        <v>147</v>
      </c>
      <c r="B19" s="28">
        <f>+Gastos!C91</f>
        <v>3523568.8</v>
      </c>
      <c r="C19" s="18">
        <f t="shared" si="1"/>
        <v>0.16208886537709594</v>
      </c>
    </row>
    <row r="21" spans="1:3" x14ac:dyDescent="0.25">
      <c r="A21" s="21" t="s">
        <v>137</v>
      </c>
      <c r="B21" s="32">
        <f>SUM(B22:B23)</f>
        <v>2706666.76</v>
      </c>
      <c r="C21" s="23">
        <f>(B21*$C5)/$B5</f>
        <v>0.12451028175817097</v>
      </c>
    </row>
    <row r="22" spans="1:3" x14ac:dyDescent="0.25">
      <c r="A22" s="27" t="s">
        <v>125</v>
      </c>
      <c r="B22" s="28">
        <f>+Gastos!C79</f>
        <v>1906666.76</v>
      </c>
      <c r="C22" s="18">
        <f>(B22*$C$5)/$B$5</f>
        <v>8.7709214527221288E-2</v>
      </c>
    </row>
    <row r="23" spans="1:3" x14ac:dyDescent="0.25">
      <c r="A23" s="27" t="s">
        <v>124</v>
      </c>
      <c r="B23" s="28">
        <f>+Gastos!C94</f>
        <v>800000</v>
      </c>
      <c r="C23" s="18">
        <f>(B23*$C$5)/$B$5</f>
        <v>3.6801067230949697E-2</v>
      </c>
    </row>
    <row r="24" spans="1:3" x14ac:dyDescent="0.25">
      <c r="A24" s="27"/>
      <c r="C24" s="18"/>
    </row>
    <row r="25" spans="1:3" x14ac:dyDescent="0.25">
      <c r="A25" s="21" t="s">
        <v>138</v>
      </c>
      <c r="B25" s="22">
        <f>+B10+B21</f>
        <v>7777895.9699999997</v>
      </c>
      <c r="C25" s="18"/>
    </row>
    <row r="26" spans="1:3" x14ac:dyDescent="0.25">
      <c r="A26" s="27"/>
      <c r="C26" s="18"/>
    </row>
    <row r="27" spans="1:3" x14ac:dyDescent="0.25">
      <c r="A27" s="29" t="s">
        <v>79</v>
      </c>
      <c r="B27" s="30">
        <f>B7-B10-B21</f>
        <v>9389020.1300000008</v>
      </c>
      <c r="C27" s="31">
        <f>(B27*C5)/B5</f>
        <v>0.4319074512960876</v>
      </c>
    </row>
    <row r="30" spans="1:3" x14ac:dyDescent="0.25">
      <c r="A30" s="55" t="s">
        <v>213</v>
      </c>
      <c r="B30" s="56">
        <f>+Gastos!C96</f>
        <v>847000</v>
      </c>
      <c r="C30" s="57"/>
    </row>
  </sheetData>
  <sortState xmlns:xlrd2="http://schemas.microsoft.com/office/spreadsheetml/2017/richdata2" ref="A11:A20">
    <sortCondition ref="A11:A20"/>
  </sortState>
  <conditionalFormatting sqref="C4">
    <cfRule type="dataBar" priority="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{6397F301-6E0A-4C63-9156-0ED55F88C46F}</x14:id>
        </ext>
      </extLst>
    </cfRule>
  </conditionalFormatting>
  <conditionalFormatting sqref="C7">
    <cfRule type="dataBar" priority="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{B6E65CD6-6FD3-4A79-87B0-900DE5079DDD}</x14:id>
        </ext>
      </extLst>
    </cfRule>
  </conditionalFormatting>
  <conditionalFormatting sqref="C10">
    <cfRule type="dataBar" priority="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{D401EFC2-9A04-4644-9A6E-8EEADD4051B3}</x14:id>
        </ext>
      </extLst>
    </cfRule>
  </conditionalFormatting>
  <conditionalFormatting sqref="C21">
    <cfRule type="dataBar" priority="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{CD91A6A2-A73A-4991-99F4-9614C8CA4B25}</x14:id>
        </ext>
      </extLst>
    </cfRule>
  </conditionalFormatting>
  <conditionalFormatting sqref="C22:C26 C11:C19">
    <cfRule type="dataBar" priority="1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{92D1E6DA-572C-4746-A276-58750D0395FF}</x14:id>
        </ext>
      </extLst>
    </cfRule>
  </conditionalFormatting>
  <conditionalFormatting sqref="C27">
    <cfRule type="dataBar" priority="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{529CD9D6-5682-44D9-ABF4-5EDE95DEFAD7}</x14:id>
        </ext>
      </extLst>
    </cfRule>
  </conditionalFormatting>
  <pageMargins left="0.7" right="0.7" top="0.75" bottom="0.75" header="0.3" footer="0.3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6397F301-6E0A-4C63-9156-0ED55F88C46F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C4</xm:sqref>
        </x14:conditionalFormatting>
        <x14:conditionalFormatting xmlns:xm="http://schemas.microsoft.com/office/excel/2006/main">
          <x14:cfRule type="dataBar" id="{B6E65CD6-6FD3-4A79-87B0-900DE5079DDD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C7</xm:sqref>
        </x14:conditionalFormatting>
        <x14:conditionalFormatting xmlns:xm="http://schemas.microsoft.com/office/excel/2006/main">
          <x14:cfRule type="dataBar" id="{D401EFC2-9A04-4644-9A6E-8EEADD4051B3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C10</xm:sqref>
        </x14:conditionalFormatting>
        <x14:conditionalFormatting xmlns:xm="http://schemas.microsoft.com/office/excel/2006/main">
          <x14:cfRule type="dataBar" id="{CD91A6A2-A73A-4991-99F4-9614C8CA4B25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C21</xm:sqref>
        </x14:conditionalFormatting>
        <x14:conditionalFormatting xmlns:xm="http://schemas.microsoft.com/office/excel/2006/main">
          <x14:cfRule type="dataBar" id="{92D1E6DA-572C-4746-A276-58750D0395FF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C22:C26 C11:C19</xm:sqref>
        </x14:conditionalFormatting>
        <x14:conditionalFormatting xmlns:xm="http://schemas.microsoft.com/office/excel/2006/main">
          <x14:cfRule type="dataBar" id="{529CD9D6-5682-44D9-ABF4-5EDE95DEFAD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C27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39FC09-67B1-4389-93ED-E9AE970AAC6E}">
  <dimension ref="A1:E108"/>
  <sheetViews>
    <sheetView topLeftCell="A85" zoomScale="90" zoomScaleNormal="90" workbookViewId="0">
      <selection activeCell="B109" sqref="B109"/>
    </sheetView>
  </sheetViews>
  <sheetFormatPr baseColWidth="10" defaultRowHeight="12.75" x14ac:dyDescent="0.2"/>
  <cols>
    <col min="1" max="1" width="11.28515625" style="33" bestFit="1" customWidth="1"/>
    <col min="2" max="2" width="67.28515625" style="33" bestFit="1" customWidth="1"/>
    <col min="3" max="3" width="27.42578125" style="33" customWidth="1"/>
    <col min="4" max="4" width="25.5703125" style="33" customWidth="1"/>
    <col min="5" max="5" width="38" style="33" customWidth="1"/>
    <col min="6" max="16384" width="11.42578125" style="33"/>
  </cols>
  <sheetData>
    <row r="1" spans="1:5" ht="13.5" thickTop="1" x14ac:dyDescent="0.2">
      <c r="A1" s="38" t="s">
        <v>129</v>
      </c>
      <c r="B1" s="39" t="s">
        <v>130</v>
      </c>
      <c r="C1" s="39" t="s">
        <v>131</v>
      </c>
      <c r="D1" s="39" t="s">
        <v>139</v>
      </c>
      <c r="E1" s="39" t="s">
        <v>140</v>
      </c>
    </row>
    <row r="2" spans="1:5" x14ac:dyDescent="0.2">
      <c r="A2" s="40">
        <v>45475</v>
      </c>
      <c r="B2" s="41" t="s">
        <v>175</v>
      </c>
      <c r="C2" s="42">
        <v>4748</v>
      </c>
      <c r="D2" s="41" t="s">
        <v>133</v>
      </c>
      <c r="E2" s="41" t="s">
        <v>153</v>
      </c>
    </row>
    <row r="3" spans="1:5" x14ac:dyDescent="0.2">
      <c r="A3" s="40">
        <v>45503</v>
      </c>
      <c r="B3" s="41" t="s">
        <v>193</v>
      </c>
      <c r="C3" s="42">
        <v>26155.54</v>
      </c>
      <c r="D3" s="41" t="s">
        <v>133</v>
      </c>
      <c r="E3" s="41" t="s">
        <v>153</v>
      </c>
    </row>
    <row r="4" spans="1:5" x14ac:dyDescent="0.2">
      <c r="A4" s="40">
        <v>45504</v>
      </c>
      <c r="B4" s="41" t="s">
        <v>194</v>
      </c>
      <c r="C4" s="42">
        <v>42300</v>
      </c>
      <c r="D4" s="41" t="s">
        <v>133</v>
      </c>
      <c r="E4" s="41" t="s">
        <v>133</v>
      </c>
    </row>
    <row r="5" spans="1:5" x14ac:dyDescent="0.2">
      <c r="A5" s="48"/>
      <c r="B5" s="49" t="str">
        <f>+D4</f>
        <v>Comisiones Bancarias</v>
      </c>
      <c r="C5" s="50">
        <f>SUM(C2:C4)</f>
        <v>73203.540000000008</v>
      </c>
      <c r="D5" s="49"/>
      <c r="E5" s="49"/>
    </row>
    <row r="6" spans="1:5" ht="15" x14ac:dyDescent="0.2">
      <c r="A6" s="45">
        <v>45485</v>
      </c>
      <c r="B6" s="46" t="s">
        <v>202</v>
      </c>
      <c r="C6" s="47">
        <v>48000</v>
      </c>
      <c r="D6" s="46" t="s">
        <v>211</v>
      </c>
      <c r="E6" s="46" t="s">
        <v>211</v>
      </c>
    </row>
    <row r="7" spans="1:5" ht="15" x14ac:dyDescent="0.2">
      <c r="A7" s="45">
        <v>45504</v>
      </c>
      <c r="B7" s="46" t="s">
        <v>209</v>
      </c>
      <c r="C7" s="47">
        <v>60000</v>
      </c>
      <c r="D7" s="46" t="s">
        <v>211</v>
      </c>
      <c r="E7" s="46" t="s">
        <v>211</v>
      </c>
    </row>
    <row r="8" spans="1:5" x14ac:dyDescent="0.2">
      <c r="A8" s="48"/>
      <c r="B8" s="49" t="str">
        <f>+D7</f>
        <v>Flete</v>
      </c>
      <c r="C8" s="50">
        <f>SUM(C6:C7)</f>
        <v>108000</v>
      </c>
      <c r="D8" s="49"/>
      <c r="E8" s="49"/>
    </row>
    <row r="9" spans="1:5" x14ac:dyDescent="0.2">
      <c r="A9" s="40">
        <v>45474</v>
      </c>
      <c r="B9" s="41" t="s">
        <v>160</v>
      </c>
      <c r="C9" s="42">
        <v>900</v>
      </c>
      <c r="D9" s="41" t="s">
        <v>121</v>
      </c>
      <c r="E9" s="41" t="s">
        <v>122</v>
      </c>
    </row>
    <row r="10" spans="1:5" x14ac:dyDescent="0.2">
      <c r="A10" s="40">
        <v>45474</v>
      </c>
      <c r="B10" s="41" t="s">
        <v>160</v>
      </c>
      <c r="C10" s="42">
        <v>4830</v>
      </c>
      <c r="D10" s="41" t="s">
        <v>121</v>
      </c>
      <c r="E10" s="41" t="s">
        <v>122</v>
      </c>
    </row>
    <row r="11" spans="1:5" x14ac:dyDescent="0.2">
      <c r="A11" s="40">
        <v>45474</v>
      </c>
      <c r="B11" s="41" t="s">
        <v>160</v>
      </c>
      <c r="C11" s="42">
        <v>30000</v>
      </c>
      <c r="D11" s="41" t="s">
        <v>121</v>
      </c>
      <c r="E11" s="41" t="s">
        <v>122</v>
      </c>
    </row>
    <row r="12" spans="1:5" x14ac:dyDescent="0.2">
      <c r="A12" s="40">
        <v>45474</v>
      </c>
      <c r="B12" s="41" t="s">
        <v>160</v>
      </c>
      <c r="C12" s="42">
        <v>64800</v>
      </c>
      <c r="D12" s="41" t="s">
        <v>121</v>
      </c>
      <c r="E12" s="41" t="s">
        <v>122</v>
      </c>
    </row>
    <row r="13" spans="1:5" x14ac:dyDescent="0.2">
      <c r="A13" s="40">
        <v>45475</v>
      </c>
      <c r="B13" s="41" t="s">
        <v>168</v>
      </c>
      <c r="C13" s="42">
        <v>860.92</v>
      </c>
      <c r="D13" s="41" t="s">
        <v>121</v>
      </c>
      <c r="E13" s="41" t="s">
        <v>169</v>
      </c>
    </row>
    <row r="14" spans="1:5" x14ac:dyDescent="0.2">
      <c r="A14" s="40">
        <v>45475</v>
      </c>
      <c r="B14" s="41" t="s">
        <v>170</v>
      </c>
      <c r="C14" s="42">
        <v>860.92</v>
      </c>
      <c r="D14" s="41" t="s">
        <v>121</v>
      </c>
      <c r="E14" s="41" t="s">
        <v>169</v>
      </c>
    </row>
    <row r="15" spans="1:5" x14ac:dyDescent="0.2">
      <c r="A15" s="40">
        <v>45475</v>
      </c>
      <c r="B15" s="41" t="s">
        <v>171</v>
      </c>
      <c r="C15" s="42">
        <v>6026.45</v>
      </c>
      <c r="D15" s="41" t="s">
        <v>121</v>
      </c>
      <c r="E15" s="41" t="s">
        <v>169</v>
      </c>
    </row>
    <row r="16" spans="1:5" x14ac:dyDescent="0.2">
      <c r="A16" s="40">
        <v>45475</v>
      </c>
      <c r="B16" s="41" t="s">
        <v>172</v>
      </c>
      <c r="C16" s="42">
        <v>6026.45</v>
      </c>
      <c r="D16" s="41" t="s">
        <v>121</v>
      </c>
      <c r="E16" s="41" t="s">
        <v>169</v>
      </c>
    </row>
    <row r="17" spans="1:5" x14ac:dyDescent="0.2">
      <c r="A17" s="40">
        <v>45475</v>
      </c>
      <c r="B17" s="41" t="s">
        <v>173</v>
      </c>
      <c r="C17" s="42">
        <v>28697.4</v>
      </c>
      <c r="D17" s="41" t="s">
        <v>121</v>
      </c>
      <c r="E17" s="41" t="s">
        <v>169</v>
      </c>
    </row>
    <row r="18" spans="1:5" x14ac:dyDescent="0.2">
      <c r="A18" s="40">
        <v>45475</v>
      </c>
      <c r="B18" s="41" t="s">
        <v>174</v>
      </c>
      <c r="C18" s="42">
        <v>28697.4</v>
      </c>
      <c r="D18" s="41" t="s">
        <v>121</v>
      </c>
      <c r="E18" s="41" t="s">
        <v>169</v>
      </c>
    </row>
    <row r="19" spans="1:5" x14ac:dyDescent="0.2">
      <c r="A19" s="40">
        <v>45475</v>
      </c>
      <c r="B19" s="41" t="s">
        <v>160</v>
      </c>
      <c r="C19" s="42">
        <v>170.75</v>
      </c>
      <c r="D19" s="41" t="s">
        <v>121</v>
      </c>
      <c r="E19" s="41" t="s">
        <v>122</v>
      </c>
    </row>
    <row r="20" spans="1:5" x14ac:dyDescent="0.2">
      <c r="A20" s="40">
        <v>45475</v>
      </c>
      <c r="B20" s="41" t="s">
        <v>160</v>
      </c>
      <c r="C20" s="42">
        <v>210</v>
      </c>
      <c r="D20" s="41" t="s">
        <v>121</v>
      </c>
      <c r="E20" s="41" t="s">
        <v>122</v>
      </c>
    </row>
    <row r="21" spans="1:5" x14ac:dyDescent="0.2">
      <c r="A21" s="40">
        <v>45475</v>
      </c>
      <c r="B21" s="41" t="s">
        <v>160</v>
      </c>
      <c r="C21" s="42">
        <v>5456.22</v>
      </c>
      <c r="D21" s="41" t="s">
        <v>121</v>
      </c>
      <c r="E21" s="41" t="s">
        <v>122</v>
      </c>
    </row>
    <row r="22" spans="1:5" x14ac:dyDescent="0.2">
      <c r="A22" s="40">
        <v>45475</v>
      </c>
      <c r="B22" s="41" t="s">
        <v>160</v>
      </c>
      <c r="C22" s="42">
        <v>24000</v>
      </c>
      <c r="D22" s="41" t="s">
        <v>121</v>
      </c>
      <c r="E22" s="41" t="s">
        <v>122</v>
      </c>
    </row>
    <row r="23" spans="1:5" x14ac:dyDescent="0.2">
      <c r="A23" s="40">
        <v>45475</v>
      </c>
      <c r="B23" s="41" t="s">
        <v>160</v>
      </c>
      <c r="C23" s="42">
        <v>30000</v>
      </c>
      <c r="D23" s="41" t="s">
        <v>121</v>
      </c>
      <c r="E23" s="41" t="s">
        <v>122</v>
      </c>
    </row>
    <row r="24" spans="1:5" x14ac:dyDescent="0.2">
      <c r="A24" s="40">
        <v>45475</v>
      </c>
      <c r="B24" s="41" t="s">
        <v>160</v>
      </c>
      <c r="C24" s="42">
        <v>60000</v>
      </c>
      <c r="D24" s="41" t="s">
        <v>121</v>
      </c>
      <c r="E24" s="41" t="s">
        <v>122</v>
      </c>
    </row>
    <row r="25" spans="1:5" x14ac:dyDescent="0.2">
      <c r="A25" s="40">
        <v>45475</v>
      </c>
      <c r="B25" s="41" t="s">
        <v>160</v>
      </c>
      <c r="C25" s="42">
        <v>60000</v>
      </c>
      <c r="D25" s="41" t="s">
        <v>121</v>
      </c>
      <c r="E25" s="41" t="s">
        <v>122</v>
      </c>
    </row>
    <row r="26" spans="1:5" x14ac:dyDescent="0.2">
      <c r="A26" s="40">
        <v>45475</v>
      </c>
      <c r="B26" s="41" t="s">
        <v>160</v>
      </c>
      <c r="C26" s="42">
        <v>198534.14</v>
      </c>
      <c r="D26" s="41" t="s">
        <v>121</v>
      </c>
      <c r="E26" s="41" t="s">
        <v>122</v>
      </c>
    </row>
    <row r="27" spans="1:5" x14ac:dyDescent="0.2">
      <c r="A27" s="40">
        <v>45476</v>
      </c>
      <c r="B27" s="41" t="s">
        <v>160</v>
      </c>
      <c r="C27" s="42">
        <v>5.17</v>
      </c>
      <c r="D27" s="41" t="s">
        <v>121</v>
      </c>
      <c r="E27" s="41" t="s">
        <v>122</v>
      </c>
    </row>
    <row r="28" spans="1:5" x14ac:dyDescent="0.2">
      <c r="A28" s="40">
        <v>45476</v>
      </c>
      <c r="B28" s="41" t="s">
        <v>160</v>
      </c>
      <c r="C28" s="42">
        <v>5.17</v>
      </c>
      <c r="D28" s="41" t="s">
        <v>121</v>
      </c>
      <c r="E28" s="41" t="s">
        <v>122</v>
      </c>
    </row>
    <row r="29" spans="1:5" x14ac:dyDescent="0.2">
      <c r="A29" s="40">
        <v>45476</v>
      </c>
      <c r="B29" s="41" t="s">
        <v>160</v>
      </c>
      <c r="C29" s="42">
        <v>28.49</v>
      </c>
      <c r="D29" s="41" t="s">
        <v>121</v>
      </c>
      <c r="E29" s="41" t="s">
        <v>122</v>
      </c>
    </row>
    <row r="30" spans="1:5" x14ac:dyDescent="0.2">
      <c r="A30" s="40">
        <v>45476</v>
      </c>
      <c r="B30" s="41" t="s">
        <v>160</v>
      </c>
      <c r="C30" s="42">
        <v>36.159999999999997</v>
      </c>
      <c r="D30" s="41" t="s">
        <v>121</v>
      </c>
      <c r="E30" s="41" t="s">
        <v>122</v>
      </c>
    </row>
    <row r="31" spans="1:5" x14ac:dyDescent="0.2">
      <c r="A31" s="40">
        <v>45476</v>
      </c>
      <c r="B31" s="41" t="s">
        <v>160</v>
      </c>
      <c r="C31" s="42">
        <v>36.159999999999997</v>
      </c>
      <c r="D31" s="41" t="s">
        <v>121</v>
      </c>
      <c r="E31" s="41" t="s">
        <v>122</v>
      </c>
    </row>
    <row r="32" spans="1:5" x14ac:dyDescent="0.2">
      <c r="A32" s="40">
        <v>45476</v>
      </c>
      <c r="B32" s="41" t="s">
        <v>160</v>
      </c>
      <c r="C32" s="42">
        <v>172.18</v>
      </c>
      <c r="D32" s="41" t="s">
        <v>121</v>
      </c>
      <c r="E32" s="41" t="s">
        <v>122</v>
      </c>
    </row>
    <row r="33" spans="1:5" x14ac:dyDescent="0.2">
      <c r="A33" s="40">
        <v>45476</v>
      </c>
      <c r="B33" s="41" t="s">
        <v>160</v>
      </c>
      <c r="C33" s="42">
        <v>172.18</v>
      </c>
      <c r="D33" s="41" t="s">
        <v>121</v>
      </c>
      <c r="E33" s="41" t="s">
        <v>122</v>
      </c>
    </row>
    <row r="34" spans="1:5" x14ac:dyDescent="0.2">
      <c r="A34" s="40">
        <v>45476</v>
      </c>
      <c r="B34" s="41" t="s">
        <v>160</v>
      </c>
      <c r="C34" s="42">
        <v>4822.12</v>
      </c>
      <c r="D34" s="41" t="s">
        <v>121</v>
      </c>
      <c r="E34" s="41" t="s">
        <v>122</v>
      </c>
    </row>
    <row r="35" spans="1:5" x14ac:dyDescent="0.2">
      <c r="A35" s="40">
        <v>45476</v>
      </c>
      <c r="B35" s="41" t="s">
        <v>177</v>
      </c>
      <c r="C35" s="42">
        <v>328950</v>
      </c>
      <c r="D35" s="41" t="s">
        <v>121</v>
      </c>
      <c r="E35" s="41" t="s">
        <v>122</v>
      </c>
    </row>
    <row r="36" spans="1:5" x14ac:dyDescent="0.2">
      <c r="A36" s="40">
        <v>45477</v>
      </c>
      <c r="B36" s="41" t="s">
        <v>160</v>
      </c>
      <c r="C36" s="42">
        <v>243.65</v>
      </c>
      <c r="D36" s="41" t="s">
        <v>121</v>
      </c>
      <c r="E36" s="41" t="s">
        <v>122</v>
      </c>
    </row>
    <row r="37" spans="1:5" x14ac:dyDescent="0.2">
      <c r="A37" s="40">
        <v>45477</v>
      </c>
      <c r="B37" s="41" t="s">
        <v>160</v>
      </c>
      <c r="C37" s="42">
        <v>630</v>
      </c>
      <c r="D37" s="41" t="s">
        <v>121</v>
      </c>
      <c r="E37" s="41" t="s">
        <v>122</v>
      </c>
    </row>
    <row r="38" spans="1:5" x14ac:dyDescent="0.2">
      <c r="A38" s="40">
        <v>45477</v>
      </c>
      <c r="B38" s="41" t="s">
        <v>160</v>
      </c>
      <c r="C38" s="42">
        <v>1973.7</v>
      </c>
      <c r="D38" s="41" t="s">
        <v>121</v>
      </c>
      <c r="E38" s="41" t="s">
        <v>122</v>
      </c>
    </row>
    <row r="39" spans="1:5" x14ac:dyDescent="0.2">
      <c r="A39" s="40">
        <v>45478</v>
      </c>
      <c r="B39" s="41" t="s">
        <v>160</v>
      </c>
      <c r="C39" s="42">
        <v>71.09</v>
      </c>
      <c r="D39" s="41" t="s">
        <v>121</v>
      </c>
      <c r="E39" s="41" t="s">
        <v>122</v>
      </c>
    </row>
    <row r="40" spans="1:5" x14ac:dyDescent="0.2">
      <c r="A40" s="40">
        <v>45478</v>
      </c>
      <c r="B40" s="41" t="s">
        <v>160</v>
      </c>
      <c r="C40" s="42">
        <v>197.4</v>
      </c>
      <c r="D40" s="41" t="s">
        <v>121</v>
      </c>
      <c r="E40" s="41" t="s">
        <v>122</v>
      </c>
    </row>
    <row r="41" spans="1:5" x14ac:dyDescent="0.2">
      <c r="A41" s="40">
        <v>45478</v>
      </c>
      <c r="B41" s="41" t="s">
        <v>160</v>
      </c>
      <c r="C41" s="42">
        <v>507.49</v>
      </c>
      <c r="D41" s="41" t="s">
        <v>121</v>
      </c>
      <c r="E41" s="41" t="s">
        <v>122</v>
      </c>
    </row>
    <row r="42" spans="1:5" x14ac:dyDescent="0.2">
      <c r="A42" s="40">
        <v>45478</v>
      </c>
      <c r="B42" s="41" t="s">
        <v>160</v>
      </c>
      <c r="C42" s="42">
        <v>1500</v>
      </c>
      <c r="D42" s="41" t="s">
        <v>121</v>
      </c>
      <c r="E42" s="41" t="s">
        <v>122</v>
      </c>
    </row>
    <row r="43" spans="1:5" x14ac:dyDescent="0.2">
      <c r="A43" s="40">
        <v>45478</v>
      </c>
      <c r="B43" s="41" t="s">
        <v>160</v>
      </c>
      <c r="C43" s="42">
        <v>10556.76</v>
      </c>
      <c r="D43" s="41" t="s">
        <v>121</v>
      </c>
      <c r="E43" s="41" t="s">
        <v>122</v>
      </c>
    </row>
    <row r="44" spans="1:5" x14ac:dyDescent="0.2">
      <c r="A44" s="40">
        <v>45481</v>
      </c>
      <c r="B44" s="41" t="s">
        <v>160</v>
      </c>
      <c r="C44" s="42">
        <v>10969.86</v>
      </c>
      <c r="D44" s="41" t="s">
        <v>121</v>
      </c>
      <c r="E44" s="41" t="s">
        <v>122</v>
      </c>
    </row>
    <row r="45" spans="1:5" x14ac:dyDescent="0.2">
      <c r="A45" s="40">
        <v>45483</v>
      </c>
      <c r="B45" s="41" t="s">
        <v>160</v>
      </c>
      <c r="C45" s="42">
        <v>1200</v>
      </c>
      <c r="D45" s="41" t="s">
        <v>121</v>
      </c>
      <c r="E45" s="41" t="s">
        <v>122</v>
      </c>
    </row>
    <row r="46" spans="1:5" ht="13.5" thickBot="1" x14ac:dyDescent="0.25">
      <c r="A46" s="40">
        <v>45483</v>
      </c>
      <c r="B46" s="41" t="s">
        <v>160</v>
      </c>
      <c r="C46" s="42">
        <v>5082</v>
      </c>
      <c r="D46" s="41" t="s">
        <v>121</v>
      </c>
      <c r="E46" s="41" t="s">
        <v>122</v>
      </c>
    </row>
    <row r="47" spans="1:5" ht="13.5" thickBot="1" x14ac:dyDescent="0.25">
      <c r="A47" s="40">
        <v>45488</v>
      </c>
      <c r="B47" s="41" t="s">
        <v>160</v>
      </c>
      <c r="C47" s="42">
        <v>5208</v>
      </c>
      <c r="D47" s="37" t="s">
        <v>121</v>
      </c>
      <c r="E47" s="37" t="s">
        <v>122</v>
      </c>
    </row>
    <row r="48" spans="1:5" ht="13.5" thickBot="1" x14ac:dyDescent="0.25">
      <c r="A48" s="40">
        <v>45488</v>
      </c>
      <c r="B48" s="41" t="s">
        <v>160</v>
      </c>
      <c r="C48" s="42">
        <v>5259.41</v>
      </c>
      <c r="D48" s="37" t="s">
        <v>121</v>
      </c>
      <c r="E48" s="37" t="s">
        <v>122</v>
      </c>
    </row>
    <row r="49" spans="1:5" ht="13.5" thickBot="1" x14ac:dyDescent="0.25">
      <c r="A49" s="40">
        <v>45489</v>
      </c>
      <c r="B49" s="41" t="s">
        <v>160</v>
      </c>
      <c r="C49" s="42">
        <v>910.19</v>
      </c>
      <c r="D49" s="37" t="s">
        <v>121</v>
      </c>
      <c r="E49" s="37" t="s">
        <v>122</v>
      </c>
    </row>
    <row r="50" spans="1:5" ht="13.5" thickBot="1" x14ac:dyDescent="0.25">
      <c r="A50" s="40">
        <v>45489</v>
      </c>
      <c r="B50" s="41" t="s">
        <v>160</v>
      </c>
      <c r="C50" s="42">
        <v>2547.23</v>
      </c>
      <c r="D50" s="37" t="s">
        <v>121</v>
      </c>
      <c r="E50" s="37" t="s">
        <v>122</v>
      </c>
    </row>
    <row r="51" spans="1:5" x14ac:dyDescent="0.2">
      <c r="A51" s="40">
        <v>45489</v>
      </c>
      <c r="B51" s="41" t="s">
        <v>160</v>
      </c>
      <c r="C51" s="42">
        <v>33744.57</v>
      </c>
      <c r="D51" s="41" t="s">
        <v>121</v>
      </c>
      <c r="E51" s="41" t="s">
        <v>122</v>
      </c>
    </row>
    <row r="52" spans="1:5" x14ac:dyDescent="0.2">
      <c r="A52" s="40">
        <v>45490</v>
      </c>
      <c r="B52" s="41" t="s">
        <v>160</v>
      </c>
      <c r="C52" s="42">
        <v>5.91</v>
      </c>
      <c r="D52" s="41" t="s">
        <v>121</v>
      </c>
      <c r="E52" s="41" t="s">
        <v>122</v>
      </c>
    </row>
    <row r="53" spans="1:5" x14ac:dyDescent="0.2">
      <c r="A53" s="40">
        <v>45490</v>
      </c>
      <c r="B53" s="41" t="s">
        <v>160</v>
      </c>
      <c r="C53" s="42">
        <v>3982.49</v>
      </c>
      <c r="D53" s="41" t="s">
        <v>121</v>
      </c>
      <c r="E53" s="41" t="s">
        <v>122</v>
      </c>
    </row>
    <row r="54" spans="1:5" x14ac:dyDescent="0.2">
      <c r="A54" s="40">
        <v>45492</v>
      </c>
      <c r="B54" s="41" t="s">
        <v>160</v>
      </c>
      <c r="C54" s="42">
        <v>5399.29</v>
      </c>
      <c r="D54" s="41" t="s">
        <v>121</v>
      </c>
      <c r="E54" s="41" t="s">
        <v>122</v>
      </c>
    </row>
    <row r="55" spans="1:5" x14ac:dyDescent="0.2">
      <c r="A55" s="40">
        <v>45495</v>
      </c>
      <c r="B55" s="41" t="s">
        <v>160</v>
      </c>
      <c r="C55" s="42">
        <v>4.9400000000000004</v>
      </c>
      <c r="D55" s="41" t="s">
        <v>121</v>
      </c>
      <c r="E55" s="41" t="s">
        <v>122</v>
      </c>
    </row>
    <row r="56" spans="1:5" x14ac:dyDescent="0.2">
      <c r="A56" s="40">
        <v>45496</v>
      </c>
      <c r="B56" s="41" t="s">
        <v>160</v>
      </c>
      <c r="C56" s="42">
        <v>594</v>
      </c>
      <c r="D56" s="41" t="s">
        <v>121</v>
      </c>
      <c r="E56" s="41" t="s">
        <v>122</v>
      </c>
    </row>
    <row r="57" spans="1:5" x14ac:dyDescent="0.2">
      <c r="A57" s="40">
        <v>45496</v>
      </c>
      <c r="B57" s="41" t="s">
        <v>160</v>
      </c>
      <c r="C57" s="42">
        <v>744</v>
      </c>
      <c r="D57" s="41" t="s">
        <v>121</v>
      </c>
      <c r="E57" s="41" t="s">
        <v>122</v>
      </c>
    </row>
    <row r="58" spans="1:5" x14ac:dyDescent="0.2">
      <c r="A58" s="40">
        <v>45496</v>
      </c>
      <c r="B58" s="41" t="s">
        <v>160</v>
      </c>
      <c r="C58" s="42">
        <v>1177.57</v>
      </c>
      <c r="D58" s="41" t="s">
        <v>121</v>
      </c>
      <c r="E58" s="41" t="s">
        <v>122</v>
      </c>
    </row>
    <row r="59" spans="1:5" x14ac:dyDescent="0.2">
      <c r="A59" s="40">
        <v>45496</v>
      </c>
      <c r="B59" s="41" t="s">
        <v>160</v>
      </c>
      <c r="C59" s="42">
        <v>8160</v>
      </c>
      <c r="D59" s="41" t="s">
        <v>121</v>
      </c>
      <c r="E59" s="41" t="s">
        <v>122</v>
      </c>
    </row>
    <row r="60" spans="1:5" x14ac:dyDescent="0.2">
      <c r="A60" s="40">
        <v>45502</v>
      </c>
      <c r="B60" s="41" t="s">
        <v>160</v>
      </c>
      <c r="C60" s="42">
        <v>420</v>
      </c>
      <c r="D60" s="41" t="s">
        <v>121</v>
      </c>
      <c r="E60" s="41" t="s">
        <v>122</v>
      </c>
    </row>
    <row r="61" spans="1:5" x14ac:dyDescent="0.2">
      <c r="A61" s="40">
        <v>45502</v>
      </c>
      <c r="B61" s="41" t="s">
        <v>160</v>
      </c>
      <c r="C61" s="42">
        <v>900</v>
      </c>
      <c r="D61" s="41" t="s">
        <v>121</v>
      </c>
      <c r="E61" s="41" t="s">
        <v>122</v>
      </c>
    </row>
    <row r="62" spans="1:5" x14ac:dyDescent="0.2">
      <c r="A62" s="40">
        <v>45502</v>
      </c>
      <c r="B62" s="41" t="s">
        <v>160</v>
      </c>
      <c r="C62" s="42">
        <v>4472.16</v>
      </c>
      <c r="D62" s="41" t="s">
        <v>121</v>
      </c>
      <c r="E62" s="41" t="s">
        <v>122</v>
      </c>
    </row>
    <row r="63" spans="1:5" x14ac:dyDescent="0.2">
      <c r="A63" s="40">
        <v>45504</v>
      </c>
      <c r="B63" s="41" t="s">
        <v>160</v>
      </c>
      <c r="C63" s="42">
        <v>156.93</v>
      </c>
      <c r="D63" s="41" t="s">
        <v>121</v>
      </c>
      <c r="E63" s="41" t="s">
        <v>122</v>
      </c>
    </row>
    <row r="64" spans="1:5" x14ac:dyDescent="0.2">
      <c r="A64" s="40">
        <v>45504</v>
      </c>
      <c r="B64" s="41" t="s">
        <v>160</v>
      </c>
      <c r="C64" s="42">
        <v>3030.85</v>
      </c>
      <c r="D64" s="41" t="s">
        <v>121</v>
      </c>
      <c r="E64" s="41" t="s">
        <v>122</v>
      </c>
    </row>
    <row r="65" spans="1:5" x14ac:dyDescent="0.2">
      <c r="A65" s="40">
        <v>45504</v>
      </c>
      <c r="B65" s="41" t="s">
        <v>160</v>
      </c>
      <c r="C65" s="42">
        <v>20558.28</v>
      </c>
      <c r="D65" s="41" t="s">
        <v>121</v>
      </c>
      <c r="E65" s="41" t="s">
        <v>122</v>
      </c>
    </row>
    <row r="66" spans="1:5" x14ac:dyDescent="0.2">
      <c r="A66" s="40">
        <v>45504</v>
      </c>
      <c r="B66" s="41" t="s">
        <v>195</v>
      </c>
      <c r="C66" s="42">
        <v>8883</v>
      </c>
      <c r="D66" s="41" t="s">
        <v>121</v>
      </c>
      <c r="E66" s="44" t="s">
        <v>118</v>
      </c>
    </row>
    <row r="67" spans="1:5" x14ac:dyDescent="0.2">
      <c r="A67" s="40">
        <v>45504</v>
      </c>
      <c r="B67" s="41" t="s">
        <v>196</v>
      </c>
      <c r="C67" s="42">
        <v>1269</v>
      </c>
      <c r="D67" s="41" t="s">
        <v>121</v>
      </c>
      <c r="E67" s="44" t="s">
        <v>149</v>
      </c>
    </row>
    <row r="68" spans="1:5" x14ac:dyDescent="0.2">
      <c r="A68" s="40">
        <v>45504</v>
      </c>
      <c r="B68" s="41" t="s">
        <v>197</v>
      </c>
      <c r="C68" s="42">
        <v>1269</v>
      </c>
      <c r="D68" s="41" t="s">
        <v>121</v>
      </c>
      <c r="E68" s="44" t="s">
        <v>150</v>
      </c>
    </row>
    <row r="69" spans="1:5" x14ac:dyDescent="0.2">
      <c r="A69" s="48"/>
      <c r="B69" s="49" t="str">
        <f>+D68</f>
        <v>Impuestos</v>
      </c>
      <c r="C69" s="50">
        <f>SUM(C9:C68)</f>
        <v>1025927.0500000002</v>
      </c>
      <c r="D69" s="49"/>
      <c r="E69" s="49"/>
    </row>
    <row r="70" spans="1:5" x14ac:dyDescent="0.2">
      <c r="A70" s="40">
        <v>45474</v>
      </c>
      <c r="B70" s="41" t="s">
        <v>166</v>
      </c>
      <c r="C70" s="42">
        <v>28458</v>
      </c>
      <c r="D70" s="41" t="s">
        <v>119</v>
      </c>
      <c r="E70" s="41" t="s">
        <v>167</v>
      </c>
    </row>
    <row r="71" spans="1:5" x14ac:dyDescent="0.2">
      <c r="A71" s="40">
        <v>45476</v>
      </c>
      <c r="B71" s="41" t="s">
        <v>178</v>
      </c>
      <c r="C71" s="42">
        <v>40608.76</v>
      </c>
      <c r="D71" s="41" t="s">
        <v>119</v>
      </c>
      <c r="E71" s="41" t="s">
        <v>146</v>
      </c>
    </row>
    <row r="72" spans="1:5" x14ac:dyDescent="0.2">
      <c r="A72" s="40">
        <v>45481</v>
      </c>
      <c r="B72" s="41" t="s">
        <v>185</v>
      </c>
      <c r="C72" s="42">
        <v>200000</v>
      </c>
      <c r="D72" s="41" t="s">
        <v>119</v>
      </c>
      <c r="E72" s="41" t="s">
        <v>148</v>
      </c>
    </row>
    <row r="73" spans="1:5" x14ac:dyDescent="0.2">
      <c r="A73" s="40">
        <v>45499</v>
      </c>
      <c r="B73" s="41" t="s">
        <v>189</v>
      </c>
      <c r="C73" s="42">
        <v>70000</v>
      </c>
      <c r="D73" s="41" t="s">
        <v>119</v>
      </c>
      <c r="E73" s="41" t="s">
        <v>190</v>
      </c>
    </row>
    <row r="74" spans="1:5" x14ac:dyDescent="0.2">
      <c r="A74" s="40">
        <v>45499</v>
      </c>
      <c r="B74" s="41" t="s">
        <v>191</v>
      </c>
      <c r="C74" s="42">
        <v>150000</v>
      </c>
      <c r="D74" s="41" t="s">
        <v>119</v>
      </c>
      <c r="E74" s="41" t="s">
        <v>190</v>
      </c>
    </row>
    <row r="75" spans="1:5" ht="15" x14ac:dyDescent="0.2">
      <c r="A75" s="45">
        <v>45482</v>
      </c>
      <c r="B75" s="46" t="s">
        <v>203</v>
      </c>
      <c r="C75" s="47">
        <v>350000</v>
      </c>
      <c r="D75" s="41" t="s">
        <v>119</v>
      </c>
      <c r="E75" s="46" t="s">
        <v>143</v>
      </c>
    </row>
    <row r="76" spans="1:5" ht="15" x14ac:dyDescent="0.2">
      <c r="A76" s="45">
        <v>45482</v>
      </c>
      <c r="B76" s="46" t="s">
        <v>203</v>
      </c>
      <c r="C76" s="47">
        <v>350000</v>
      </c>
      <c r="D76" s="41" t="s">
        <v>119</v>
      </c>
      <c r="E76" s="46" t="s">
        <v>143</v>
      </c>
    </row>
    <row r="77" spans="1:5" ht="15" x14ac:dyDescent="0.2">
      <c r="A77" s="45">
        <v>45499</v>
      </c>
      <c r="B77" s="46" t="s">
        <v>205</v>
      </c>
      <c r="C77" s="47">
        <v>700000</v>
      </c>
      <c r="D77" s="41" t="s">
        <v>119</v>
      </c>
      <c r="E77" s="46" t="s">
        <v>143</v>
      </c>
    </row>
    <row r="78" spans="1:5" ht="15" x14ac:dyDescent="0.2">
      <c r="A78" s="45">
        <v>45499</v>
      </c>
      <c r="B78" s="46" t="s">
        <v>206</v>
      </c>
      <c r="C78" s="47">
        <v>17600</v>
      </c>
      <c r="D78" s="41" t="s">
        <v>119</v>
      </c>
      <c r="E78" s="46" t="s">
        <v>207</v>
      </c>
    </row>
    <row r="79" spans="1:5" x14ac:dyDescent="0.2">
      <c r="A79" s="48"/>
      <c r="B79" s="49" t="str">
        <f>+D78</f>
        <v>Local</v>
      </c>
      <c r="C79" s="50">
        <f>SUM(C70:C78)</f>
        <v>1906666.76</v>
      </c>
      <c r="D79" s="49"/>
      <c r="E79" s="49"/>
    </row>
    <row r="80" spans="1:5" x14ac:dyDescent="0.2">
      <c r="A80" s="40">
        <v>45477</v>
      </c>
      <c r="B80" s="41" t="s">
        <v>181</v>
      </c>
      <c r="C80" s="42">
        <v>11847.56</v>
      </c>
      <c r="D80" s="41" t="s">
        <v>182</v>
      </c>
      <c r="E80" s="41" t="s">
        <v>183</v>
      </c>
    </row>
    <row r="81" spans="1:5" ht="15" x14ac:dyDescent="0.2">
      <c r="A81" s="45">
        <v>45477</v>
      </c>
      <c r="B81" s="46" t="s">
        <v>181</v>
      </c>
      <c r="C81" s="47">
        <v>32900.699999999997</v>
      </c>
      <c r="D81" s="46" t="s">
        <v>182</v>
      </c>
      <c r="E81" s="46" t="s">
        <v>183</v>
      </c>
    </row>
    <row r="82" spans="1:5" ht="15" x14ac:dyDescent="0.2">
      <c r="A82" s="45">
        <v>45477</v>
      </c>
      <c r="B82" s="46" t="s">
        <v>184</v>
      </c>
      <c r="C82" s="47">
        <v>84581.56</v>
      </c>
      <c r="D82" s="46" t="s">
        <v>182</v>
      </c>
      <c r="E82" s="46" t="s">
        <v>183</v>
      </c>
    </row>
    <row r="83" spans="1:5" ht="15" x14ac:dyDescent="0.2">
      <c r="A83" s="45">
        <v>45329</v>
      </c>
      <c r="B83" s="46" t="s">
        <v>200</v>
      </c>
      <c r="C83" s="47">
        <v>131200</v>
      </c>
      <c r="D83" s="46" t="s">
        <v>182</v>
      </c>
      <c r="E83" s="46" t="s">
        <v>201</v>
      </c>
    </row>
    <row r="84" spans="1:5" ht="15" x14ac:dyDescent="0.2">
      <c r="A84" s="45">
        <v>45504</v>
      </c>
      <c r="B84" s="46" t="s">
        <v>208</v>
      </c>
      <c r="C84" s="47">
        <v>80000</v>
      </c>
      <c r="D84" s="46" t="s">
        <v>182</v>
      </c>
      <c r="E84" s="46" t="s">
        <v>201</v>
      </c>
    </row>
    <row r="85" spans="1:5" x14ac:dyDescent="0.2">
      <c r="A85" s="48"/>
      <c r="B85" s="49" t="str">
        <f>+D84</f>
        <v>Marketing</v>
      </c>
      <c r="C85" s="50">
        <f>SUM(C80:C84)</f>
        <v>340529.82</v>
      </c>
      <c r="D85" s="49"/>
      <c r="E85" s="49"/>
    </row>
    <row r="86" spans="1:5" ht="15" x14ac:dyDescent="0.25">
      <c r="A86" s="40">
        <v>45476</v>
      </c>
      <c r="B86" s="41" t="s">
        <v>176</v>
      </c>
      <c r="C86" s="42">
        <v>105000</v>
      </c>
      <c r="D86" s="41" t="s">
        <v>147</v>
      </c>
      <c r="E86" s="43"/>
    </row>
    <row r="87" spans="1:5" ht="15" x14ac:dyDescent="0.25">
      <c r="A87" s="40">
        <v>45477</v>
      </c>
      <c r="B87" s="41" t="s">
        <v>179</v>
      </c>
      <c r="C87" s="42">
        <v>250000</v>
      </c>
      <c r="D87" s="41" t="s">
        <v>147</v>
      </c>
      <c r="E87" s="43"/>
    </row>
    <row r="88" spans="1:5" ht="15" x14ac:dyDescent="0.25">
      <c r="A88" s="40">
        <v>45477</v>
      </c>
      <c r="B88" s="41" t="s">
        <v>180</v>
      </c>
      <c r="C88" s="42">
        <v>1759460.8</v>
      </c>
      <c r="D88" s="41" t="s">
        <v>147</v>
      </c>
      <c r="E88" s="43"/>
    </row>
    <row r="89" spans="1:5" ht="15" x14ac:dyDescent="0.25">
      <c r="A89" s="40">
        <v>45490</v>
      </c>
      <c r="B89" s="41" t="s">
        <v>188</v>
      </c>
      <c r="C89" s="42">
        <v>663748</v>
      </c>
      <c r="D89" s="41" t="s">
        <v>147</v>
      </c>
      <c r="E89" s="43"/>
    </row>
    <row r="90" spans="1:5" ht="15" x14ac:dyDescent="0.25">
      <c r="A90" s="40">
        <v>45499</v>
      </c>
      <c r="B90" s="41" t="s">
        <v>192</v>
      </c>
      <c r="C90" s="42">
        <v>745360</v>
      </c>
      <c r="D90" s="41" t="s">
        <v>147</v>
      </c>
      <c r="E90" s="43"/>
    </row>
    <row r="91" spans="1:5" x14ac:dyDescent="0.2">
      <c r="A91" s="48"/>
      <c r="B91" s="49" t="str">
        <f>+D90</f>
        <v>SIN IDENTIFICAR</v>
      </c>
      <c r="C91" s="50">
        <f>SUM(C86:C90)</f>
        <v>3523568.8</v>
      </c>
      <c r="D91" s="49"/>
      <c r="E91" s="49"/>
    </row>
    <row r="92" spans="1:5" ht="15" x14ac:dyDescent="0.2">
      <c r="A92" s="45">
        <v>45497</v>
      </c>
      <c r="B92" s="46" t="s">
        <v>204</v>
      </c>
      <c r="C92" s="47">
        <v>449000</v>
      </c>
      <c r="D92" s="46" t="s">
        <v>120</v>
      </c>
      <c r="E92" s="46" t="s">
        <v>124</v>
      </c>
    </row>
    <row r="93" spans="1:5" ht="15" x14ac:dyDescent="0.2">
      <c r="A93" s="45">
        <v>45499</v>
      </c>
      <c r="B93" s="46" t="s">
        <v>154</v>
      </c>
      <c r="C93" s="47">
        <v>351000</v>
      </c>
      <c r="D93" s="46" t="s">
        <v>120</v>
      </c>
      <c r="E93" s="46" t="s">
        <v>124</v>
      </c>
    </row>
    <row r="94" spans="1:5" x14ac:dyDescent="0.2">
      <c r="A94" s="48"/>
      <c r="B94" s="49" t="str">
        <f>+D93</f>
        <v>Sueldos</v>
      </c>
      <c r="C94" s="50">
        <f>SUM(C92:C93)</f>
        <v>800000</v>
      </c>
      <c r="D94" s="49"/>
      <c r="E94" s="49"/>
    </row>
    <row r="96" spans="1:5" ht="15" x14ac:dyDescent="0.25">
      <c r="A96" s="58">
        <v>45481</v>
      </c>
      <c r="B96" s="59" t="s">
        <v>186</v>
      </c>
      <c r="C96" s="60">
        <v>847000</v>
      </c>
      <c r="D96" s="59" t="s">
        <v>159</v>
      </c>
      <c r="E96" s="61" t="s">
        <v>210</v>
      </c>
    </row>
    <row r="99" spans="1:5" x14ac:dyDescent="0.2">
      <c r="A99" s="40">
        <v>45474</v>
      </c>
      <c r="B99" s="41" t="s">
        <v>161</v>
      </c>
      <c r="C99" s="42">
        <v>35000</v>
      </c>
      <c r="D99" s="41" t="s">
        <v>162</v>
      </c>
      <c r="E99" s="41" t="s">
        <v>163</v>
      </c>
    </row>
    <row r="100" spans="1:5" x14ac:dyDescent="0.2">
      <c r="A100" s="40">
        <v>45474</v>
      </c>
      <c r="B100" s="41" t="s">
        <v>164</v>
      </c>
      <c r="C100" s="42">
        <v>909370</v>
      </c>
      <c r="D100" s="41" t="s">
        <v>162</v>
      </c>
      <c r="E100" s="41" t="s">
        <v>163</v>
      </c>
    </row>
    <row r="101" spans="1:5" x14ac:dyDescent="0.2">
      <c r="A101" s="40">
        <v>45474</v>
      </c>
      <c r="B101" s="41" t="s">
        <v>165</v>
      </c>
      <c r="C101" s="42">
        <v>33089023.149999999</v>
      </c>
      <c r="D101" s="41" t="s">
        <v>162</v>
      </c>
      <c r="E101" s="41" t="s">
        <v>163</v>
      </c>
    </row>
    <row r="102" spans="1:5" x14ac:dyDescent="0.2">
      <c r="A102" s="40">
        <v>45489</v>
      </c>
      <c r="B102" s="41" t="s">
        <v>187</v>
      </c>
      <c r="C102" s="42">
        <v>5624095.5599999996</v>
      </c>
      <c r="D102" s="41" t="s">
        <v>162</v>
      </c>
      <c r="E102" s="41" t="s">
        <v>162</v>
      </c>
    </row>
    <row r="103" spans="1:5" x14ac:dyDescent="0.2">
      <c r="A103" s="48"/>
      <c r="B103" s="49" t="str">
        <f>+D102</f>
        <v>Importaciones</v>
      </c>
      <c r="C103" s="50">
        <f>SUM(C99:C102)</f>
        <v>39657488.710000001</v>
      </c>
      <c r="D103" s="49"/>
      <c r="E103" s="49"/>
    </row>
    <row r="106" spans="1:5" ht="15" x14ac:dyDescent="0.2">
      <c r="A106" s="51">
        <v>45474</v>
      </c>
      <c r="B106" s="52" t="s">
        <v>198</v>
      </c>
      <c r="C106" s="53">
        <v>300000</v>
      </c>
      <c r="D106" s="52" t="s">
        <v>120</v>
      </c>
      <c r="E106" s="52" t="s">
        <v>199</v>
      </c>
    </row>
    <row r="107" spans="1:5" ht="15" x14ac:dyDescent="0.2">
      <c r="A107" s="51">
        <v>45476</v>
      </c>
      <c r="B107" s="52" t="s">
        <v>154</v>
      </c>
      <c r="C107" s="53">
        <v>500000</v>
      </c>
      <c r="D107" s="52" t="s">
        <v>120</v>
      </c>
      <c r="E107" s="52" t="s">
        <v>199</v>
      </c>
    </row>
    <row r="108" spans="1:5" x14ac:dyDescent="0.2">
      <c r="A108" s="54"/>
      <c r="B108" s="62" t="s">
        <v>212</v>
      </c>
      <c r="C108" s="54"/>
      <c r="D108" s="54"/>
      <c r="E108" s="54"/>
    </row>
  </sheetData>
  <autoFilter ref="A1:C1" xr:uid="{7D39FC09-67B1-4389-93ED-E9AE970AAC6E}"/>
  <sortState xmlns:xlrd2="http://schemas.microsoft.com/office/spreadsheetml/2017/richdata2" ref="A2:E94">
    <sortCondition ref="D2:D9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553904-7E26-4544-B658-45AD97AD15D9}">
  <dimension ref="A1:J944"/>
  <sheetViews>
    <sheetView topLeftCell="B1" zoomScale="90" zoomScaleNormal="90" workbookViewId="0">
      <selection activeCell="J1" sqref="J1:J1048576"/>
    </sheetView>
  </sheetViews>
  <sheetFormatPr baseColWidth="10" defaultRowHeight="12.75" x14ac:dyDescent="0.25"/>
  <cols>
    <col min="1" max="1" width="11.42578125" style="66"/>
    <col min="2" max="2" width="9.5703125" style="63" bestFit="1" customWidth="1"/>
    <col min="3" max="3" width="7.140625" style="63" customWidth="1"/>
    <col min="4" max="4" width="20.28515625" style="63" customWidth="1"/>
    <col min="5" max="5" width="27.5703125" style="63" bestFit="1" customWidth="1"/>
    <col min="6" max="6" width="32.42578125" style="63" bestFit="1" customWidth="1"/>
    <col min="7" max="7" width="14.7109375" style="63" customWidth="1"/>
    <col min="8" max="8" width="11.42578125" style="66"/>
    <col min="9" max="10" width="14.7109375" style="63" customWidth="1"/>
    <col min="11" max="16384" width="11.42578125" style="63"/>
  </cols>
  <sheetData>
    <row r="1" spans="1:10" s="66" customFormat="1" ht="13.5" thickBot="1" x14ac:dyDescent="0.3">
      <c r="A1" s="69" t="s">
        <v>129</v>
      </c>
      <c r="B1" s="80" t="s">
        <v>229</v>
      </c>
      <c r="C1" s="80" t="s">
        <v>230</v>
      </c>
      <c r="D1" s="80" t="s">
        <v>156</v>
      </c>
      <c r="E1" s="80" t="s">
        <v>231</v>
      </c>
      <c r="F1" s="80" t="s">
        <v>157</v>
      </c>
      <c r="G1" s="80" t="s">
        <v>158</v>
      </c>
      <c r="H1" s="80" t="s">
        <v>152</v>
      </c>
      <c r="I1" s="80" t="s">
        <v>232</v>
      </c>
      <c r="J1" s="80" t="s">
        <v>123</v>
      </c>
    </row>
    <row r="2" spans="1:10" ht="16.5" thickBot="1" x14ac:dyDescent="0.3">
      <c r="A2" s="70">
        <v>45835</v>
      </c>
      <c r="B2" s="73" t="s">
        <v>155</v>
      </c>
      <c r="C2" s="74">
        <v>2</v>
      </c>
      <c r="D2" s="75" t="s">
        <v>151</v>
      </c>
      <c r="E2" s="76" t="s">
        <v>215</v>
      </c>
      <c r="F2" s="73" t="s">
        <v>214</v>
      </c>
      <c r="G2" s="77">
        <v>1940000</v>
      </c>
      <c r="H2" s="78">
        <v>0.1</v>
      </c>
      <c r="I2" s="77">
        <f>+G2-(G2*H2)</f>
        <v>1746000</v>
      </c>
      <c r="J2" s="68">
        <f>247.06*1033.5</f>
        <v>255336.51</v>
      </c>
    </row>
    <row r="3" spans="1:10" ht="16.5" thickBot="1" x14ac:dyDescent="0.3">
      <c r="A3" s="70">
        <v>45848</v>
      </c>
      <c r="B3" s="73" t="s">
        <v>117</v>
      </c>
      <c r="C3" s="74">
        <v>1</v>
      </c>
      <c r="D3" s="75" t="s">
        <v>233</v>
      </c>
      <c r="E3" s="76" t="s">
        <v>217</v>
      </c>
      <c r="F3" s="73" t="s">
        <v>216</v>
      </c>
      <c r="G3" s="77">
        <v>2810000</v>
      </c>
      <c r="H3" s="78">
        <v>0.05</v>
      </c>
      <c r="I3" s="77">
        <f t="shared" ref="I3:I9" si="0">+G3-(G3*H3)</f>
        <v>2669500</v>
      </c>
      <c r="J3" s="68">
        <f>716.03*1033.5</f>
        <v>740017.005</v>
      </c>
    </row>
    <row r="4" spans="1:10" ht="16.5" thickBot="1" x14ac:dyDescent="0.3">
      <c r="A4" s="70">
        <v>45848</v>
      </c>
      <c r="B4" s="73" t="s">
        <v>117</v>
      </c>
      <c r="C4" s="74">
        <v>1</v>
      </c>
      <c r="D4" s="75" t="s">
        <v>151</v>
      </c>
      <c r="E4" s="76">
        <v>202403579</v>
      </c>
      <c r="F4" s="73" t="s">
        <v>218</v>
      </c>
      <c r="G4" s="77">
        <v>970000</v>
      </c>
      <c r="H4" s="78">
        <v>0.05</v>
      </c>
      <c r="I4" s="77">
        <f t="shared" si="0"/>
        <v>921500</v>
      </c>
      <c r="J4" s="68">
        <f>247.06*1033.5</f>
        <v>255336.51</v>
      </c>
    </row>
    <row r="5" spans="1:10" ht="15.75" thickBot="1" x14ac:dyDescent="0.3">
      <c r="A5" s="70">
        <v>45853</v>
      </c>
      <c r="B5" s="73" t="s">
        <v>219</v>
      </c>
      <c r="C5" s="74">
        <v>1</v>
      </c>
      <c r="D5" s="79" t="s">
        <v>234</v>
      </c>
      <c r="E5" s="75" t="s">
        <v>221</v>
      </c>
      <c r="F5" s="73" t="s">
        <v>220</v>
      </c>
      <c r="G5" s="77">
        <v>3900000</v>
      </c>
      <c r="H5" s="78">
        <v>0</v>
      </c>
      <c r="I5" s="77">
        <f t="shared" si="0"/>
        <v>3900000</v>
      </c>
      <c r="J5" s="68">
        <f>1001.55*1033.5</f>
        <v>1035101.9249999999</v>
      </c>
    </row>
    <row r="6" spans="1:10" ht="13.5" thickBot="1" x14ac:dyDescent="0.3">
      <c r="A6" s="70">
        <v>45860</v>
      </c>
      <c r="B6" s="73" t="s">
        <v>117</v>
      </c>
      <c r="C6" s="74">
        <v>1</v>
      </c>
      <c r="D6" s="75" t="s">
        <v>151</v>
      </c>
      <c r="E6" s="75">
        <v>202403577</v>
      </c>
      <c r="F6" s="73" t="s">
        <v>222</v>
      </c>
      <c r="G6" s="77">
        <v>970000</v>
      </c>
      <c r="H6" s="78">
        <v>0.05</v>
      </c>
      <c r="I6" s="77">
        <f t="shared" si="0"/>
        <v>921500</v>
      </c>
      <c r="J6" s="68">
        <f>247.06*1033.5</f>
        <v>255336.51</v>
      </c>
    </row>
    <row r="7" spans="1:10" ht="13.5" thickBot="1" x14ac:dyDescent="0.3">
      <c r="A7" s="70">
        <v>45860</v>
      </c>
      <c r="B7" s="73" t="s">
        <v>155</v>
      </c>
      <c r="C7" s="74">
        <v>1</v>
      </c>
      <c r="D7" s="75" t="s">
        <v>233</v>
      </c>
      <c r="E7" s="75" t="s">
        <v>224</v>
      </c>
      <c r="F7" s="73" t="s">
        <v>223</v>
      </c>
      <c r="G7" s="77">
        <v>2810000</v>
      </c>
      <c r="H7" s="78">
        <v>0</v>
      </c>
      <c r="I7" s="77">
        <f t="shared" si="0"/>
        <v>2810000</v>
      </c>
      <c r="J7" s="68">
        <f>716.03*1033.5</f>
        <v>740017.005</v>
      </c>
    </row>
    <row r="8" spans="1:10" ht="13.5" thickBot="1" x14ac:dyDescent="0.3">
      <c r="A8" s="70">
        <v>45862</v>
      </c>
      <c r="B8" s="73" t="s">
        <v>155</v>
      </c>
      <c r="C8" s="74">
        <v>1</v>
      </c>
      <c r="D8" s="75" t="s">
        <v>151</v>
      </c>
      <c r="E8" s="75" t="s">
        <v>226</v>
      </c>
      <c r="F8" s="73" t="s">
        <v>225</v>
      </c>
      <c r="G8" s="77">
        <v>970000</v>
      </c>
      <c r="H8" s="78">
        <v>0</v>
      </c>
      <c r="I8" s="77">
        <f t="shared" si="0"/>
        <v>970000</v>
      </c>
      <c r="J8" s="68">
        <f>247.06*1033.5</f>
        <v>255336.51</v>
      </c>
    </row>
    <row r="9" spans="1:10" ht="15.75" thickBot="1" x14ac:dyDescent="0.3">
      <c r="A9" s="70">
        <v>45862</v>
      </c>
      <c r="B9" s="73" t="s">
        <v>155</v>
      </c>
      <c r="C9" s="74">
        <v>2</v>
      </c>
      <c r="D9" s="79" t="s">
        <v>234</v>
      </c>
      <c r="E9" s="75" t="s">
        <v>228</v>
      </c>
      <c r="F9" s="73" t="s">
        <v>227</v>
      </c>
      <c r="G9" s="77">
        <f>3900000*C9</f>
        <v>7800000</v>
      </c>
      <c r="H9" s="78">
        <v>0</v>
      </c>
      <c r="I9" s="77">
        <f t="shared" si="0"/>
        <v>7800000</v>
      </c>
      <c r="J9" s="68">
        <f>1001.55*1033.5</f>
        <v>1035101.9249999999</v>
      </c>
    </row>
    <row r="10" spans="1:10" ht="19.5" customHeight="1" thickBot="1" x14ac:dyDescent="0.3">
      <c r="A10" s="71"/>
      <c r="B10" s="81"/>
      <c r="C10" s="81"/>
      <c r="D10" s="81"/>
      <c r="E10" s="81"/>
      <c r="F10" s="81"/>
      <c r="G10" s="82">
        <f>SUM(G2:G9)</f>
        <v>22170000</v>
      </c>
      <c r="H10" s="83">
        <f>+G10-I10</f>
        <v>431500</v>
      </c>
      <c r="I10" s="82">
        <f>SUM(I2:I9)</f>
        <v>21738500</v>
      </c>
      <c r="J10" s="82">
        <f>SUM(J2:J9)</f>
        <v>4571583.8999999994</v>
      </c>
    </row>
    <row r="11" spans="1:10" ht="13.5" thickBot="1" x14ac:dyDescent="0.3">
      <c r="A11" s="67"/>
      <c r="C11" s="72"/>
      <c r="D11" s="72"/>
      <c r="F11" s="72"/>
    </row>
    <row r="12" spans="1:10" ht="13.5" thickBot="1" x14ac:dyDescent="0.3">
      <c r="A12" s="65"/>
      <c r="C12" s="64"/>
      <c r="D12" s="64"/>
      <c r="F12" s="64"/>
    </row>
    <row r="13" spans="1:10" ht="13.5" thickBot="1" x14ac:dyDescent="0.3">
      <c r="A13" s="65"/>
      <c r="C13" s="64"/>
      <c r="D13" s="64"/>
      <c r="F13" s="64"/>
    </row>
    <row r="14" spans="1:10" ht="13.5" thickBot="1" x14ac:dyDescent="0.3">
      <c r="A14" s="65"/>
      <c r="C14" s="64"/>
      <c r="D14" s="64"/>
      <c r="F14" s="64"/>
    </row>
    <row r="15" spans="1:10" ht="13.5" thickBot="1" x14ac:dyDescent="0.3">
      <c r="A15" s="65"/>
      <c r="C15" s="64"/>
      <c r="D15" s="64"/>
      <c r="F15" s="64"/>
    </row>
    <row r="16" spans="1:10" ht="13.5" thickBot="1" x14ac:dyDescent="0.3">
      <c r="A16" s="65"/>
      <c r="C16" s="64"/>
      <c r="D16" s="64"/>
      <c r="F16" s="64"/>
    </row>
    <row r="17" spans="1:6" ht="13.5" thickBot="1" x14ac:dyDescent="0.3">
      <c r="A17" s="65"/>
      <c r="C17" s="64"/>
      <c r="D17" s="64"/>
      <c r="F17" s="64"/>
    </row>
    <row r="18" spans="1:6" ht="13.5" thickBot="1" x14ac:dyDescent="0.3">
      <c r="A18" s="65"/>
      <c r="C18" s="64"/>
      <c r="D18" s="64"/>
      <c r="F18" s="64"/>
    </row>
    <row r="19" spans="1:6" ht="13.5" thickBot="1" x14ac:dyDescent="0.3">
      <c r="A19" s="65"/>
      <c r="C19" s="64"/>
      <c r="D19" s="64"/>
      <c r="F19" s="64"/>
    </row>
    <row r="20" spans="1:6" ht="13.5" thickBot="1" x14ac:dyDescent="0.3">
      <c r="A20" s="65"/>
      <c r="C20" s="64"/>
      <c r="D20" s="64"/>
      <c r="F20" s="64"/>
    </row>
    <row r="21" spans="1:6" ht="13.5" thickBot="1" x14ac:dyDescent="0.3">
      <c r="A21" s="65"/>
      <c r="C21" s="64"/>
      <c r="D21" s="64"/>
      <c r="F21" s="64"/>
    </row>
    <row r="22" spans="1:6" ht="13.5" thickBot="1" x14ac:dyDescent="0.3">
      <c r="A22" s="65"/>
      <c r="C22" s="64"/>
      <c r="D22" s="64"/>
      <c r="F22" s="64"/>
    </row>
    <row r="23" spans="1:6" ht="13.5" thickBot="1" x14ac:dyDescent="0.3">
      <c r="A23" s="65"/>
      <c r="C23" s="64"/>
      <c r="D23" s="64"/>
      <c r="F23" s="64"/>
    </row>
    <row r="24" spans="1:6" ht="13.5" thickBot="1" x14ac:dyDescent="0.3">
      <c r="A24" s="65"/>
      <c r="C24" s="64"/>
      <c r="D24" s="64"/>
      <c r="F24" s="64"/>
    </row>
    <row r="25" spans="1:6" ht="13.5" thickBot="1" x14ac:dyDescent="0.3">
      <c r="A25" s="65"/>
      <c r="C25" s="64"/>
      <c r="D25" s="64"/>
      <c r="F25" s="64"/>
    </row>
    <row r="26" spans="1:6" ht="13.5" thickBot="1" x14ac:dyDescent="0.3">
      <c r="A26" s="65"/>
      <c r="C26" s="64"/>
      <c r="D26" s="64"/>
      <c r="F26" s="64"/>
    </row>
    <row r="27" spans="1:6" ht="13.5" thickBot="1" x14ac:dyDescent="0.3">
      <c r="A27" s="65"/>
      <c r="C27" s="64"/>
      <c r="D27" s="64"/>
      <c r="F27" s="64"/>
    </row>
    <row r="28" spans="1:6" ht="13.5" thickBot="1" x14ac:dyDescent="0.3">
      <c r="A28" s="65"/>
      <c r="C28" s="64"/>
      <c r="D28" s="64"/>
      <c r="F28" s="64"/>
    </row>
    <row r="29" spans="1:6" ht="13.5" thickBot="1" x14ac:dyDescent="0.3">
      <c r="A29" s="65"/>
      <c r="C29" s="64"/>
      <c r="D29" s="64"/>
      <c r="F29" s="64"/>
    </row>
    <row r="30" spans="1:6" ht="13.5" thickBot="1" x14ac:dyDescent="0.3">
      <c r="A30" s="65"/>
      <c r="C30" s="64"/>
      <c r="D30" s="64"/>
      <c r="F30" s="64"/>
    </row>
    <row r="31" spans="1:6" ht="13.5" thickBot="1" x14ac:dyDescent="0.3">
      <c r="A31" s="65"/>
      <c r="C31" s="64"/>
      <c r="D31" s="64"/>
      <c r="F31" s="64"/>
    </row>
    <row r="32" spans="1:6" ht="13.5" thickBot="1" x14ac:dyDescent="0.3">
      <c r="A32" s="65"/>
      <c r="C32" s="64"/>
      <c r="D32" s="64"/>
      <c r="F32" s="64"/>
    </row>
    <row r="33" spans="1:6" ht="13.5" thickBot="1" x14ac:dyDescent="0.3">
      <c r="A33" s="65"/>
      <c r="C33" s="64"/>
      <c r="D33" s="64"/>
      <c r="F33" s="64"/>
    </row>
    <row r="34" spans="1:6" ht="13.5" thickBot="1" x14ac:dyDescent="0.3">
      <c r="A34" s="65"/>
      <c r="C34" s="64"/>
      <c r="D34" s="64"/>
      <c r="F34" s="64"/>
    </row>
    <row r="35" spans="1:6" ht="13.5" thickBot="1" x14ac:dyDescent="0.3">
      <c r="A35" s="65"/>
      <c r="C35" s="64"/>
      <c r="D35" s="64"/>
      <c r="F35" s="64"/>
    </row>
    <row r="36" spans="1:6" ht="13.5" thickBot="1" x14ac:dyDescent="0.3">
      <c r="A36" s="65"/>
      <c r="C36" s="64"/>
      <c r="D36" s="64"/>
      <c r="F36" s="64"/>
    </row>
    <row r="37" spans="1:6" ht="13.5" thickBot="1" x14ac:dyDescent="0.3">
      <c r="A37" s="65"/>
      <c r="C37" s="64"/>
      <c r="D37" s="64"/>
      <c r="F37" s="64"/>
    </row>
    <row r="38" spans="1:6" ht="13.5" thickBot="1" x14ac:dyDescent="0.3">
      <c r="A38" s="65"/>
      <c r="C38" s="64"/>
      <c r="D38" s="64"/>
      <c r="F38" s="64"/>
    </row>
    <row r="39" spans="1:6" ht="13.5" thickBot="1" x14ac:dyDescent="0.3">
      <c r="A39" s="65"/>
      <c r="C39" s="64"/>
      <c r="D39" s="64"/>
      <c r="F39" s="64"/>
    </row>
    <row r="40" spans="1:6" ht="13.5" thickBot="1" x14ac:dyDescent="0.3">
      <c r="A40" s="65"/>
      <c r="C40" s="64"/>
      <c r="D40" s="64"/>
      <c r="F40" s="64"/>
    </row>
    <row r="41" spans="1:6" ht="13.5" thickBot="1" x14ac:dyDescent="0.3">
      <c r="A41" s="65"/>
      <c r="C41" s="64"/>
      <c r="D41" s="64"/>
      <c r="F41" s="64"/>
    </row>
    <row r="42" spans="1:6" ht="13.5" thickBot="1" x14ac:dyDescent="0.3">
      <c r="A42" s="65"/>
      <c r="C42" s="64"/>
      <c r="D42" s="64"/>
      <c r="F42" s="64"/>
    </row>
    <row r="43" spans="1:6" ht="13.5" thickBot="1" x14ac:dyDescent="0.3">
      <c r="A43" s="65"/>
      <c r="C43" s="64"/>
      <c r="D43" s="64"/>
      <c r="F43" s="64"/>
    </row>
    <row r="44" spans="1:6" ht="13.5" thickBot="1" x14ac:dyDescent="0.3">
      <c r="A44" s="65"/>
      <c r="C44" s="64"/>
      <c r="D44" s="64"/>
      <c r="F44" s="64"/>
    </row>
    <row r="45" spans="1:6" ht="13.5" thickBot="1" x14ac:dyDescent="0.3">
      <c r="A45" s="65"/>
      <c r="C45" s="64"/>
      <c r="D45" s="64"/>
      <c r="F45" s="64"/>
    </row>
    <row r="46" spans="1:6" ht="13.5" thickBot="1" x14ac:dyDescent="0.3">
      <c r="A46" s="65"/>
      <c r="C46" s="64"/>
      <c r="D46" s="64"/>
      <c r="F46" s="64"/>
    </row>
    <row r="47" spans="1:6" ht="13.5" thickBot="1" x14ac:dyDescent="0.3">
      <c r="A47" s="65"/>
      <c r="C47" s="64"/>
      <c r="D47" s="64"/>
      <c r="F47" s="64"/>
    </row>
    <row r="48" spans="1:6" ht="13.5" thickBot="1" x14ac:dyDescent="0.3">
      <c r="A48" s="65"/>
      <c r="C48" s="64"/>
      <c r="D48" s="64"/>
      <c r="F48" s="64"/>
    </row>
    <row r="49" spans="1:6" ht="13.5" thickBot="1" x14ac:dyDescent="0.3">
      <c r="A49" s="65"/>
      <c r="C49" s="64"/>
      <c r="D49" s="64"/>
      <c r="F49" s="64"/>
    </row>
    <row r="50" spans="1:6" ht="13.5" thickBot="1" x14ac:dyDescent="0.3">
      <c r="A50" s="65"/>
      <c r="C50" s="64"/>
      <c r="D50" s="64"/>
      <c r="F50" s="64"/>
    </row>
    <row r="51" spans="1:6" ht="13.5" thickBot="1" x14ac:dyDescent="0.3">
      <c r="A51" s="65"/>
      <c r="C51" s="64"/>
      <c r="D51" s="64"/>
      <c r="F51" s="64"/>
    </row>
    <row r="52" spans="1:6" ht="13.5" thickBot="1" x14ac:dyDescent="0.3">
      <c r="A52" s="65"/>
      <c r="C52" s="64"/>
      <c r="D52" s="64"/>
      <c r="F52" s="64"/>
    </row>
    <row r="53" spans="1:6" ht="13.5" thickBot="1" x14ac:dyDescent="0.3">
      <c r="A53" s="65"/>
      <c r="C53" s="64"/>
      <c r="D53" s="64"/>
      <c r="F53" s="64"/>
    </row>
    <row r="54" spans="1:6" ht="13.5" thickBot="1" x14ac:dyDescent="0.3">
      <c r="A54" s="65"/>
      <c r="C54" s="64"/>
      <c r="D54" s="64"/>
      <c r="F54" s="64"/>
    </row>
    <row r="55" spans="1:6" ht="13.5" thickBot="1" x14ac:dyDescent="0.3">
      <c r="A55" s="65"/>
      <c r="C55" s="64"/>
      <c r="D55" s="64"/>
      <c r="F55" s="64"/>
    </row>
    <row r="56" spans="1:6" ht="13.5" thickBot="1" x14ac:dyDescent="0.3">
      <c r="A56" s="65"/>
      <c r="C56" s="64"/>
      <c r="D56" s="64"/>
      <c r="F56" s="64"/>
    </row>
    <row r="57" spans="1:6" ht="13.5" thickBot="1" x14ac:dyDescent="0.3">
      <c r="A57" s="65"/>
      <c r="C57" s="64"/>
      <c r="D57" s="64"/>
      <c r="F57" s="64"/>
    </row>
    <row r="58" spans="1:6" ht="13.5" thickBot="1" x14ac:dyDescent="0.3">
      <c r="A58" s="65"/>
      <c r="C58" s="64"/>
      <c r="D58" s="64"/>
      <c r="F58" s="64"/>
    </row>
    <row r="59" spans="1:6" ht="13.5" thickBot="1" x14ac:dyDescent="0.3">
      <c r="A59" s="65"/>
      <c r="C59" s="64"/>
      <c r="D59" s="64"/>
      <c r="F59" s="64"/>
    </row>
    <row r="60" spans="1:6" ht="13.5" thickBot="1" x14ac:dyDescent="0.3">
      <c r="A60" s="65"/>
      <c r="C60" s="64"/>
      <c r="D60" s="64"/>
      <c r="F60" s="64"/>
    </row>
    <row r="61" spans="1:6" ht="13.5" thickBot="1" x14ac:dyDescent="0.3">
      <c r="A61" s="65"/>
      <c r="C61" s="64"/>
      <c r="D61" s="64"/>
      <c r="F61" s="64"/>
    </row>
    <row r="62" spans="1:6" ht="13.5" thickBot="1" x14ac:dyDescent="0.3">
      <c r="A62" s="65"/>
      <c r="C62" s="64"/>
      <c r="D62" s="64"/>
      <c r="F62" s="64"/>
    </row>
    <row r="63" spans="1:6" ht="13.5" thickBot="1" x14ac:dyDescent="0.3">
      <c r="A63" s="65"/>
      <c r="C63" s="64"/>
      <c r="D63" s="64"/>
      <c r="F63" s="64"/>
    </row>
    <row r="64" spans="1:6" ht="13.5" thickBot="1" x14ac:dyDescent="0.3">
      <c r="A64" s="65"/>
      <c r="C64" s="64"/>
      <c r="D64" s="64"/>
      <c r="F64" s="64"/>
    </row>
    <row r="65" spans="1:6" ht="13.5" thickBot="1" x14ac:dyDescent="0.3">
      <c r="A65" s="65"/>
      <c r="C65" s="64"/>
      <c r="D65" s="64"/>
      <c r="F65" s="64"/>
    </row>
    <row r="66" spans="1:6" ht="13.5" thickBot="1" x14ac:dyDescent="0.3">
      <c r="A66" s="65"/>
      <c r="C66" s="64"/>
      <c r="D66" s="64"/>
      <c r="F66" s="64"/>
    </row>
    <row r="67" spans="1:6" ht="13.5" thickBot="1" x14ac:dyDescent="0.3">
      <c r="A67" s="65"/>
      <c r="C67" s="64"/>
      <c r="D67" s="64"/>
      <c r="F67" s="64"/>
    </row>
    <row r="68" spans="1:6" ht="13.5" thickBot="1" x14ac:dyDescent="0.3">
      <c r="A68" s="65"/>
      <c r="C68" s="64"/>
      <c r="D68" s="64"/>
      <c r="F68" s="64"/>
    </row>
    <row r="69" spans="1:6" ht="13.5" thickBot="1" x14ac:dyDescent="0.3">
      <c r="A69" s="65"/>
      <c r="C69" s="64"/>
      <c r="D69" s="64"/>
      <c r="F69" s="64"/>
    </row>
    <row r="70" spans="1:6" ht="13.5" thickBot="1" x14ac:dyDescent="0.3">
      <c r="A70" s="65"/>
      <c r="C70" s="64"/>
      <c r="D70" s="64"/>
      <c r="F70" s="64"/>
    </row>
    <row r="71" spans="1:6" ht="13.5" thickBot="1" x14ac:dyDescent="0.3">
      <c r="A71" s="65"/>
      <c r="C71" s="64"/>
      <c r="D71" s="64"/>
      <c r="F71" s="64"/>
    </row>
    <row r="72" spans="1:6" ht="13.5" thickBot="1" x14ac:dyDescent="0.3">
      <c r="A72" s="65"/>
      <c r="C72" s="64"/>
      <c r="D72" s="64"/>
      <c r="F72" s="64"/>
    </row>
    <row r="73" spans="1:6" ht="13.5" thickBot="1" x14ac:dyDescent="0.3">
      <c r="A73" s="65"/>
      <c r="C73" s="64"/>
      <c r="D73" s="64"/>
      <c r="F73" s="64"/>
    </row>
    <row r="74" spans="1:6" ht="13.5" thickBot="1" x14ac:dyDescent="0.3">
      <c r="A74" s="65"/>
      <c r="C74" s="64"/>
      <c r="D74" s="64"/>
      <c r="F74" s="64"/>
    </row>
    <row r="75" spans="1:6" ht="13.5" thickBot="1" x14ac:dyDescent="0.3">
      <c r="A75" s="65"/>
      <c r="C75" s="64"/>
      <c r="D75" s="64"/>
      <c r="F75" s="64"/>
    </row>
    <row r="76" spans="1:6" ht="13.5" thickBot="1" x14ac:dyDescent="0.3">
      <c r="A76" s="65"/>
      <c r="C76" s="64"/>
      <c r="D76" s="64"/>
      <c r="F76" s="64"/>
    </row>
    <row r="77" spans="1:6" ht="13.5" thickBot="1" x14ac:dyDescent="0.3">
      <c r="A77" s="65"/>
      <c r="C77" s="64"/>
      <c r="D77" s="64"/>
      <c r="F77" s="64"/>
    </row>
    <row r="78" spans="1:6" ht="13.5" thickBot="1" x14ac:dyDescent="0.3">
      <c r="A78" s="65"/>
      <c r="C78" s="64"/>
      <c r="D78" s="64"/>
      <c r="F78" s="64"/>
    </row>
    <row r="79" spans="1:6" ht="13.5" thickBot="1" x14ac:dyDescent="0.3">
      <c r="A79" s="65"/>
      <c r="C79" s="64"/>
      <c r="D79" s="64"/>
      <c r="F79" s="64"/>
    </row>
    <row r="80" spans="1:6" ht="13.5" thickBot="1" x14ac:dyDescent="0.3">
      <c r="A80" s="65"/>
      <c r="C80" s="64"/>
      <c r="D80" s="64"/>
      <c r="F80" s="64"/>
    </row>
    <row r="81" spans="1:6" ht="13.5" thickBot="1" x14ac:dyDescent="0.3">
      <c r="A81" s="65"/>
      <c r="C81" s="64"/>
      <c r="D81" s="64"/>
      <c r="F81" s="64"/>
    </row>
    <row r="82" spans="1:6" ht="13.5" thickBot="1" x14ac:dyDescent="0.3">
      <c r="A82" s="65"/>
      <c r="C82" s="64"/>
      <c r="D82" s="64"/>
      <c r="F82" s="64"/>
    </row>
    <row r="83" spans="1:6" ht="13.5" thickBot="1" x14ac:dyDescent="0.3">
      <c r="A83" s="65"/>
      <c r="C83" s="64"/>
      <c r="D83" s="64"/>
      <c r="F83" s="64"/>
    </row>
    <row r="84" spans="1:6" ht="13.5" thickBot="1" x14ac:dyDescent="0.3">
      <c r="A84" s="65"/>
      <c r="C84" s="64"/>
      <c r="D84" s="64"/>
      <c r="F84" s="64"/>
    </row>
    <row r="85" spans="1:6" ht="13.5" thickBot="1" x14ac:dyDescent="0.3">
      <c r="A85" s="65"/>
      <c r="C85" s="64"/>
      <c r="D85" s="64"/>
      <c r="F85" s="64"/>
    </row>
    <row r="86" spans="1:6" ht="13.5" thickBot="1" x14ac:dyDescent="0.3">
      <c r="A86" s="65"/>
      <c r="C86" s="64"/>
      <c r="D86" s="64"/>
      <c r="F86" s="64"/>
    </row>
    <row r="87" spans="1:6" ht="13.5" thickBot="1" x14ac:dyDescent="0.3">
      <c r="A87" s="65"/>
      <c r="C87" s="64"/>
      <c r="D87" s="64"/>
      <c r="F87" s="64"/>
    </row>
    <row r="88" spans="1:6" ht="13.5" thickBot="1" x14ac:dyDescent="0.3">
      <c r="A88" s="65"/>
      <c r="C88" s="64"/>
      <c r="D88" s="64"/>
      <c r="F88" s="64"/>
    </row>
    <row r="89" spans="1:6" ht="13.5" thickBot="1" x14ac:dyDescent="0.3">
      <c r="A89" s="65"/>
      <c r="C89" s="64"/>
      <c r="D89" s="64"/>
      <c r="F89" s="64"/>
    </row>
    <row r="90" spans="1:6" ht="13.5" thickBot="1" x14ac:dyDescent="0.3">
      <c r="A90" s="65"/>
      <c r="C90" s="64"/>
      <c r="D90" s="64"/>
      <c r="F90" s="64"/>
    </row>
    <row r="91" spans="1:6" ht="13.5" thickBot="1" x14ac:dyDescent="0.3">
      <c r="A91" s="65"/>
      <c r="C91" s="64"/>
      <c r="D91" s="64"/>
      <c r="F91" s="64"/>
    </row>
    <row r="92" spans="1:6" ht="13.5" thickBot="1" x14ac:dyDescent="0.3">
      <c r="A92" s="65"/>
      <c r="C92" s="64"/>
      <c r="D92" s="64"/>
      <c r="F92" s="64"/>
    </row>
    <row r="93" spans="1:6" ht="13.5" thickBot="1" x14ac:dyDescent="0.3">
      <c r="A93" s="65"/>
      <c r="C93" s="64"/>
      <c r="D93" s="64"/>
      <c r="F93" s="64"/>
    </row>
    <row r="94" spans="1:6" ht="13.5" thickBot="1" x14ac:dyDescent="0.3">
      <c r="A94" s="65"/>
      <c r="C94" s="64"/>
      <c r="D94" s="64"/>
      <c r="F94" s="64"/>
    </row>
    <row r="95" spans="1:6" ht="13.5" thickBot="1" x14ac:dyDescent="0.3">
      <c r="A95" s="65"/>
      <c r="C95" s="64"/>
      <c r="D95" s="64"/>
      <c r="F95" s="64"/>
    </row>
    <row r="96" spans="1:6" ht="13.5" thickBot="1" x14ac:dyDescent="0.3">
      <c r="A96" s="65"/>
      <c r="C96" s="64"/>
      <c r="D96" s="64"/>
      <c r="F96" s="64"/>
    </row>
    <row r="97" spans="1:6" ht="13.5" thickBot="1" x14ac:dyDescent="0.3">
      <c r="A97" s="65"/>
      <c r="C97" s="64"/>
      <c r="D97" s="64"/>
      <c r="F97" s="64"/>
    </row>
    <row r="98" spans="1:6" ht="13.5" thickBot="1" x14ac:dyDescent="0.3">
      <c r="A98" s="65"/>
      <c r="C98" s="64"/>
      <c r="D98" s="64"/>
      <c r="F98" s="64"/>
    </row>
    <row r="99" spans="1:6" ht="13.5" thickBot="1" x14ac:dyDescent="0.3">
      <c r="A99" s="65"/>
      <c r="C99" s="64"/>
      <c r="D99" s="64"/>
      <c r="F99" s="64"/>
    </row>
    <row r="100" spans="1:6" ht="13.5" thickBot="1" x14ac:dyDescent="0.3">
      <c r="A100" s="65"/>
      <c r="C100" s="64"/>
      <c r="D100" s="64"/>
      <c r="F100" s="64"/>
    </row>
    <row r="101" spans="1:6" ht="13.5" thickBot="1" x14ac:dyDescent="0.3">
      <c r="A101" s="65"/>
      <c r="C101" s="64"/>
      <c r="D101" s="64"/>
      <c r="F101" s="64"/>
    </row>
    <row r="102" spans="1:6" ht="13.5" thickBot="1" x14ac:dyDescent="0.3">
      <c r="A102" s="65"/>
      <c r="C102" s="64"/>
      <c r="D102" s="64"/>
      <c r="F102" s="64"/>
    </row>
    <row r="103" spans="1:6" ht="13.5" thickBot="1" x14ac:dyDescent="0.3">
      <c r="A103" s="65"/>
      <c r="C103" s="64"/>
      <c r="D103" s="64"/>
      <c r="F103" s="64"/>
    </row>
    <row r="104" spans="1:6" ht="13.5" thickBot="1" x14ac:dyDescent="0.3">
      <c r="A104" s="65"/>
      <c r="C104" s="64"/>
      <c r="D104" s="64"/>
      <c r="F104" s="64"/>
    </row>
    <row r="105" spans="1:6" ht="13.5" thickBot="1" x14ac:dyDescent="0.3">
      <c r="A105" s="65"/>
      <c r="C105" s="64"/>
      <c r="D105" s="64"/>
      <c r="F105" s="64"/>
    </row>
    <row r="106" spans="1:6" ht="13.5" thickBot="1" x14ac:dyDescent="0.3">
      <c r="A106" s="65"/>
      <c r="C106" s="64"/>
      <c r="D106" s="64"/>
      <c r="F106" s="64"/>
    </row>
    <row r="107" spans="1:6" ht="13.5" thickBot="1" x14ac:dyDescent="0.3">
      <c r="A107" s="65"/>
      <c r="C107" s="64"/>
      <c r="D107" s="64"/>
      <c r="F107" s="64"/>
    </row>
    <row r="108" spans="1:6" ht="13.5" thickBot="1" x14ac:dyDescent="0.3">
      <c r="A108" s="65"/>
      <c r="C108" s="64"/>
      <c r="D108" s="64"/>
      <c r="F108" s="64"/>
    </row>
    <row r="109" spans="1:6" ht="13.5" thickBot="1" x14ac:dyDescent="0.3">
      <c r="A109" s="65"/>
      <c r="C109" s="64"/>
      <c r="D109" s="64"/>
      <c r="F109" s="64"/>
    </row>
    <row r="110" spans="1:6" ht="13.5" thickBot="1" x14ac:dyDescent="0.3">
      <c r="A110" s="65"/>
      <c r="C110" s="64"/>
      <c r="D110" s="64"/>
      <c r="F110" s="64"/>
    </row>
    <row r="111" spans="1:6" ht="13.5" thickBot="1" x14ac:dyDescent="0.3">
      <c r="A111" s="65"/>
      <c r="C111" s="64"/>
      <c r="D111" s="64"/>
      <c r="F111" s="64"/>
    </row>
    <row r="112" spans="1:6" ht="13.5" thickBot="1" x14ac:dyDescent="0.3">
      <c r="A112" s="65"/>
      <c r="C112" s="64"/>
      <c r="D112" s="64"/>
      <c r="F112" s="64"/>
    </row>
    <row r="113" spans="1:6" ht="13.5" thickBot="1" x14ac:dyDescent="0.3">
      <c r="A113" s="65"/>
      <c r="C113" s="64"/>
      <c r="D113" s="64"/>
      <c r="F113" s="64"/>
    </row>
    <row r="114" spans="1:6" ht="13.5" thickBot="1" x14ac:dyDescent="0.3">
      <c r="A114" s="65"/>
      <c r="C114" s="64"/>
      <c r="D114" s="64"/>
      <c r="F114" s="64"/>
    </row>
    <row r="115" spans="1:6" ht="13.5" thickBot="1" x14ac:dyDescent="0.3">
      <c r="A115" s="65"/>
      <c r="C115" s="64"/>
      <c r="D115" s="64"/>
      <c r="F115" s="64"/>
    </row>
    <row r="116" spans="1:6" ht="13.5" thickBot="1" x14ac:dyDescent="0.3">
      <c r="A116" s="65"/>
      <c r="C116" s="64"/>
      <c r="D116" s="64"/>
      <c r="F116" s="64"/>
    </row>
    <row r="117" spans="1:6" ht="13.5" thickBot="1" x14ac:dyDescent="0.3">
      <c r="A117" s="65"/>
      <c r="C117" s="64"/>
      <c r="D117" s="64"/>
      <c r="F117" s="64"/>
    </row>
    <row r="118" spans="1:6" ht="13.5" thickBot="1" x14ac:dyDescent="0.3">
      <c r="A118" s="65"/>
      <c r="C118" s="64"/>
      <c r="D118" s="64"/>
      <c r="F118" s="64"/>
    </row>
    <row r="119" spans="1:6" ht="13.5" thickBot="1" x14ac:dyDescent="0.3">
      <c r="A119" s="65"/>
      <c r="C119" s="64"/>
      <c r="D119" s="64"/>
      <c r="F119" s="64"/>
    </row>
    <row r="120" spans="1:6" ht="13.5" thickBot="1" x14ac:dyDescent="0.3">
      <c r="A120" s="65"/>
      <c r="C120" s="64"/>
      <c r="D120" s="64"/>
      <c r="F120" s="64"/>
    </row>
    <row r="121" spans="1:6" ht="13.5" thickBot="1" x14ac:dyDescent="0.3">
      <c r="A121" s="65"/>
      <c r="C121" s="64"/>
      <c r="D121" s="64"/>
      <c r="F121" s="64"/>
    </row>
    <row r="122" spans="1:6" ht="13.5" thickBot="1" x14ac:dyDescent="0.3">
      <c r="A122" s="65"/>
      <c r="C122" s="64"/>
      <c r="D122" s="64"/>
      <c r="F122" s="64"/>
    </row>
    <row r="123" spans="1:6" ht="13.5" thickBot="1" x14ac:dyDescent="0.3">
      <c r="A123" s="65"/>
      <c r="C123" s="64"/>
      <c r="D123" s="64"/>
      <c r="F123" s="64"/>
    </row>
    <row r="124" spans="1:6" ht="13.5" thickBot="1" x14ac:dyDescent="0.3">
      <c r="A124" s="65"/>
      <c r="C124" s="64"/>
      <c r="D124" s="64"/>
      <c r="F124" s="64"/>
    </row>
    <row r="125" spans="1:6" ht="13.5" thickBot="1" x14ac:dyDescent="0.3">
      <c r="A125" s="65"/>
      <c r="C125" s="64"/>
      <c r="D125" s="64"/>
      <c r="F125" s="64"/>
    </row>
    <row r="126" spans="1:6" ht="13.5" thickBot="1" x14ac:dyDescent="0.3">
      <c r="A126" s="65"/>
      <c r="C126" s="64"/>
      <c r="D126" s="64"/>
      <c r="F126" s="64"/>
    </row>
    <row r="127" spans="1:6" ht="13.5" thickBot="1" x14ac:dyDescent="0.3">
      <c r="A127" s="65"/>
      <c r="C127" s="64"/>
      <c r="D127" s="64"/>
      <c r="F127" s="64"/>
    </row>
    <row r="128" spans="1:6" ht="13.5" thickBot="1" x14ac:dyDescent="0.3">
      <c r="A128" s="65"/>
      <c r="C128" s="64"/>
      <c r="D128" s="64"/>
      <c r="F128" s="64"/>
    </row>
    <row r="129" spans="1:6" ht="13.5" thickBot="1" x14ac:dyDescent="0.3">
      <c r="A129" s="65"/>
      <c r="C129" s="64"/>
      <c r="D129" s="64"/>
      <c r="F129" s="64"/>
    </row>
    <row r="130" spans="1:6" ht="13.5" thickBot="1" x14ac:dyDescent="0.3">
      <c r="A130" s="65"/>
      <c r="C130" s="64"/>
      <c r="D130" s="64"/>
      <c r="F130" s="64"/>
    </row>
    <row r="131" spans="1:6" ht="13.5" thickBot="1" x14ac:dyDescent="0.3">
      <c r="A131" s="65"/>
      <c r="C131" s="64"/>
      <c r="D131" s="64"/>
      <c r="F131" s="64"/>
    </row>
    <row r="132" spans="1:6" ht="13.5" thickBot="1" x14ac:dyDescent="0.3">
      <c r="A132" s="65"/>
      <c r="C132" s="64"/>
      <c r="D132" s="64"/>
      <c r="F132" s="64"/>
    </row>
    <row r="133" spans="1:6" ht="13.5" thickBot="1" x14ac:dyDescent="0.3">
      <c r="A133" s="65"/>
      <c r="C133" s="64"/>
      <c r="D133" s="64"/>
      <c r="F133" s="64"/>
    </row>
    <row r="134" spans="1:6" ht="13.5" thickBot="1" x14ac:dyDescent="0.3">
      <c r="A134" s="65"/>
      <c r="C134" s="64"/>
      <c r="D134" s="64"/>
      <c r="F134" s="64"/>
    </row>
    <row r="135" spans="1:6" ht="13.5" thickBot="1" x14ac:dyDescent="0.3">
      <c r="A135" s="65"/>
      <c r="C135" s="64"/>
      <c r="D135" s="64"/>
      <c r="F135" s="64"/>
    </row>
    <row r="136" spans="1:6" ht="13.5" thickBot="1" x14ac:dyDescent="0.3">
      <c r="A136" s="65"/>
      <c r="C136" s="64"/>
      <c r="D136" s="64"/>
      <c r="F136" s="64"/>
    </row>
    <row r="137" spans="1:6" ht="13.5" thickBot="1" x14ac:dyDescent="0.3">
      <c r="A137" s="65"/>
      <c r="C137" s="64"/>
      <c r="D137" s="64"/>
      <c r="F137" s="64"/>
    </row>
    <row r="138" spans="1:6" ht="13.5" thickBot="1" x14ac:dyDescent="0.3">
      <c r="A138" s="65"/>
      <c r="C138" s="64"/>
      <c r="D138" s="64"/>
      <c r="F138" s="64"/>
    </row>
    <row r="139" spans="1:6" ht="13.5" thickBot="1" x14ac:dyDescent="0.3">
      <c r="A139" s="65"/>
      <c r="C139" s="64"/>
      <c r="D139" s="64"/>
      <c r="F139" s="64"/>
    </row>
    <row r="140" spans="1:6" ht="13.5" thickBot="1" x14ac:dyDescent="0.3">
      <c r="A140" s="65"/>
      <c r="C140" s="64"/>
      <c r="D140" s="64"/>
      <c r="F140" s="64"/>
    </row>
    <row r="141" spans="1:6" ht="13.5" thickBot="1" x14ac:dyDescent="0.3">
      <c r="A141" s="65"/>
      <c r="C141" s="64"/>
      <c r="D141" s="64"/>
      <c r="F141" s="64"/>
    </row>
    <row r="142" spans="1:6" ht="13.5" thickBot="1" x14ac:dyDescent="0.3">
      <c r="A142" s="65"/>
      <c r="C142" s="64"/>
      <c r="D142" s="64"/>
      <c r="F142" s="64"/>
    </row>
    <row r="143" spans="1:6" ht="13.5" thickBot="1" x14ac:dyDescent="0.3">
      <c r="A143" s="65"/>
      <c r="C143" s="64"/>
      <c r="D143" s="64"/>
      <c r="F143" s="64"/>
    </row>
    <row r="144" spans="1:6" ht="13.5" thickBot="1" x14ac:dyDescent="0.3">
      <c r="A144" s="65"/>
      <c r="C144" s="64"/>
      <c r="D144" s="64"/>
      <c r="F144" s="64"/>
    </row>
    <row r="145" spans="1:6" ht="13.5" thickBot="1" x14ac:dyDescent="0.3">
      <c r="A145" s="65"/>
      <c r="C145" s="64"/>
      <c r="D145" s="64"/>
      <c r="F145" s="64"/>
    </row>
    <row r="146" spans="1:6" ht="13.5" thickBot="1" x14ac:dyDescent="0.3">
      <c r="A146" s="65"/>
      <c r="C146" s="64"/>
      <c r="D146" s="64"/>
      <c r="F146" s="64"/>
    </row>
    <row r="147" spans="1:6" ht="13.5" thickBot="1" x14ac:dyDescent="0.3">
      <c r="A147" s="65"/>
      <c r="C147" s="64"/>
      <c r="D147" s="64"/>
      <c r="F147" s="64"/>
    </row>
    <row r="148" spans="1:6" ht="13.5" thickBot="1" x14ac:dyDescent="0.3">
      <c r="A148" s="65"/>
      <c r="C148" s="64"/>
      <c r="D148" s="64"/>
      <c r="F148" s="64"/>
    </row>
    <row r="149" spans="1:6" ht="13.5" thickBot="1" x14ac:dyDescent="0.3">
      <c r="A149" s="65"/>
      <c r="C149" s="64"/>
      <c r="D149" s="64"/>
      <c r="F149" s="64"/>
    </row>
    <row r="150" spans="1:6" ht="13.5" thickBot="1" x14ac:dyDescent="0.3">
      <c r="A150" s="65"/>
      <c r="C150" s="64"/>
      <c r="D150" s="64"/>
      <c r="F150" s="64"/>
    </row>
    <row r="151" spans="1:6" ht="13.5" thickBot="1" x14ac:dyDescent="0.3">
      <c r="A151" s="65"/>
      <c r="C151" s="64"/>
      <c r="D151" s="64"/>
      <c r="F151" s="64"/>
    </row>
    <row r="152" spans="1:6" ht="13.5" thickBot="1" x14ac:dyDescent="0.3">
      <c r="A152" s="65"/>
      <c r="C152" s="64"/>
      <c r="D152" s="64"/>
      <c r="F152" s="64"/>
    </row>
    <row r="153" spans="1:6" ht="13.5" thickBot="1" x14ac:dyDescent="0.3">
      <c r="A153" s="65"/>
      <c r="C153" s="64"/>
      <c r="D153" s="64"/>
      <c r="F153" s="64"/>
    </row>
    <row r="154" spans="1:6" ht="13.5" thickBot="1" x14ac:dyDescent="0.3">
      <c r="A154" s="65"/>
      <c r="C154" s="64"/>
      <c r="D154" s="64"/>
      <c r="F154" s="64"/>
    </row>
    <row r="155" spans="1:6" ht="13.5" thickBot="1" x14ac:dyDescent="0.3">
      <c r="A155" s="65"/>
      <c r="C155" s="64"/>
      <c r="D155" s="64"/>
      <c r="F155" s="64"/>
    </row>
    <row r="156" spans="1:6" ht="13.5" thickBot="1" x14ac:dyDescent="0.3">
      <c r="A156" s="65"/>
      <c r="C156" s="64"/>
      <c r="D156" s="64"/>
      <c r="F156" s="64"/>
    </row>
    <row r="157" spans="1:6" ht="13.5" thickBot="1" x14ac:dyDescent="0.3">
      <c r="A157" s="65"/>
      <c r="C157" s="64"/>
      <c r="D157" s="64"/>
      <c r="F157" s="64"/>
    </row>
    <row r="158" spans="1:6" ht="13.5" thickBot="1" x14ac:dyDescent="0.3">
      <c r="A158" s="65"/>
      <c r="C158" s="64"/>
      <c r="D158" s="64"/>
      <c r="F158" s="64"/>
    </row>
    <row r="159" spans="1:6" ht="13.5" thickBot="1" x14ac:dyDescent="0.3">
      <c r="A159" s="65"/>
      <c r="C159" s="64"/>
      <c r="D159" s="64"/>
      <c r="F159" s="64"/>
    </row>
    <row r="160" spans="1:6" ht="13.5" thickBot="1" x14ac:dyDescent="0.3">
      <c r="A160" s="65"/>
      <c r="C160" s="64"/>
      <c r="D160" s="64"/>
      <c r="F160" s="64"/>
    </row>
    <row r="161" spans="1:6" ht="13.5" thickBot="1" x14ac:dyDescent="0.3">
      <c r="A161" s="65"/>
      <c r="C161" s="64"/>
      <c r="D161" s="64"/>
      <c r="F161" s="64"/>
    </row>
    <row r="162" spans="1:6" ht="13.5" thickBot="1" x14ac:dyDescent="0.3">
      <c r="A162" s="65"/>
      <c r="C162" s="64"/>
      <c r="D162" s="64"/>
      <c r="F162" s="64"/>
    </row>
    <row r="163" spans="1:6" ht="13.5" thickBot="1" x14ac:dyDescent="0.3">
      <c r="A163" s="65"/>
      <c r="C163" s="64"/>
      <c r="D163" s="64"/>
      <c r="F163" s="64"/>
    </row>
    <row r="164" spans="1:6" ht="13.5" thickBot="1" x14ac:dyDescent="0.3">
      <c r="A164" s="65"/>
      <c r="C164" s="64"/>
      <c r="D164" s="64"/>
      <c r="F164" s="64"/>
    </row>
    <row r="165" spans="1:6" ht="13.5" thickBot="1" x14ac:dyDescent="0.3">
      <c r="A165" s="65"/>
      <c r="C165" s="64"/>
      <c r="D165" s="64"/>
      <c r="F165" s="64"/>
    </row>
    <row r="166" spans="1:6" ht="13.5" thickBot="1" x14ac:dyDescent="0.3">
      <c r="A166" s="65"/>
      <c r="C166" s="64"/>
      <c r="D166" s="64"/>
      <c r="F166" s="64"/>
    </row>
    <row r="167" spans="1:6" ht="13.5" thickBot="1" x14ac:dyDescent="0.3">
      <c r="A167" s="65"/>
      <c r="C167" s="64"/>
      <c r="D167" s="64"/>
      <c r="F167" s="64"/>
    </row>
    <row r="168" spans="1:6" ht="13.5" thickBot="1" x14ac:dyDescent="0.3">
      <c r="A168" s="65"/>
      <c r="C168" s="64"/>
      <c r="D168" s="64"/>
      <c r="F168" s="64"/>
    </row>
    <row r="169" spans="1:6" ht="13.5" thickBot="1" x14ac:dyDescent="0.3">
      <c r="A169" s="65"/>
      <c r="C169" s="64"/>
      <c r="D169" s="64"/>
      <c r="F169" s="64"/>
    </row>
    <row r="170" spans="1:6" ht="13.5" thickBot="1" x14ac:dyDescent="0.3">
      <c r="A170" s="65"/>
      <c r="C170" s="64"/>
      <c r="D170" s="64"/>
      <c r="F170" s="64"/>
    </row>
    <row r="171" spans="1:6" ht="13.5" thickBot="1" x14ac:dyDescent="0.3">
      <c r="A171" s="65"/>
      <c r="C171" s="64"/>
      <c r="D171" s="64"/>
      <c r="F171" s="64"/>
    </row>
    <row r="172" spans="1:6" ht="13.5" thickBot="1" x14ac:dyDescent="0.3">
      <c r="A172" s="65"/>
      <c r="C172" s="64"/>
      <c r="D172" s="64"/>
      <c r="F172" s="64"/>
    </row>
    <row r="173" spans="1:6" ht="13.5" thickBot="1" x14ac:dyDescent="0.3">
      <c r="A173" s="65"/>
      <c r="C173" s="64"/>
      <c r="D173" s="64"/>
      <c r="F173" s="64"/>
    </row>
    <row r="174" spans="1:6" ht="13.5" thickBot="1" x14ac:dyDescent="0.3">
      <c r="A174" s="65"/>
      <c r="C174" s="64"/>
      <c r="D174" s="64"/>
      <c r="F174" s="64"/>
    </row>
    <row r="175" spans="1:6" ht="13.5" thickBot="1" x14ac:dyDescent="0.3">
      <c r="A175" s="65"/>
      <c r="C175" s="64"/>
      <c r="D175" s="64"/>
      <c r="F175" s="64"/>
    </row>
    <row r="176" spans="1:6" ht="13.5" thickBot="1" x14ac:dyDescent="0.3">
      <c r="A176" s="65"/>
      <c r="C176" s="64"/>
      <c r="D176" s="64"/>
      <c r="F176" s="64"/>
    </row>
    <row r="177" spans="1:6" ht="13.5" thickBot="1" x14ac:dyDescent="0.3">
      <c r="A177" s="65"/>
      <c r="C177" s="64"/>
      <c r="D177" s="64"/>
      <c r="F177" s="64"/>
    </row>
    <row r="178" spans="1:6" ht="13.5" thickBot="1" x14ac:dyDescent="0.3">
      <c r="A178" s="65"/>
      <c r="C178" s="64"/>
      <c r="D178" s="64"/>
      <c r="F178" s="64"/>
    </row>
    <row r="179" spans="1:6" ht="13.5" thickBot="1" x14ac:dyDescent="0.3">
      <c r="A179" s="65"/>
      <c r="C179" s="64"/>
      <c r="D179" s="64"/>
      <c r="F179" s="64"/>
    </row>
    <row r="180" spans="1:6" ht="13.5" thickBot="1" x14ac:dyDescent="0.3">
      <c r="A180" s="65"/>
      <c r="C180" s="64"/>
      <c r="D180" s="64"/>
      <c r="F180" s="64"/>
    </row>
    <row r="181" spans="1:6" ht="13.5" thickBot="1" x14ac:dyDescent="0.3">
      <c r="A181" s="65"/>
      <c r="C181" s="64"/>
      <c r="D181" s="64"/>
      <c r="F181" s="64"/>
    </row>
    <row r="182" spans="1:6" ht="13.5" thickBot="1" x14ac:dyDescent="0.3">
      <c r="A182" s="65"/>
      <c r="C182" s="64"/>
      <c r="D182" s="64"/>
      <c r="F182" s="64"/>
    </row>
    <row r="183" spans="1:6" ht="13.5" thickBot="1" x14ac:dyDescent="0.3">
      <c r="A183" s="65"/>
      <c r="C183" s="64"/>
      <c r="D183" s="64"/>
      <c r="F183" s="64"/>
    </row>
    <row r="184" spans="1:6" ht="13.5" thickBot="1" x14ac:dyDescent="0.3">
      <c r="A184" s="65"/>
      <c r="C184" s="64"/>
      <c r="D184" s="64"/>
      <c r="F184" s="64"/>
    </row>
    <row r="185" spans="1:6" ht="13.5" thickBot="1" x14ac:dyDescent="0.3">
      <c r="A185" s="65"/>
      <c r="C185" s="64"/>
      <c r="D185" s="64"/>
      <c r="F185" s="64"/>
    </row>
    <row r="186" spans="1:6" ht="13.5" thickBot="1" x14ac:dyDescent="0.3">
      <c r="A186" s="65"/>
      <c r="C186" s="64"/>
      <c r="D186" s="64"/>
      <c r="F186" s="64"/>
    </row>
    <row r="187" spans="1:6" ht="13.5" thickBot="1" x14ac:dyDescent="0.3">
      <c r="A187" s="65"/>
      <c r="C187" s="64"/>
      <c r="D187" s="64"/>
      <c r="F187" s="64"/>
    </row>
    <row r="188" spans="1:6" ht="13.5" thickBot="1" x14ac:dyDescent="0.3">
      <c r="A188" s="65"/>
      <c r="C188" s="64"/>
      <c r="D188" s="64"/>
      <c r="F188" s="64"/>
    </row>
    <row r="189" spans="1:6" ht="13.5" thickBot="1" x14ac:dyDescent="0.3">
      <c r="A189" s="65"/>
      <c r="C189" s="64"/>
      <c r="D189" s="64"/>
      <c r="F189" s="64"/>
    </row>
    <row r="190" spans="1:6" ht="13.5" thickBot="1" x14ac:dyDescent="0.3">
      <c r="A190" s="65"/>
      <c r="C190" s="64"/>
      <c r="D190" s="64"/>
      <c r="F190" s="64"/>
    </row>
    <row r="191" spans="1:6" ht="13.5" thickBot="1" x14ac:dyDescent="0.3">
      <c r="A191" s="65"/>
      <c r="C191" s="64"/>
      <c r="D191" s="64"/>
      <c r="F191" s="64"/>
    </row>
    <row r="192" spans="1:6" ht="13.5" thickBot="1" x14ac:dyDescent="0.3">
      <c r="A192" s="65"/>
      <c r="C192" s="64"/>
      <c r="D192" s="64"/>
      <c r="F192" s="64"/>
    </row>
    <row r="193" spans="1:6" ht="13.5" thickBot="1" x14ac:dyDescent="0.3">
      <c r="A193" s="65"/>
      <c r="C193" s="64"/>
      <c r="D193" s="64"/>
      <c r="F193" s="64"/>
    </row>
    <row r="194" spans="1:6" ht="13.5" thickBot="1" x14ac:dyDescent="0.3">
      <c r="A194" s="65"/>
      <c r="C194" s="64"/>
      <c r="D194" s="64"/>
      <c r="F194" s="64"/>
    </row>
    <row r="195" spans="1:6" ht="13.5" thickBot="1" x14ac:dyDescent="0.3">
      <c r="A195" s="65"/>
      <c r="C195" s="64"/>
      <c r="D195" s="64"/>
      <c r="F195" s="64"/>
    </row>
    <row r="196" spans="1:6" ht="13.5" thickBot="1" x14ac:dyDescent="0.3">
      <c r="A196" s="65"/>
      <c r="C196" s="64"/>
      <c r="D196" s="64"/>
      <c r="F196" s="64"/>
    </row>
    <row r="197" spans="1:6" ht="13.5" thickBot="1" x14ac:dyDescent="0.3">
      <c r="A197" s="65"/>
      <c r="C197" s="64"/>
      <c r="D197" s="64"/>
      <c r="F197" s="64"/>
    </row>
    <row r="198" spans="1:6" ht="13.5" thickBot="1" x14ac:dyDescent="0.3">
      <c r="A198" s="65"/>
      <c r="C198" s="64"/>
      <c r="D198" s="64"/>
      <c r="F198" s="64"/>
    </row>
    <row r="199" spans="1:6" ht="13.5" thickBot="1" x14ac:dyDescent="0.3">
      <c r="A199" s="65"/>
      <c r="C199" s="64"/>
      <c r="D199" s="64"/>
      <c r="F199" s="64"/>
    </row>
    <row r="200" spans="1:6" ht="13.5" thickBot="1" x14ac:dyDescent="0.3">
      <c r="A200" s="65"/>
      <c r="C200" s="64"/>
      <c r="D200" s="64"/>
      <c r="F200" s="64"/>
    </row>
    <row r="201" spans="1:6" ht="13.5" thickBot="1" x14ac:dyDescent="0.3">
      <c r="A201" s="65"/>
      <c r="C201" s="64"/>
      <c r="D201" s="64"/>
      <c r="F201" s="64"/>
    </row>
    <row r="202" spans="1:6" ht="13.5" thickBot="1" x14ac:dyDescent="0.3">
      <c r="A202" s="65"/>
      <c r="C202" s="64"/>
      <c r="D202" s="64"/>
      <c r="F202" s="64"/>
    </row>
    <row r="203" spans="1:6" ht="13.5" thickBot="1" x14ac:dyDescent="0.3">
      <c r="A203" s="65"/>
      <c r="C203" s="64"/>
      <c r="D203" s="64"/>
      <c r="F203" s="64"/>
    </row>
    <row r="204" spans="1:6" ht="13.5" thickBot="1" x14ac:dyDescent="0.3">
      <c r="A204" s="65"/>
      <c r="C204" s="64"/>
      <c r="D204" s="64"/>
      <c r="F204" s="64"/>
    </row>
    <row r="205" spans="1:6" ht="13.5" thickBot="1" x14ac:dyDescent="0.3">
      <c r="A205" s="65"/>
      <c r="C205" s="64"/>
      <c r="D205" s="64"/>
      <c r="F205" s="64"/>
    </row>
    <row r="206" spans="1:6" ht="13.5" thickBot="1" x14ac:dyDescent="0.3">
      <c r="A206" s="65"/>
      <c r="C206" s="64"/>
      <c r="D206" s="64"/>
      <c r="F206" s="64"/>
    </row>
    <row r="207" spans="1:6" ht="13.5" thickBot="1" x14ac:dyDescent="0.3">
      <c r="A207" s="65"/>
      <c r="C207" s="64"/>
      <c r="D207" s="64"/>
      <c r="F207" s="64"/>
    </row>
    <row r="208" spans="1:6" ht="13.5" thickBot="1" x14ac:dyDescent="0.3">
      <c r="A208" s="65"/>
      <c r="C208" s="64"/>
      <c r="D208" s="64"/>
      <c r="F208" s="64"/>
    </row>
    <row r="209" spans="1:6" ht="13.5" thickBot="1" x14ac:dyDescent="0.3">
      <c r="A209" s="65"/>
      <c r="C209" s="64"/>
      <c r="D209" s="64"/>
      <c r="F209" s="64"/>
    </row>
    <row r="210" spans="1:6" ht="13.5" thickBot="1" x14ac:dyDescent="0.3">
      <c r="A210" s="65"/>
      <c r="C210" s="64"/>
      <c r="D210" s="64"/>
      <c r="F210" s="64"/>
    </row>
    <row r="211" spans="1:6" ht="13.5" thickBot="1" x14ac:dyDescent="0.3">
      <c r="A211" s="65"/>
      <c r="C211" s="64"/>
      <c r="D211" s="64"/>
      <c r="F211" s="64"/>
    </row>
    <row r="212" spans="1:6" ht="13.5" thickBot="1" x14ac:dyDescent="0.3">
      <c r="A212" s="65"/>
      <c r="C212" s="64"/>
      <c r="D212" s="64"/>
      <c r="F212" s="64"/>
    </row>
    <row r="213" spans="1:6" ht="13.5" thickBot="1" x14ac:dyDescent="0.3">
      <c r="A213" s="65"/>
      <c r="C213" s="64"/>
      <c r="D213" s="64"/>
      <c r="F213" s="64"/>
    </row>
    <row r="214" spans="1:6" ht="13.5" thickBot="1" x14ac:dyDescent="0.3">
      <c r="A214" s="65"/>
      <c r="C214" s="64"/>
      <c r="D214" s="64"/>
      <c r="F214" s="64"/>
    </row>
    <row r="215" spans="1:6" ht="13.5" thickBot="1" x14ac:dyDescent="0.3">
      <c r="A215" s="65"/>
      <c r="C215" s="64"/>
      <c r="D215" s="64"/>
      <c r="F215" s="64"/>
    </row>
    <row r="216" spans="1:6" ht="13.5" thickBot="1" x14ac:dyDescent="0.3">
      <c r="A216" s="65"/>
      <c r="C216" s="64"/>
      <c r="D216" s="64"/>
      <c r="F216" s="64"/>
    </row>
    <row r="217" spans="1:6" ht="13.5" thickBot="1" x14ac:dyDescent="0.3">
      <c r="A217" s="65"/>
      <c r="C217" s="64"/>
      <c r="D217" s="64"/>
      <c r="F217" s="64"/>
    </row>
    <row r="218" spans="1:6" ht="13.5" thickBot="1" x14ac:dyDescent="0.3">
      <c r="A218" s="65"/>
      <c r="C218" s="64"/>
      <c r="D218" s="64"/>
      <c r="F218" s="64"/>
    </row>
    <row r="219" spans="1:6" ht="13.5" thickBot="1" x14ac:dyDescent="0.3">
      <c r="A219" s="65"/>
      <c r="C219" s="64"/>
      <c r="D219" s="64"/>
      <c r="F219" s="64"/>
    </row>
    <row r="220" spans="1:6" ht="13.5" thickBot="1" x14ac:dyDescent="0.3">
      <c r="A220" s="65"/>
      <c r="C220" s="64"/>
      <c r="D220" s="64"/>
      <c r="F220" s="64"/>
    </row>
    <row r="221" spans="1:6" ht="13.5" thickBot="1" x14ac:dyDescent="0.3">
      <c r="A221" s="65"/>
      <c r="C221" s="64"/>
      <c r="D221" s="64"/>
      <c r="F221" s="64"/>
    </row>
    <row r="222" spans="1:6" ht="13.5" thickBot="1" x14ac:dyDescent="0.3">
      <c r="A222" s="65"/>
      <c r="C222" s="64"/>
      <c r="D222" s="64"/>
      <c r="F222" s="64"/>
    </row>
    <row r="223" spans="1:6" ht="13.5" thickBot="1" x14ac:dyDescent="0.3">
      <c r="A223" s="65"/>
      <c r="C223" s="64"/>
      <c r="D223" s="64"/>
      <c r="F223" s="64"/>
    </row>
    <row r="224" spans="1:6" ht="13.5" thickBot="1" x14ac:dyDescent="0.3">
      <c r="A224" s="65"/>
      <c r="C224" s="64"/>
      <c r="D224" s="64"/>
      <c r="F224" s="64"/>
    </row>
    <row r="225" spans="1:6" ht="13.5" thickBot="1" x14ac:dyDescent="0.3">
      <c r="A225" s="65"/>
      <c r="C225" s="64"/>
      <c r="D225" s="64"/>
      <c r="F225" s="64"/>
    </row>
    <row r="226" spans="1:6" ht="13.5" thickBot="1" x14ac:dyDescent="0.3">
      <c r="A226" s="65"/>
      <c r="C226" s="64"/>
      <c r="D226" s="64"/>
      <c r="F226" s="64"/>
    </row>
    <row r="227" spans="1:6" ht="13.5" thickBot="1" x14ac:dyDescent="0.3">
      <c r="A227" s="65"/>
      <c r="C227" s="64"/>
      <c r="D227" s="64"/>
      <c r="F227" s="64"/>
    </row>
    <row r="228" spans="1:6" ht="13.5" thickBot="1" x14ac:dyDescent="0.3">
      <c r="A228" s="65"/>
      <c r="C228" s="64"/>
      <c r="D228" s="64"/>
      <c r="F228" s="64"/>
    </row>
    <row r="229" spans="1:6" ht="13.5" thickBot="1" x14ac:dyDescent="0.3">
      <c r="A229" s="65"/>
      <c r="C229" s="64"/>
      <c r="D229" s="64"/>
      <c r="F229" s="64"/>
    </row>
    <row r="230" spans="1:6" ht="13.5" thickBot="1" x14ac:dyDescent="0.3">
      <c r="A230" s="65"/>
      <c r="C230" s="64"/>
      <c r="D230" s="64"/>
      <c r="F230" s="64"/>
    </row>
    <row r="231" spans="1:6" ht="13.5" thickBot="1" x14ac:dyDescent="0.3">
      <c r="A231" s="65"/>
      <c r="C231" s="64"/>
      <c r="D231" s="64"/>
      <c r="F231" s="64"/>
    </row>
    <row r="232" spans="1:6" ht="13.5" thickBot="1" x14ac:dyDescent="0.3">
      <c r="A232" s="65"/>
      <c r="C232" s="64"/>
      <c r="D232" s="64"/>
      <c r="F232" s="64"/>
    </row>
    <row r="233" spans="1:6" ht="13.5" thickBot="1" x14ac:dyDescent="0.3">
      <c r="A233" s="65"/>
      <c r="C233" s="64"/>
      <c r="D233" s="64"/>
      <c r="F233" s="64"/>
    </row>
    <row r="234" spans="1:6" ht="13.5" thickBot="1" x14ac:dyDescent="0.3">
      <c r="A234" s="65"/>
      <c r="C234" s="64"/>
      <c r="D234" s="64"/>
      <c r="F234" s="64"/>
    </row>
    <row r="235" spans="1:6" ht="13.5" thickBot="1" x14ac:dyDescent="0.3">
      <c r="A235" s="65"/>
      <c r="C235" s="64"/>
      <c r="D235" s="64"/>
      <c r="F235" s="64"/>
    </row>
    <row r="236" spans="1:6" ht="13.5" thickBot="1" x14ac:dyDescent="0.3">
      <c r="A236" s="65"/>
      <c r="C236" s="64"/>
      <c r="D236" s="64"/>
      <c r="F236" s="64"/>
    </row>
    <row r="237" spans="1:6" ht="13.5" thickBot="1" x14ac:dyDescent="0.3">
      <c r="A237" s="65"/>
      <c r="C237" s="64"/>
      <c r="D237" s="64"/>
      <c r="F237" s="64"/>
    </row>
    <row r="238" spans="1:6" ht="13.5" thickBot="1" x14ac:dyDescent="0.3">
      <c r="A238" s="65"/>
      <c r="C238" s="64"/>
      <c r="D238" s="64"/>
      <c r="F238" s="64"/>
    </row>
    <row r="239" spans="1:6" ht="13.5" thickBot="1" x14ac:dyDescent="0.3">
      <c r="A239" s="65"/>
      <c r="C239" s="64"/>
      <c r="D239" s="64"/>
      <c r="F239" s="64"/>
    </row>
    <row r="240" spans="1:6" ht="13.5" thickBot="1" x14ac:dyDescent="0.3">
      <c r="A240" s="65"/>
      <c r="C240" s="64"/>
      <c r="D240" s="64"/>
      <c r="F240" s="64"/>
    </row>
    <row r="241" spans="1:6" ht="13.5" thickBot="1" x14ac:dyDescent="0.3">
      <c r="A241" s="65"/>
      <c r="C241" s="64"/>
      <c r="D241" s="64"/>
      <c r="F241" s="64"/>
    </row>
    <row r="242" spans="1:6" ht="13.5" thickBot="1" x14ac:dyDescent="0.3">
      <c r="A242" s="65"/>
      <c r="C242" s="64"/>
      <c r="D242" s="64"/>
      <c r="F242" s="64"/>
    </row>
    <row r="243" spans="1:6" ht="13.5" thickBot="1" x14ac:dyDescent="0.3">
      <c r="A243" s="65"/>
      <c r="C243" s="64"/>
      <c r="D243" s="64"/>
      <c r="F243" s="64"/>
    </row>
    <row r="244" spans="1:6" ht="13.5" thickBot="1" x14ac:dyDescent="0.3">
      <c r="A244" s="65"/>
      <c r="C244" s="64"/>
      <c r="D244" s="64"/>
      <c r="F244" s="64"/>
    </row>
    <row r="245" spans="1:6" ht="13.5" thickBot="1" x14ac:dyDescent="0.3">
      <c r="A245" s="65"/>
      <c r="C245" s="64"/>
      <c r="D245" s="64"/>
      <c r="F245" s="64"/>
    </row>
    <row r="246" spans="1:6" ht="13.5" thickBot="1" x14ac:dyDescent="0.3">
      <c r="A246" s="65"/>
      <c r="C246" s="64"/>
      <c r="D246" s="64"/>
      <c r="F246" s="64"/>
    </row>
    <row r="247" spans="1:6" ht="13.5" thickBot="1" x14ac:dyDescent="0.3">
      <c r="A247" s="65"/>
      <c r="C247" s="64"/>
      <c r="D247" s="64"/>
      <c r="F247" s="64"/>
    </row>
    <row r="248" spans="1:6" ht="13.5" thickBot="1" x14ac:dyDescent="0.3">
      <c r="A248" s="65"/>
      <c r="C248" s="64"/>
      <c r="D248" s="64"/>
      <c r="F248" s="64"/>
    </row>
    <row r="249" spans="1:6" ht="13.5" thickBot="1" x14ac:dyDescent="0.3">
      <c r="A249" s="65"/>
      <c r="C249" s="64"/>
      <c r="D249" s="64"/>
      <c r="F249" s="64"/>
    </row>
    <row r="250" spans="1:6" ht="13.5" thickBot="1" x14ac:dyDescent="0.3">
      <c r="A250" s="65"/>
      <c r="C250" s="64"/>
      <c r="D250" s="64"/>
      <c r="F250" s="64"/>
    </row>
    <row r="251" spans="1:6" ht="13.5" thickBot="1" x14ac:dyDescent="0.3">
      <c r="A251" s="65"/>
      <c r="C251" s="64"/>
      <c r="D251" s="64"/>
      <c r="F251" s="64"/>
    </row>
    <row r="252" spans="1:6" ht="13.5" thickBot="1" x14ac:dyDescent="0.3">
      <c r="A252" s="65"/>
      <c r="C252" s="64"/>
      <c r="D252" s="64"/>
      <c r="F252" s="64"/>
    </row>
    <row r="253" spans="1:6" ht="13.5" thickBot="1" x14ac:dyDescent="0.3">
      <c r="A253" s="65"/>
      <c r="C253" s="64"/>
      <c r="D253" s="64"/>
      <c r="F253" s="64"/>
    </row>
    <row r="254" spans="1:6" ht="13.5" thickBot="1" x14ac:dyDescent="0.3">
      <c r="A254" s="65"/>
      <c r="C254" s="64"/>
      <c r="D254" s="64"/>
      <c r="F254" s="64"/>
    </row>
    <row r="255" spans="1:6" ht="13.5" thickBot="1" x14ac:dyDescent="0.3">
      <c r="A255" s="65"/>
      <c r="C255" s="64"/>
      <c r="D255" s="64"/>
      <c r="F255" s="64"/>
    </row>
    <row r="256" spans="1:6" ht="13.5" thickBot="1" x14ac:dyDescent="0.3">
      <c r="A256" s="65"/>
      <c r="C256" s="64"/>
      <c r="D256" s="64"/>
      <c r="F256" s="64"/>
    </row>
    <row r="257" spans="1:6" ht="13.5" thickBot="1" x14ac:dyDescent="0.3">
      <c r="A257" s="65"/>
      <c r="C257" s="64"/>
      <c r="D257" s="64"/>
      <c r="F257" s="64"/>
    </row>
    <row r="258" spans="1:6" ht="13.5" thickBot="1" x14ac:dyDescent="0.3">
      <c r="A258" s="65"/>
      <c r="C258" s="64"/>
      <c r="D258" s="64"/>
      <c r="F258" s="64"/>
    </row>
    <row r="259" spans="1:6" ht="13.5" thickBot="1" x14ac:dyDescent="0.3">
      <c r="A259" s="65"/>
      <c r="C259" s="64"/>
      <c r="D259" s="64"/>
      <c r="F259" s="64"/>
    </row>
    <row r="260" spans="1:6" ht="13.5" thickBot="1" x14ac:dyDescent="0.3">
      <c r="A260" s="65"/>
      <c r="C260" s="64"/>
      <c r="D260" s="64"/>
      <c r="F260" s="64"/>
    </row>
    <row r="261" spans="1:6" ht="13.5" thickBot="1" x14ac:dyDescent="0.3">
      <c r="A261" s="65"/>
      <c r="C261" s="64"/>
      <c r="D261" s="64"/>
      <c r="F261" s="64"/>
    </row>
    <row r="262" spans="1:6" ht="13.5" thickBot="1" x14ac:dyDescent="0.3">
      <c r="A262" s="65"/>
      <c r="C262" s="64"/>
      <c r="D262" s="64"/>
      <c r="F262" s="64"/>
    </row>
    <row r="263" spans="1:6" ht="13.5" thickBot="1" x14ac:dyDescent="0.3">
      <c r="A263" s="65"/>
      <c r="C263" s="64"/>
      <c r="D263" s="64"/>
      <c r="F263" s="64"/>
    </row>
    <row r="264" spans="1:6" ht="13.5" thickBot="1" x14ac:dyDescent="0.3">
      <c r="A264" s="65"/>
      <c r="C264" s="64"/>
      <c r="D264" s="64"/>
      <c r="F264" s="64"/>
    </row>
    <row r="265" spans="1:6" ht="13.5" thickBot="1" x14ac:dyDescent="0.3">
      <c r="A265" s="65"/>
      <c r="C265" s="64"/>
      <c r="D265" s="64"/>
      <c r="F265" s="64"/>
    </row>
    <row r="266" spans="1:6" ht="13.5" thickBot="1" x14ac:dyDescent="0.3">
      <c r="A266" s="65"/>
      <c r="C266" s="64"/>
      <c r="D266" s="64"/>
      <c r="F266" s="64"/>
    </row>
    <row r="267" spans="1:6" ht="13.5" thickBot="1" x14ac:dyDescent="0.3">
      <c r="A267" s="65"/>
      <c r="C267" s="64"/>
      <c r="D267" s="64"/>
      <c r="F267" s="64"/>
    </row>
    <row r="268" spans="1:6" ht="13.5" thickBot="1" x14ac:dyDescent="0.3">
      <c r="A268" s="65"/>
      <c r="C268" s="64"/>
      <c r="D268" s="64"/>
      <c r="F268" s="64"/>
    </row>
    <row r="269" spans="1:6" ht="13.5" thickBot="1" x14ac:dyDescent="0.3">
      <c r="A269" s="65"/>
      <c r="C269" s="64"/>
      <c r="D269" s="64"/>
      <c r="F269" s="64"/>
    </row>
    <row r="270" spans="1:6" ht="13.5" thickBot="1" x14ac:dyDescent="0.3">
      <c r="A270" s="65"/>
      <c r="C270" s="64"/>
      <c r="D270" s="64"/>
      <c r="F270" s="64"/>
    </row>
    <row r="271" spans="1:6" ht="13.5" thickBot="1" x14ac:dyDescent="0.3">
      <c r="A271" s="65"/>
      <c r="C271" s="64"/>
      <c r="D271" s="64"/>
      <c r="F271" s="64"/>
    </row>
    <row r="272" spans="1:6" ht="13.5" thickBot="1" x14ac:dyDescent="0.3">
      <c r="A272" s="65"/>
      <c r="C272" s="64"/>
      <c r="D272" s="64"/>
      <c r="F272" s="64"/>
    </row>
    <row r="273" spans="1:6" ht="13.5" thickBot="1" x14ac:dyDescent="0.3">
      <c r="A273" s="65"/>
      <c r="C273" s="64"/>
      <c r="D273" s="64"/>
      <c r="F273" s="64"/>
    </row>
    <row r="274" spans="1:6" ht="13.5" thickBot="1" x14ac:dyDescent="0.3">
      <c r="A274" s="65"/>
      <c r="C274" s="64"/>
      <c r="D274" s="64"/>
      <c r="F274" s="64"/>
    </row>
    <row r="275" spans="1:6" ht="13.5" thickBot="1" x14ac:dyDescent="0.3">
      <c r="A275" s="65"/>
      <c r="C275" s="64"/>
      <c r="D275" s="64"/>
      <c r="F275" s="64"/>
    </row>
    <row r="276" spans="1:6" ht="13.5" thickBot="1" x14ac:dyDescent="0.3">
      <c r="A276" s="65"/>
      <c r="C276" s="64"/>
      <c r="D276" s="64"/>
      <c r="F276" s="64"/>
    </row>
    <row r="277" spans="1:6" ht="13.5" thickBot="1" x14ac:dyDescent="0.3">
      <c r="A277" s="65"/>
      <c r="C277" s="64"/>
      <c r="D277" s="64"/>
      <c r="F277" s="64"/>
    </row>
    <row r="278" spans="1:6" ht="13.5" thickBot="1" x14ac:dyDescent="0.3">
      <c r="A278" s="65"/>
      <c r="C278" s="64"/>
      <c r="D278" s="64"/>
      <c r="F278" s="64"/>
    </row>
    <row r="279" spans="1:6" ht="13.5" thickBot="1" x14ac:dyDescent="0.3">
      <c r="A279" s="65"/>
      <c r="C279" s="64"/>
      <c r="D279" s="64"/>
      <c r="F279" s="64"/>
    </row>
    <row r="280" spans="1:6" ht="13.5" thickBot="1" x14ac:dyDescent="0.3">
      <c r="A280" s="65"/>
      <c r="C280" s="64"/>
      <c r="D280" s="64"/>
      <c r="F280" s="64"/>
    </row>
    <row r="281" spans="1:6" ht="13.5" thickBot="1" x14ac:dyDescent="0.3">
      <c r="A281" s="65"/>
      <c r="C281" s="64"/>
      <c r="D281" s="64"/>
      <c r="F281" s="64"/>
    </row>
    <row r="282" spans="1:6" ht="13.5" thickBot="1" x14ac:dyDescent="0.3">
      <c r="A282" s="65"/>
      <c r="C282" s="64"/>
      <c r="D282" s="64"/>
      <c r="F282" s="64"/>
    </row>
    <row r="283" spans="1:6" ht="13.5" thickBot="1" x14ac:dyDescent="0.3">
      <c r="A283" s="65"/>
      <c r="C283" s="64"/>
      <c r="D283" s="64"/>
      <c r="F283" s="64"/>
    </row>
    <row r="284" spans="1:6" ht="13.5" thickBot="1" x14ac:dyDescent="0.3">
      <c r="A284" s="65"/>
      <c r="C284" s="64"/>
      <c r="D284" s="64"/>
      <c r="F284" s="64"/>
    </row>
    <row r="285" spans="1:6" ht="13.5" thickBot="1" x14ac:dyDescent="0.3">
      <c r="A285" s="65"/>
      <c r="C285" s="64"/>
      <c r="D285" s="64"/>
      <c r="F285" s="64"/>
    </row>
    <row r="286" spans="1:6" ht="13.5" thickBot="1" x14ac:dyDescent="0.3">
      <c r="A286" s="65"/>
      <c r="C286" s="64"/>
      <c r="D286" s="64"/>
      <c r="F286" s="64"/>
    </row>
    <row r="287" spans="1:6" ht="13.5" thickBot="1" x14ac:dyDescent="0.3">
      <c r="A287" s="65"/>
      <c r="C287" s="64"/>
      <c r="D287" s="64"/>
      <c r="F287" s="64"/>
    </row>
    <row r="288" spans="1:6" ht="13.5" thickBot="1" x14ac:dyDescent="0.3">
      <c r="A288" s="65"/>
      <c r="C288" s="64"/>
      <c r="D288" s="64"/>
      <c r="F288" s="64"/>
    </row>
    <row r="289" spans="1:6" ht="13.5" thickBot="1" x14ac:dyDescent="0.3">
      <c r="A289" s="65"/>
      <c r="C289" s="64"/>
      <c r="D289" s="64"/>
      <c r="F289" s="64"/>
    </row>
    <row r="290" spans="1:6" ht="13.5" thickBot="1" x14ac:dyDescent="0.3">
      <c r="A290" s="65"/>
      <c r="C290" s="64"/>
      <c r="D290" s="64"/>
      <c r="F290" s="64"/>
    </row>
    <row r="291" spans="1:6" ht="13.5" thickBot="1" x14ac:dyDescent="0.3">
      <c r="A291" s="65"/>
      <c r="C291" s="64"/>
      <c r="D291" s="64"/>
      <c r="F291" s="64"/>
    </row>
    <row r="292" spans="1:6" ht="13.5" thickBot="1" x14ac:dyDescent="0.3">
      <c r="A292" s="65"/>
      <c r="C292" s="64"/>
      <c r="D292" s="64"/>
      <c r="F292" s="64"/>
    </row>
    <row r="293" spans="1:6" ht="13.5" thickBot="1" x14ac:dyDescent="0.3">
      <c r="A293" s="65"/>
      <c r="C293" s="64"/>
      <c r="D293" s="64"/>
      <c r="F293" s="64"/>
    </row>
    <row r="294" spans="1:6" ht="13.5" thickBot="1" x14ac:dyDescent="0.3">
      <c r="A294" s="65"/>
      <c r="C294" s="64"/>
      <c r="D294" s="64"/>
      <c r="F294" s="64"/>
    </row>
    <row r="295" spans="1:6" ht="13.5" thickBot="1" x14ac:dyDescent="0.3">
      <c r="A295" s="65"/>
      <c r="C295" s="64"/>
      <c r="D295" s="64"/>
      <c r="F295" s="64"/>
    </row>
    <row r="296" spans="1:6" ht="13.5" thickBot="1" x14ac:dyDescent="0.3">
      <c r="A296" s="65"/>
      <c r="C296" s="64"/>
      <c r="D296" s="64"/>
      <c r="F296" s="64"/>
    </row>
    <row r="297" spans="1:6" ht="13.5" thickBot="1" x14ac:dyDescent="0.3">
      <c r="A297" s="65"/>
      <c r="C297" s="64"/>
      <c r="D297" s="64"/>
      <c r="F297" s="64"/>
    </row>
    <row r="298" spans="1:6" ht="13.5" thickBot="1" x14ac:dyDescent="0.3">
      <c r="A298" s="65"/>
      <c r="C298" s="64"/>
      <c r="D298" s="64"/>
      <c r="F298" s="64"/>
    </row>
    <row r="299" spans="1:6" ht="13.5" thickBot="1" x14ac:dyDescent="0.3">
      <c r="A299" s="65"/>
      <c r="C299" s="64"/>
      <c r="D299" s="64"/>
      <c r="F299" s="64"/>
    </row>
    <row r="300" spans="1:6" ht="13.5" thickBot="1" x14ac:dyDescent="0.3">
      <c r="A300" s="65"/>
      <c r="C300" s="64"/>
      <c r="D300" s="64"/>
      <c r="F300" s="64"/>
    </row>
    <row r="301" spans="1:6" ht="13.5" thickBot="1" x14ac:dyDescent="0.3">
      <c r="A301" s="65"/>
      <c r="C301" s="64"/>
      <c r="D301" s="64"/>
      <c r="F301" s="64"/>
    </row>
    <row r="302" spans="1:6" ht="13.5" thickBot="1" x14ac:dyDescent="0.3">
      <c r="A302" s="65"/>
      <c r="C302" s="64"/>
      <c r="D302" s="64"/>
      <c r="F302" s="64"/>
    </row>
    <row r="303" spans="1:6" ht="13.5" thickBot="1" x14ac:dyDescent="0.3">
      <c r="A303" s="65"/>
      <c r="C303" s="64"/>
      <c r="D303" s="64"/>
      <c r="F303" s="64"/>
    </row>
    <row r="304" spans="1:6" ht="13.5" thickBot="1" x14ac:dyDescent="0.3">
      <c r="A304" s="65"/>
      <c r="C304" s="64"/>
      <c r="D304" s="64"/>
      <c r="F304" s="64"/>
    </row>
    <row r="305" spans="1:6" ht="13.5" thickBot="1" x14ac:dyDescent="0.3">
      <c r="A305" s="65"/>
      <c r="C305" s="64"/>
      <c r="D305" s="64"/>
      <c r="F305" s="64"/>
    </row>
    <row r="306" spans="1:6" ht="13.5" thickBot="1" x14ac:dyDescent="0.3">
      <c r="A306" s="65"/>
      <c r="C306" s="64"/>
      <c r="D306" s="64"/>
      <c r="F306" s="64"/>
    </row>
    <row r="307" spans="1:6" ht="13.5" thickBot="1" x14ac:dyDescent="0.3">
      <c r="A307" s="65"/>
      <c r="C307" s="64"/>
      <c r="D307" s="64"/>
      <c r="F307" s="64"/>
    </row>
    <row r="308" spans="1:6" ht="13.5" thickBot="1" x14ac:dyDescent="0.3">
      <c r="A308" s="65"/>
      <c r="C308" s="64"/>
      <c r="D308" s="64"/>
      <c r="F308" s="64"/>
    </row>
    <row r="309" spans="1:6" ht="13.5" thickBot="1" x14ac:dyDescent="0.3">
      <c r="A309" s="65"/>
      <c r="C309" s="64"/>
      <c r="D309" s="64"/>
      <c r="F309" s="64"/>
    </row>
    <row r="310" spans="1:6" ht="13.5" thickBot="1" x14ac:dyDescent="0.3">
      <c r="A310" s="65"/>
      <c r="C310" s="64"/>
      <c r="D310" s="64"/>
      <c r="F310" s="64"/>
    </row>
    <row r="311" spans="1:6" ht="13.5" thickBot="1" x14ac:dyDescent="0.3">
      <c r="A311" s="65"/>
      <c r="C311" s="64"/>
      <c r="D311" s="64"/>
      <c r="F311" s="64"/>
    </row>
    <row r="312" spans="1:6" ht="13.5" thickBot="1" x14ac:dyDescent="0.3">
      <c r="A312" s="65"/>
      <c r="C312" s="64"/>
      <c r="D312" s="64"/>
      <c r="F312" s="64"/>
    </row>
    <row r="313" spans="1:6" ht="13.5" thickBot="1" x14ac:dyDescent="0.3">
      <c r="A313" s="65"/>
      <c r="C313" s="64"/>
      <c r="D313" s="64"/>
      <c r="F313" s="64"/>
    </row>
    <row r="314" spans="1:6" ht="13.5" thickBot="1" x14ac:dyDescent="0.3">
      <c r="A314" s="65"/>
      <c r="C314" s="64"/>
      <c r="D314" s="64"/>
      <c r="F314" s="64"/>
    </row>
    <row r="315" spans="1:6" ht="13.5" thickBot="1" x14ac:dyDescent="0.3">
      <c r="A315" s="65"/>
      <c r="C315" s="64"/>
      <c r="D315" s="64"/>
      <c r="F315" s="64"/>
    </row>
    <row r="316" spans="1:6" ht="13.5" thickBot="1" x14ac:dyDescent="0.3">
      <c r="A316" s="65"/>
      <c r="C316" s="64"/>
      <c r="D316" s="64"/>
      <c r="F316" s="64"/>
    </row>
    <row r="317" spans="1:6" ht="13.5" thickBot="1" x14ac:dyDescent="0.3">
      <c r="A317" s="65"/>
      <c r="C317" s="64"/>
      <c r="D317" s="64"/>
      <c r="F317" s="64"/>
    </row>
    <row r="318" spans="1:6" ht="13.5" thickBot="1" x14ac:dyDescent="0.3">
      <c r="A318" s="65"/>
      <c r="C318" s="64"/>
      <c r="D318" s="64"/>
      <c r="F318" s="64"/>
    </row>
    <row r="319" spans="1:6" ht="13.5" thickBot="1" x14ac:dyDescent="0.3">
      <c r="A319" s="65"/>
      <c r="C319" s="64"/>
      <c r="D319" s="64"/>
      <c r="F319" s="64"/>
    </row>
    <row r="320" spans="1:6" ht="13.5" thickBot="1" x14ac:dyDescent="0.3">
      <c r="A320" s="65"/>
      <c r="C320" s="64"/>
      <c r="D320" s="64"/>
      <c r="F320" s="64"/>
    </row>
    <row r="321" spans="1:6" ht="13.5" thickBot="1" x14ac:dyDescent="0.3">
      <c r="A321" s="65"/>
      <c r="C321" s="64"/>
      <c r="D321" s="64"/>
      <c r="F321" s="64"/>
    </row>
    <row r="322" spans="1:6" ht="13.5" thickBot="1" x14ac:dyDescent="0.3">
      <c r="A322" s="65"/>
      <c r="C322" s="64"/>
      <c r="D322" s="64"/>
      <c r="F322" s="64"/>
    </row>
    <row r="323" spans="1:6" ht="13.5" thickBot="1" x14ac:dyDescent="0.3">
      <c r="A323" s="65"/>
      <c r="C323" s="64"/>
      <c r="D323" s="64"/>
      <c r="F323" s="64"/>
    </row>
    <row r="324" spans="1:6" ht="13.5" thickBot="1" x14ac:dyDescent="0.3">
      <c r="A324" s="65"/>
      <c r="C324" s="64"/>
      <c r="D324" s="64"/>
      <c r="F324" s="64"/>
    </row>
    <row r="325" spans="1:6" ht="13.5" thickBot="1" x14ac:dyDescent="0.3">
      <c r="A325" s="65"/>
      <c r="C325" s="64"/>
      <c r="D325" s="64"/>
      <c r="F325" s="64"/>
    </row>
    <row r="326" spans="1:6" ht="13.5" thickBot="1" x14ac:dyDescent="0.3">
      <c r="A326" s="65"/>
      <c r="C326" s="64"/>
      <c r="D326" s="64"/>
      <c r="F326" s="64"/>
    </row>
    <row r="327" spans="1:6" ht="13.5" thickBot="1" x14ac:dyDescent="0.3">
      <c r="A327" s="65"/>
      <c r="C327" s="64"/>
      <c r="D327" s="64"/>
      <c r="F327" s="64"/>
    </row>
    <row r="328" spans="1:6" ht="13.5" thickBot="1" x14ac:dyDescent="0.3">
      <c r="A328" s="65"/>
      <c r="C328" s="64"/>
      <c r="D328" s="64"/>
      <c r="F328" s="64"/>
    </row>
    <row r="329" spans="1:6" ht="13.5" thickBot="1" x14ac:dyDescent="0.3">
      <c r="A329" s="65"/>
      <c r="C329" s="64"/>
      <c r="D329" s="64"/>
      <c r="F329" s="64"/>
    </row>
    <row r="330" spans="1:6" ht="13.5" thickBot="1" x14ac:dyDescent="0.3">
      <c r="A330" s="65"/>
      <c r="C330" s="64"/>
      <c r="D330" s="64"/>
      <c r="F330" s="64"/>
    </row>
    <row r="331" spans="1:6" ht="13.5" thickBot="1" x14ac:dyDescent="0.3">
      <c r="A331" s="65"/>
      <c r="C331" s="64"/>
      <c r="D331" s="64"/>
      <c r="F331" s="64"/>
    </row>
    <row r="332" spans="1:6" ht="13.5" thickBot="1" x14ac:dyDescent="0.3">
      <c r="A332" s="65"/>
      <c r="C332" s="64"/>
      <c r="D332" s="64"/>
      <c r="F332" s="64"/>
    </row>
    <row r="333" spans="1:6" ht="13.5" thickBot="1" x14ac:dyDescent="0.3">
      <c r="A333" s="65"/>
      <c r="C333" s="64"/>
      <c r="D333" s="64"/>
      <c r="F333" s="64"/>
    </row>
    <row r="334" spans="1:6" ht="13.5" thickBot="1" x14ac:dyDescent="0.3">
      <c r="A334" s="65"/>
      <c r="C334" s="64"/>
      <c r="D334" s="64"/>
      <c r="F334" s="64"/>
    </row>
    <row r="335" spans="1:6" ht="13.5" thickBot="1" x14ac:dyDescent="0.3">
      <c r="A335" s="65"/>
      <c r="C335" s="64"/>
      <c r="D335" s="64"/>
      <c r="F335" s="64"/>
    </row>
    <row r="336" spans="1:6" ht="13.5" thickBot="1" x14ac:dyDescent="0.3">
      <c r="A336" s="65"/>
      <c r="C336" s="64"/>
      <c r="D336" s="64"/>
      <c r="F336" s="64"/>
    </row>
    <row r="337" spans="1:6" ht="13.5" thickBot="1" x14ac:dyDescent="0.3">
      <c r="A337" s="65"/>
      <c r="C337" s="64"/>
      <c r="D337" s="64"/>
      <c r="F337" s="64"/>
    </row>
    <row r="338" spans="1:6" ht="13.5" thickBot="1" x14ac:dyDescent="0.3">
      <c r="A338" s="65"/>
      <c r="C338" s="64"/>
      <c r="D338" s="64"/>
      <c r="F338" s="64"/>
    </row>
    <row r="339" spans="1:6" ht="13.5" thickBot="1" x14ac:dyDescent="0.3">
      <c r="A339" s="65"/>
      <c r="C339" s="64"/>
      <c r="D339" s="64"/>
      <c r="F339" s="64"/>
    </row>
    <row r="340" spans="1:6" ht="13.5" thickBot="1" x14ac:dyDescent="0.3">
      <c r="A340" s="65"/>
      <c r="C340" s="64"/>
      <c r="D340" s="64"/>
      <c r="F340" s="64"/>
    </row>
    <row r="341" spans="1:6" ht="13.5" thickBot="1" x14ac:dyDescent="0.3">
      <c r="A341" s="65"/>
      <c r="C341" s="64"/>
      <c r="D341" s="64"/>
      <c r="F341" s="64"/>
    </row>
    <row r="342" spans="1:6" ht="13.5" thickBot="1" x14ac:dyDescent="0.3">
      <c r="A342" s="65"/>
      <c r="C342" s="64"/>
      <c r="D342" s="64"/>
      <c r="F342" s="64"/>
    </row>
    <row r="343" spans="1:6" ht="13.5" thickBot="1" x14ac:dyDescent="0.3">
      <c r="A343" s="65"/>
      <c r="C343" s="64"/>
      <c r="D343" s="64"/>
      <c r="F343" s="64"/>
    </row>
    <row r="344" spans="1:6" ht="13.5" thickBot="1" x14ac:dyDescent="0.3">
      <c r="A344" s="65"/>
      <c r="C344" s="64"/>
      <c r="D344" s="64"/>
      <c r="F344" s="64"/>
    </row>
    <row r="345" spans="1:6" ht="13.5" thickBot="1" x14ac:dyDescent="0.3">
      <c r="A345" s="65"/>
      <c r="C345" s="64"/>
      <c r="D345" s="64"/>
      <c r="F345" s="64"/>
    </row>
    <row r="346" spans="1:6" ht="13.5" thickBot="1" x14ac:dyDescent="0.3">
      <c r="A346" s="65"/>
      <c r="C346" s="64"/>
      <c r="D346" s="64"/>
      <c r="F346" s="64"/>
    </row>
    <row r="347" spans="1:6" ht="13.5" thickBot="1" x14ac:dyDescent="0.3">
      <c r="A347" s="65"/>
      <c r="C347" s="64"/>
      <c r="D347" s="64"/>
      <c r="F347" s="64"/>
    </row>
    <row r="348" spans="1:6" ht="13.5" thickBot="1" x14ac:dyDescent="0.3">
      <c r="A348" s="65"/>
      <c r="C348" s="64"/>
      <c r="D348" s="64"/>
      <c r="F348" s="64"/>
    </row>
    <row r="349" spans="1:6" ht="13.5" thickBot="1" x14ac:dyDescent="0.3">
      <c r="A349" s="65"/>
      <c r="C349" s="64"/>
      <c r="D349" s="64"/>
      <c r="F349" s="64"/>
    </row>
    <row r="350" spans="1:6" ht="13.5" thickBot="1" x14ac:dyDescent="0.3">
      <c r="A350" s="65"/>
      <c r="C350" s="64"/>
      <c r="D350" s="64"/>
      <c r="F350" s="64"/>
    </row>
    <row r="351" spans="1:6" ht="13.5" thickBot="1" x14ac:dyDescent="0.3">
      <c r="A351" s="65"/>
      <c r="C351" s="64"/>
      <c r="D351" s="64"/>
      <c r="F351" s="64"/>
    </row>
    <row r="352" spans="1:6" ht="13.5" thickBot="1" x14ac:dyDescent="0.3">
      <c r="A352" s="65"/>
      <c r="C352" s="64"/>
      <c r="D352" s="64"/>
      <c r="F352" s="64"/>
    </row>
    <row r="353" spans="1:6" ht="13.5" thickBot="1" x14ac:dyDescent="0.3">
      <c r="A353" s="65"/>
      <c r="C353" s="64"/>
      <c r="D353" s="64"/>
      <c r="F353" s="64"/>
    </row>
    <row r="354" spans="1:6" ht="13.5" thickBot="1" x14ac:dyDescent="0.3">
      <c r="A354" s="65"/>
      <c r="C354" s="64"/>
      <c r="D354" s="64"/>
      <c r="F354" s="64"/>
    </row>
    <row r="355" spans="1:6" ht="13.5" thickBot="1" x14ac:dyDescent="0.3">
      <c r="A355" s="65"/>
      <c r="C355" s="64"/>
      <c r="D355" s="64"/>
      <c r="F355" s="64"/>
    </row>
    <row r="356" spans="1:6" ht="13.5" thickBot="1" x14ac:dyDescent="0.3">
      <c r="A356" s="65"/>
      <c r="C356" s="64"/>
      <c r="D356" s="64"/>
      <c r="F356" s="64"/>
    </row>
    <row r="357" spans="1:6" ht="13.5" thickBot="1" x14ac:dyDescent="0.3">
      <c r="A357" s="65"/>
      <c r="C357" s="64"/>
      <c r="D357" s="64"/>
      <c r="F357" s="64"/>
    </row>
    <row r="358" spans="1:6" ht="13.5" thickBot="1" x14ac:dyDescent="0.3">
      <c r="A358" s="65"/>
      <c r="C358" s="64"/>
      <c r="D358" s="64"/>
      <c r="F358" s="64"/>
    </row>
    <row r="359" spans="1:6" ht="13.5" thickBot="1" x14ac:dyDescent="0.3">
      <c r="A359" s="65"/>
      <c r="C359" s="64"/>
      <c r="D359" s="64"/>
      <c r="F359" s="64"/>
    </row>
    <row r="360" spans="1:6" ht="13.5" thickBot="1" x14ac:dyDescent="0.3">
      <c r="A360" s="65"/>
      <c r="C360" s="64"/>
      <c r="D360" s="64"/>
      <c r="F360" s="64"/>
    </row>
    <row r="361" spans="1:6" ht="13.5" thickBot="1" x14ac:dyDescent="0.3">
      <c r="A361" s="65"/>
      <c r="C361" s="64"/>
      <c r="D361" s="64"/>
      <c r="F361" s="64"/>
    </row>
    <row r="362" spans="1:6" ht="13.5" thickBot="1" x14ac:dyDescent="0.3">
      <c r="A362" s="65"/>
      <c r="C362" s="64"/>
      <c r="D362" s="64"/>
      <c r="F362" s="64"/>
    </row>
    <row r="363" spans="1:6" ht="13.5" thickBot="1" x14ac:dyDescent="0.3">
      <c r="A363" s="65"/>
      <c r="C363" s="64"/>
      <c r="D363" s="64"/>
      <c r="F363" s="64"/>
    </row>
    <row r="364" spans="1:6" ht="13.5" thickBot="1" x14ac:dyDescent="0.3">
      <c r="A364" s="65"/>
      <c r="C364" s="64"/>
      <c r="D364" s="64"/>
      <c r="F364" s="64"/>
    </row>
    <row r="365" spans="1:6" ht="13.5" thickBot="1" x14ac:dyDescent="0.3">
      <c r="A365" s="65"/>
      <c r="C365" s="64"/>
      <c r="D365" s="64"/>
      <c r="F365" s="64"/>
    </row>
    <row r="366" spans="1:6" ht="13.5" thickBot="1" x14ac:dyDescent="0.3">
      <c r="A366" s="65"/>
      <c r="C366" s="64"/>
      <c r="D366" s="64"/>
      <c r="F366" s="64"/>
    </row>
    <row r="367" spans="1:6" ht="13.5" thickBot="1" x14ac:dyDescent="0.3">
      <c r="A367" s="65"/>
      <c r="C367" s="64"/>
      <c r="D367" s="64"/>
      <c r="F367" s="64"/>
    </row>
    <row r="368" spans="1:6" ht="13.5" thickBot="1" x14ac:dyDescent="0.3">
      <c r="A368" s="65"/>
      <c r="C368" s="64"/>
      <c r="D368" s="64"/>
      <c r="F368" s="64"/>
    </row>
    <row r="369" spans="1:6" ht="13.5" thickBot="1" x14ac:dyDescent="0.3">
      <c r="A369" s="65"/>
      <c r="C369" s="64"/>
      <c r="D369" s="64"/>
      <c r="F369" s="64"/>
    </row>
    <row r="370" spans="1:6" ht="13.5" thickBot="1" x14ac:dyDescent="0.3">
      <c r="A370" s="65"/>
      <c r="C370" s="64"/>
      <c r="D370" s="64"/>
      <c r="F370" s="64"/>
    </row>
    <row r="371" spans="1:6" ht="13.5" thickBot="1" x14ac:dyDescent="0.3">
      <c r="A371" s="65"/>
      <c r="C371" s="64"/>
      <c r="D371" s="64"/>
      <c r="F371" s="64"/>
    </row>
    <row r="372" spans="1:6" ht="13.5" thickBot="1" x14ac:dyDescent="0.3">
      <c r="A372" s="65"/>
      <c r="C372" s="64"/>
      <c r="D372" s="64"/>
      <c r="F372" s="64"/>
    </row>
    <row r="373" spans="1:6" ht="13.5" thickBot="1" x14ac:dyDescent="0.3">
      <c r="A373" s="65"/>
      <c r="C373" s="64"/>
      <c r="D373" s="64"/>
      <c r="F373" s="64"/>
    </row>
    <row r="374" spans="1:6" ht="13.5" thickBot="1" x14ac:dyDescent="0.3">
      <c r="A374" s="65"/>
      <c r="C374" s="64"/>
      <c r="D374" s="64"/>
      <c r="F374" s="64"/>
    </row>
    <row r="375" spans="1:6" ht="13.5" thickBot="1" x14ac:dyDescent="0.3">
      <c r="A375" s="65"/>
      <c r="C375" s="64"/>
      <c r="D375" s="64"/>
      <c r="F375" s="64"/>
    </row>
    <row r="376" spans="1:6" ht="13.5" thickBot="1" x14ac:dyDescent="0.3">
      <c r="A376" s="65"/>
      <c r="C376" s="64"/>
      <c r="D376" s="64"/>
      <c r="F376" s="64"/>
    </row>
    <row r="377" spans="1:6" ht="13.5" thickBot="1" x14ac:dyDescent="0.3">
      <c r="A377" s="65"/>
      <c r="C377" s="64"/>
      <c r="D377" s="64"/>
      <c r="F377" s="64"/>
    </row>
    <row r="378" spans="1:6" ht="13.5" thickBot="1" x14ac:dyDescent="0.3">
      <c r="A378" s="65"/>
      <c r="C378" s="64"/>
      <c r="D378" s="64"/>
      <c r="F378" s="64"/>
    </row>
    <row r="379" spans="1:6" ht="13.5" thickBot="1" x14ac:dyDescent="0.3">
      <c r="A379" s="65"/>
      <c r="C379" s="64"/>
      <c r="D379" s="64"/>
      <c r="F379" s="64"/>
    </row>
    <row r="380" spans="1:6" ht="13.5" thickBot="1" x14ac:dyDescent="0.3">
      <c r="A380" s="65"/>
      <c r="C380" s="64"/>
      <c r="D380" s="64"/>
      <c r="F380" s="64"/>
    </row>
    <row r="381" spans="1:6" ht="13.5" thickBot="1" x14ac:dyDescent="0.3">
      <c r="A381" s="65"/>
      <c r="C381" s="64"/>
      <c r="D381" s="64"/>
      <c r="F381" s="64"/>
    </row>
    <row r="382" spans="1:6" ht="13.5" thickBot="1" x14ac:dyDescent="0.3">
      <c r="A382" s="65"/>
      <c r="C382" s="64"/>
      <c r="D382" s="64"/>
      <c r="F382" s="64"/>
    </row>
    <row r="383" spans="1:6" ht="13.5" thickBot="1" x14ac:dyDescent="0.3">
      <c r="A383" s="65"/>
      <c r="C383" s="64"/>
      <c r="D383" s="64"/>
      <c r="F383" s="64"/>
    </row>
    <row r="384" spans="1:6" ht="13.5" thickBot="1" x14ac:dyDescent="0.3">
      <c r="A384" s="65"/>
      <c r="C384" s="64"/>
      <c r="D384" s="64"/>
      <c r="F384" s="64"/>
    </row>
    <row r="385" spans="1:6" ht="13.5" thickBot="1" x14ac:dyDescent="0.3">
      <c r="A385" s="65"/>
      <c r="C385" s="64"/>
      <c r="D385" s="64"/>
      <c r="F385" s="64"/>
    </row>
    <row r="386" spans="1:6" ht="13.5" thickBot="1" x14ac:dyDescent="0.3">
      <c r="A386" s="65"/>
      <c r="C386" s="64"/>
      <c r="D386" s="64"/>
      <c r="F386" s="64"/>
    </row>
    <row r="387" spans="1:6" ht="13.5" thickBot="1" x14ac:dyDescent="0.3">
      <c r="A387" s="65"/>
      <c r="C387" s="64"/>
      <c r="D387" s="64"/>
      <c r="F387" s="64"/>
    </row>
    <row r="388" spans="1:6" ht="13.5" thickBot="1" x14ac:dyDescent="0.3">
      <c r="A388" s="65"/>
      <c r="C388" s="64"/>
      <c r="D388" s="64"/>
      <c r="F388" s="64"/>
    </row>
    <row r="389" spans="1:6" ht="13.5" thickBot="1" x14ac:dyDescent="0.3">
      <c r="A389" s="65"/>
      <c r="C389" s="64"/>
      <c r="D389" s="64"/>
      <c r="F389" s="64"/>
    </row>
    <row r="390" spans="1:6" ht="13.5" thickBot="1" x14ac:dyDescent="0.3">
      <c r="A390" s="65"/>
      <c r="C390" s="64"/>
      <c r="D390" s="64"/>
      <c r="F390" s="64"/>
    </row>
    <row r="391" spans="1:6" ht="13.5" thickBot="1" x14ac:dyDescent="0.3">
      <c r="A391" s="65"/>
      <c r="C391" s="64"/>
      <c r="D391" s="64"/>
      <c r="F391" s="64"/>
    </row>
    <row r="392" spans="1:6" ht="13.5" thickBot="1" x14ac:dyDescent="0.3">
      <c r="A392" s="65"/>
      <c r="C392" s="64"/>
      <c r="D392" s="64"/>
      <c r="F392" s="64"/>
    </row>
    <row r="393" spans="1:6" ht="13.5" thickBot="1" x14ac:dyDescent="0.3">
      <c r="A393" s="65"/>
      <c r="C393" s="64"/>
      <c r="D393" s="64"/>
      <c r="F393" s="64"/>
    </row>
    <row r="394" spans="1:6" ht="13.5" thickBot="1" x14ac:dyDescent="0.3">
      <c r="A394" s="65"/>
      <c r="C394" s="64"/>
      <c r="D394" s="64"/>
      <c r="F394" s="64"/>
    </row>
    <row r="395" spans="1:6" ht="13.5" thickBot="1" x14ac:dyDescent="0.3">
      <c r="A395" s="65"/>
      <c r="C395" s="64"/>
      <c r="D395" s="64"/>
      <c r="F395" s="64"/>
    </row>
    <row r="396" spans="1:6" ht="13.5" thickBot="1" x14ac:dyDescent="0.3">
      <c r="A396" s="65"/>
      <c r="C396" s="64"/>
      <c r="D396" s="64"/>
      <c r="F396" s="64"/>
    </row>
    <row r="397" spans="1:6" ht="13.5" thickBot="1" x14ac:dyDescent="0.3">
      <c r="A397" s="65"/>
      <c r="C397" s="64"/>
      <c r="D397" s="64"/>
      <c r="F397" s="64"/>
    </row>
    <row r="398" spans="1:6" ht="13.5" thickBot="1" x14ac:dyDescent="0.3">
      <c r="A398" s="65"/>
      <c r="C398" s="64"/>
      <c r="D398" s="64"/>
      <c r="F398" s="64"/>
    </row>
    <row r="399" spans="1:6" ht="13.5" thickBot="1" x14ac:dyDescent="0.3">
      <c r="A399" s="65"/>
      <c r="C399" s="64"/>
      <c r="D399" s="64"/>
      <c r="F399" s="64"/>
    </row>
    <row r="400" spans="1:6" ht="13.5" thickBot="1" x14ac:dyDescent="0.3">
      <c r="A400" s="65"/>
      <c r="C400" s="64"/>
      <c r="D400" s="64"/>
      <c r="F400" s="64"/>
    </row>
    <row r="401" spans="1:6" ht="13.5" thickBot="1" x14ac:dyDescent="0.3">
      <c r="A401" s="65"/>
      <c r="C401" s="64"/>
      <c r="D401" s="64"/>
      <c r="F401" s="64"/>
    </row>
    <row r="402" spans="1:6" ht="13.5" thickBot="1" x14ac:dyDescent="0.3">
      <c r="A402" s="65"/>
      <c r="C402" s="64"/>
      <c r="D402" s="64"/>
      <c r="F402" s="64"/>
    </row>
    <row r="403" spans="1:6" ht="13.5" thickBot="1" x14ac:dyDescent="0.3">
      <c r="A403" s="65"/>
      <c r="C403" s="64"/>
      <c r="D403" s="64"/>
      <c r="F403" s="64"/>
    </row>
    <row r="404" spans="1:6" ht="13.5" thickBot="1" x14ac:dyDescent="0.3">
      <c r="A404" s="65"/>
      <c r="C404" s="64"/>
      <c r="D404" s="64"/>
      <c r="F404" s="64"/>
    </row>
    <row r="405" spans="1:6" ht="13.5" thickBot="1" x14ac:dyDescent="0.3">
      <c r="A405" s="65"/>
      <c r="C405" s="64"/>
      <c r="D405" s="64"/>
      <c r="F405" s="64"/>
    </row>
    <row r="406" spans="1:6" ht="13.5" thickBot="1" x14ac:dyDescent="0.3">
      <c r="A406" s="65"/>
      <c r="C406" s="64"/>
      <c r="D406" s="64"/>
      <c r="F406" s="64"/>
    </row>
    <row r="407" spans="1:6" ht="13.5" thickBot="1" x14ac:dyDescent="0.3">
      <c r="A407" s="65"/>
      <c r="C407" s="64"/>
      <c r="D407" s="64"/>
      <c r="F407" s="64"/>
    </row>
    <row r="408" spans="1:6" ht="13.5" thickBot="1" x14ac:dyDescent="0.3">
      <c r="A408" s="65"/>
      <c r="C408" s="64"/>
      <c r="D408" s="64"/>
      <c r="F408" s="64"/>
    </row>
    <row r="409" spans="1:6" ht="13.5" thickBot="1" x14ac:dyDescent="0.3">
      <c r="A409" s="65"/>
      <c r="C409" s="64"/>
      <c r="D409" s="64"/>
      <c r="F409" s="64"/>
    </row>
    <row r="410" spans="1:6" ht="13.5" thickBot="1" x14ac:dyDescent="0.3">
      <c r="A410" s="65"/>
      <c r="C410" s="64"/>
      <c r="D410" s="64"/>
      <c r="F410" s="64"/>
    </row>
    <row r="411" spans="1:6" ht="13.5" thickBot="1" x14ac:dyDescent="0.3">
      <c r="A411" s="65"/>
      <c r="C411" s="64"/>
      <c r="D411" s="64"/>
      <c r="F411" s="64"/>
    </row>
    <row r="412" spans="1:6" ht="13.5" thickBot="1" x14ac:dyDescent="0.3">
      <c r="A412" s="65"/>
      <c r="C412" s="64"/>
      <c r="D412" s="64"/>
      <c r="F412" s="64"/>
    </row>
    <row r="413" spans="1:6" ht="13.5" thickBot="1" x14ac:dyDescent="0.3">
      <c r="A413" s="65"/>
      <c r="C413" s="64"/>
      <c r="D413" s="64"/>
      <c r="F413" s="64"/>
    </row>
    <row r="414" spans="1:6" ht="13.5" thickBot="1" x14ac:dyDescent="0.3">
      <c r="A414" s="65"/>
      <c r="C414" s="64"/>
      <c r="D414" s="64"/>
      <c r="F414" s="64"/>
    </row>
    <row r="415" spans="1:6" ht="13.5" thickBot="1" x14ac:dyDescent="0.3">
      <c r="A415" s="65"/>
      <c r="C415" s="64"/>
      <c r="D415" s="64"/>
      <c r="F415" s="64"/>
    </row>
    <row r="416" spans="1:6" ht="13.5" thickBot="1" x14ac:dyDescent="0.3">
      <c r="A416" s="65"/>
      <c r="C416" s="64"/>
      <c r="D416" s="64"/>
      <c r="F416" s="64"/>
    </row>
    <row r="417" spans="1:6" ht="13.5" thickBot="1" x14ac:dyDescent="0.3">
      <c r="A417" s="65"/>
      <c r="C417" s="64"/>
      <c r="D417" s="64"/>
      <c r="F417" s="64"/>
    </row>
    <row r="418" spans="1:6" ht="13.5" thickBot="1" x14ac:dyDescent="0.3">
      <c r="A418" s="65"/>
      <c r="C418" s="64"/>
      <c r="D418" s="64"/>
      <c r="F418" s="64"/>
    </row>
    <row r="419" spans="1:6" ht="13.5" thickBot="1" x14ac:dyDescent="0.3">
      <c r="A419" s="65"/>
      <c r="C419" s="64"/>
      <c r="D419" s="64"/>
      <c r="F419" s="64"/>
    </row>
    <row r="420" spans="1:6" ht="13.5" thickBot="1" x14ac:dyDescent="0.3">
      <c r="A420" s="65"/>
      <c r="C420" s="64"/>
      <c r="D420" s="64"/>
      <c r="F420" s="64"/>
    </row>
    <row r="421" spans="1:6" ht="13.5" thickBot="1" x14ac:dyDescent="0.3">
      <c r="A421" s="65"/>
      <c r="C421" s="64"/>
      <c r="D421" s="64"/>
      <c r="F421" s="64"/>
    </row>
    <row r="422" spans="1:6" ht="13.5" thickBot="1" x14ac:dyDescent="0.3">
      <c r="A422" s="65"/>
      <c r="C422" s="64"/>
      <c r="D422" s="64"/>
      <c r="F422" s="64"/>
    </row>
    <row r="423" spans="1:6" ht="13.5" thickBot="1" x14ac:dyDescent="0.3">
      <c r="A423" s="65"/>
      <c r="C423" s="64"/>
      <c r="D423" s="64"/>
      <c r="F423" s="64"/>
    </row>
    <row r="424" spans="1:6" ht="13.5" thickBot="1" x14ac:dyDescent="0.3">
      <c r="A424" s="65"/>
      <c r="C424" s="64"/>
      <c r="D424" s="64"/>
      <c r="F424" s="64"/>
    </row>
    <row r="425" spans="1:6" ht="13.5" thickBot="1" x14ac:dyDescent="0.3">
      <c r="A425" s="65"/>
      <c r="C425" s="64"/>
      <c r="D425" s="64"/>
      <c r="F425" s="64"/>
    </row>
    <row r="426" spans="1:6" ht="13.5" thickBot="1" x14ac:dyDescent="0.3">
      <c r="A426" s="65"/>
      <c r="C426" s="64"/>
      <c r="D426" s="64"/>
      <c r="F426" s="64"/>
    </row>
    <row r="427" spans="1:6" ht="13.5" thickBot="1" x14ac:dyDescent="0.3">
      <c r="A427" s="65"/>
      <c r="C427" s="64"/>
      <c r="D427" s="64"/>
      <c r="F427" s="64"/>
    </row>
    <row r="428" spans="1:6" ht="13.5" thickBot="1" x14ac:dyDescent="0.3">
      <c r="A428" s="65"/>
      <c r="C428" s="64"/>
      <c r="D428" s="64"/>
      <c r="F428" s="64"/>
    </row>
    <row r="429" spans="1:6" ht="13.5" thickBot="1" x14ac:dyDescent="0.3">
      <c r="A429" s="65"/>
      <c r="C429" s="64"/>
      <c r="D429" s="64"/>
      <c r="F429" s="64"/>
    </row>
    <row r="430" spans="1:6" ht="13.5" thickBot="1" x14ac:dyDescent="0.3">
      <c r="A430" s="65"/>
      <c r="C430" s="64"/>
      <c r="D430" s="64"/>
      <c r="F430" s="64"/>
    </row>
    <row r="431" spans="1:6" ht="13.5" thickBot="1" x14ac:dyDescent="0.3">
      <c r="A431" s="65"/>
      <c r="C431" s="64"/>
      <c r="D431" s="64"/>
      <c r="F431" s="64"/>
    </row>
    <row r="432" spans="1:6" ht="13.5" thickBot="1" x14ac:dyDescent="0.3">
      <c r="A432" s="65"/>
      <c r="C432" s="64"/>
      <c r="D432" s="64"/>
      <c r="F432" s="64"/>
    </row>
    <row r="433" spans="1:6" ht="13.5" thickBot="1" x14ac:dyDescent="0.3">
      <c r="A433" s="65"/>
      <c r="C433" s="64"/>
      <c r="D433" s="64"/>
      <c r="F433" s="64"/>
    </row>
    <row r="434" spans="1:6" ht="13.5" thickBot="1" x14ac:dyDescent="0.3">
      <c r="A434" s="65"/>
      <c r="C434" s="64"/>
      <c r="D434" s="64"/>
      <c r="F434" s="64"/>
    </row>
    <row r="435" spans="1:6" ht="13.5" thickBot="1" x14ac:dyDescent="0.3">
      <c r="A435" s="65"/>
      <c r="C435" s="64"/>
      <c r="D435" s="64"/>
      <c r="F435" s="64"/>
    </row>
    <row r="436" spans="1:6" ht="13.5" thickBot="1" x14ac:dyDescent="0.3">
      <c r="A436" s="65"/>
      <c r="C436" s="64"/>
      <c r="D436" s="64"/>
      <c r="F436" s="64"/>
    </row>
    <row r="437" spans="1:6" ht="13.5" thickBot="1" x14ac:dyDescent="0.3">
      <c r="A437" s="65"/>
      <c r="C437" s="64"/>
      <c r="D437" s="64"/>
      <c r="F437" s="64"/>
    </row>
    <row r="438" spans="1:6" ht="13.5" thickBot="1" x14ac:dyDescent="0.3">
      <c r="A438" s="65"/>
      <c r="C438" s="64"/>
      <c r="D438" s="64"/>
      <c r="F438" s="64"/>
    </row>
    <row r="439" spans="1:6" ht="13.5" thickBot="1" x14ac:dyDescent="0.3">
      <c r="A439" s="65"/>
      <c r="C439" s="64"/>
      <c r="D439" s="64"/>
      <c r="F439" s="64"/>
    </row>
    <row r="440" spans="1:6" ht="13.5" thickBot="1" x14ac:dyDescent="0.3">
      <c r="A440" s="65"/>
      <c r="C440" s="64"/>
      <c r="D440" s="64"/>
      <c r="F440" s="64"/>
    </row>
    <row r="441" spans="1:6" ht="13.5" thickBot="1" x14ac:dyDescent="0.3">
      <c r="A441" s="65"/>
      <c r="C441" s="64"/>
      <c r="D441" s="64"/>
      <c r="F441" s="64"/>
    </row>
    <row r="442" spans="1:6" ht="13.5" thickBot="1" x14ac:dyDescent="0.3">
      <c r="A442" s="65"/>
      <c r="C442" s="64"/>
      <c r="D442" s="64"/>
      <c r="F442" s="64"/>
    </row>
    <row r="443" spans="1:6" ht="13.5" thickBot="1" x14ac:dyDescent="0.3">
      <c r="A443" s="65"/>
      <c r="C443" s="64"/>
      <c r="D443" s="64"/>
      <c r="F443" s="64"/>
    </row>
    <row r="444" spans="1:6" ht="13.5" thickBot="1" x14ac:dyDescent="0.3">
      <c r="A444" s="65"/>
      <c r="C444" s="64"/>
      <c r="D444" s="64"/>
      <c r="F444" s="64"/>
    </row>
    <row r="445" spans="1:6" ht="13.5" thickBot="1" x14ac:dyDescent="0.3">
      <c r="A445" s="65"/>
      <c r="C445" s="64"/>
      <c r="D445" s="64"/>
      <c r="F445" s="64"/>
    </row>
    <row r="446" spans="1:6" ht="13.5" thickBot="1" x14ac:dyDescent="0.3">
      <c r="A446" s="65"/>
      <c r="C446" s="64"/>
      <c r="D446" s="64"/>
      <c r="F446" s="64"/>
    </row>
    <row r="447" spans="1:6" ht="13.5" thickBot="1" x14ac:dyDescent="0.3">
      <c r="A447" s="65"/>
      <c r="C447" s="64"/>
      <c r="D447" s="64"/>
      <c r="F447" s="64"/>
    </row>
    <row r="448" spans="1:6" ht="13.5" thickBot="1" x14ac:dyDescent="0.3">
      <c r="A448" s="65"/>
      <c r="C448" s="64"/>
      <c r="D448" s="64"/>
      <c r="F448" s="64"/>
    </row>
    <row r="449" spans="1:6" ht="13.5" thickBot="1" x14ac:dyDescent="0.3">
      <c r="A449" s="65"/>
      <c r="C449" s="64"/>
      <c r="D449" s="64"/>
      <c r="F449" s="64"/>
    </row>
    <row r="450" spans="1:6" ht="13.5" thickBot="1" x14ac:dyDescent="0.3">
      <c r="A450" s="65"/>
      <c r="C450" s="64"/>
      <c r="D450" s="64"/>
      <c r="F450" s="64"/>
    </row>
    <row r="451" spans="1:6" ht="13.5" thickBot="1" x14ac:dyDescent="0.3">
      <c r="A451" s="65"/>
      <c r="C451" s="64"/>
      <c r="D451" s="64"/>
      <c r="F451" s="64"/>
    </row>
    <row r="452" spans="1:6" ht="13.5" thickBot="1" x14ac:dyDescent="0.3">
      <c r="A452" s="65"/>
      <c r="C452" s="64"/>
      <c r="D452" s="64"/>
      <c r="F452" s="64"/>
    </row>
    <row r="453" spans="1:6" ht="13.5" thickBot="1" x14ac:dyDescent="0.3">
      <c r="A453" s="65"/>
      <c r="C453" s="64"/>
      <c r="D453" s="64"/>
      <c r="F453" s="64"/>
    </row>
    <row r="454" spans="1:6" ht="13.5" thickBot="1" x14ac:dyDescent="0.3">
      <c r="A454" s="65"/>
      <c r="C454" s="64"/>
      <c r="D454" s="64"/>
      <c r="F454" s="64"/>
    </row>
    <row r="455" spans="1:6" ht="13.5" thickBot="1" x14ac:dyDescent="0.3">
      <c r="A455" s="65"/>
      <c r="C455" s="64"/>
      <c r="D455" s="64"/>
      <c r="F455" s="64"/>
    </row>
    <row r="456" spans="1:6" ht="13.5" thickBot="1" x14ac:dyDescent="0.3">
      <c r="A456" s="65"/>
      <c r="C456" s="64"/>
      <c r="D456" s="64"/>
      <c r="F456" s="64"/>
    </row>
    <row r="457" spans="1:6" ht="13.5" thickBot="1" x14ac:dyDescent="0.3">
      <c r="A457" s="65"/>
      <c r="C457" s="64"/>
      <c r="D457" s="64"/>
      <c r="F457" s="64"/>
    </row>
    <row r="458" spans="1:6" ht="13.5" thickBot="1" x14ac:dyDescent="0.3">
      <c r="A458" s="65"/>
      <c r="C458" s="64"/>
      <c r="D458" s="64"/>
      <c r="F458" s="64"/>
    </row>
    <row r="459" spans="1:6" ht="13.5" thickBot="1" x14ac:dyDescent="0.3">
      <c r="A459" s="65"/>
      <c r="C459" s="64"/>
      <c r="D459" s="64"/>
      <c r="F459" s="64"/>
    </row>
    <row r="460" spans="1:6" ht="13.5" thickBot="1" x14ac:dyDescent="0.3">
      <c r="A460" s="65"/>
      <c r="C460" s="64"/>
      <c r="D460" s="64"/>
      <c r="F460" s="64"/>
    </row>
    <row r="461" spans="1:6" ht="13.5" thickBot="1" x14ac:dyDescent="0.3">
      <c r="A461" s="65"/>
      <c r="C461" s="64"/>
      <c r="D461" s="64"/>
      <c r="F461" s="64"/>
    </row>
    <row r="462" spans="1:6" ht="13.5" thickBot="1" x14ac:dyDescent="0.3">
      <c r="A462" s="65"/>
      <c r="C462" s="64"/>
      <c r="D462" s="64"/>
      <c r="F462" s="64"/>
    </row>
    <row r="463" spans="1:6" ht="13.5" thickBot="1" x14ac:dyDescent="0.3">
      <c r="A463" s="65"/>
      <c r="C463" s="64"/>
      <c r="D463" s="64"/>
      <c r="F463" s="64"/>
    </row>
    <row r="464" spans="1:6" ht="13.5" thickBot="1" x14ac:dyDescent="0.3">
      <c r="A464" s="65"/>
      <c r="C464" s="64"/>
      <c r="D464" s="64"/>
      <c r="F464" s="64"/>
    </row>
    <row r="465" spans="1:6" ht="13.5" thickBot="1" x14ac:dyDescent="0.3">
      <c r="A465" s="65"/>
      <c r="C465" s="64"/>
      <c r="D465" s="64"/>
      <c r="F465" s="64"/>
    </row>
    <row r="466" spans="1:6" ht="13.5" thickBot="1" x14ac:dyDescent="0.3">
      <c r="A466" s="65"/>
      <c r="C466" s="64"/>
      <c r="D466" s="64"/>
      <c r="F466" s="64"/>
    </row>
    <row r="467" spans="1:6" ht="13.5" thickBot="1" x14ac:dyDescent="0.3">
      <c r="A467" s="65"/>
      <c r="C467" s="64"/>
      <c r="D467" s="64"/>
      <c r="F467" s="64"/>
    </row>
    <row r="468" spans="1:6" ht="13.5" thickBot="1" x14ac:dyDescent="0.3">
      <c r="A468" s="65"/>
      <c r="C468" s="64"/>
      <c r="D468" s="64"/>
      <c r="F468" s="64"/>
    </row>
    <row r="469" spans="1:6" ht="13.5" thickBot="1" x14ac:dyDescent="0.3">
      <c r="A469" s="65"/>
      <c r="C469" s="64"/>
      <c r="D469" s="64"/>
      <c r="F469" s="64"/>
    </row>
    <row r="470" spans="1:6" ht="13.5" thickBot="1" x14ac:dyDescent="0.3">
      <c r="A470" s="65"/>
      <c r="C470" s="64"/>
      <c r="D470" s="64"/>
      <c r="F470" s="64"/>
    </row>
    <row r="471" spans="1:6" ht="13.5" thickBot="1" x14ac:dyDescent="0.3">
      <c r="A471" s="65"/>
      <c r="C471" s="64"/>
      <c r="D471" s="64"/>
      <c r="F471" s="64"/>
    </row>
    <row r="472" spans="1:6" ht="13.5" thickBot="1" x14ac:dyDescent="0.3">
      <c r="A472" s="65"/>
      <c r="C472" s="64"/>
      <c r="D472" s="64"/>
      <c r="F472" s="64"/>
    </row>
    <row r="473" spans="1:6" ht="13.5" thickBot="1" x14ac:dyDescent="0.3">
      <c r="A473" s="65"/>
      <c r="C473" s="64"/>
      <c r="D473" s="64"/>
      <c r="F473" s="64"/>
    </row>
    <row r="474" spans="1:6" ht="13.5" thickBot="1" x14ac:dyDescent="0.3">
      <c r="A474" s="65"/>
      <c r="C474" s="64"/>
      <c r="D474" s="64"/>
      <c r="F474" s="64"/>
    </row>
    <row r="475" spans="1:6" ht="13.5" thickBot="1" x14ac:dyDescent="0.3">
      <c r="A475" s="65"/>
      <c r="C475" s="64"/>
      <c r="D475" s="64"/>
      <c r="F475" s="64"/>
    </row>
    <row r="476" spans="1:6" ht="13.5" thickBot="1" x14ac:dyDescent="0.3">
      <c r="A476" s="65"/>
      <c r="C476" s="64"/>
      <c r="D476" s="64"/>
      <c r="F476" s="64"/>
    </row>
    <row r="477" spans="1:6" ht="13.5" thickBot="1" x14ac:dyDescent="0.3">
      <c r="A477" s="65"/>
      <c r="C477" s="64"/>
      <c r="D477" s="64"/>
      <c r="F477" s="64"/>
    </row>
    <row r="478" spans="1:6" ht="13.5" thickBot="1" x14ac:dyDescent="0.3">
      <c r="A478" s="65"/>
      <c r="C478" s="64"/>
      <c r="D478" s="64"/>
      <c r="F478" s="64"/>
    </row>
    <row r="479" spans="1:6" ht="13.5" thickBot="1" x14ac:dyDescent="0.3">
      <c r="A479" s="65"/>
      <c r="C479" s="64"/>
      <c r="D479" s="64"/>
      <c r="F479" s="64"/>
    </row>
    <row r="480" spans="1:6" ht="13.5" thickBot="1" x14ac:dyDescent="0.3">
      <c r="A480" s="65"/>
      <c r="C480" s="64"/>
      <c r="D480" s="64"/>
      <c r="F480" s="64"/>
    </row>
    <row r="481" spans="1:6" ht="13.5" thickBot="1" x14ac:dyDescent="0.3">
      <c r="A481" s="65"/>
      <c r="C481" s="64"/>
      <c r="D481" s="64"/>
      <c r="F481" s="64"/>
    </row>
    <row r="482" spans="1:6" ht="13.5" thickBot="1" x14ac:dyDescent="0.3">
      <c r="A482" s="65"/>
      <c r="C482" s="64"/>
      <c r="D482" s="64"/>
      <c r="F482" s="64"/>
    </row>
    <row r="483" spans="1:6" ht="13.5" thickBot="1" x14ac:dyDescent="0.3">
      <c r="A483" s="65"/>
      <c r="C483" s="64"/>
      <c r="D483" s="64"/>
      <c r="F483" s="64"/>
    </row>
    <row r="484" spans="1:6" ht="13.5" thickBot="1" x14ac:dyDescent="0.3">
      <c r="A484" s="65"/>
      <c r="C484" s="64"/>
      <c r="D484" s="64"/>
      <c r="F484" s="64"/>
    </row>
    <row r="485" spans="1:6" ht="13.5" thickBot="1" x14ac:dyDescent="0.3">
      <c r="A485" s="65"/>
      <c r="C485" s="64"/>
      <c r="D485" s="64"/>
      <c r="F485" s="64"/>
    </row>
    <row r="486" spans="1:6" ht="13.5" thickBot="1" x14ac:dyDescent="0.3">
      <c r="A486" s="65"/>
      <c r="C486" s="64"/>
      <c r="D486" s="64"/>
      <c r="F486" s="64"/>
    </row>
    <row r="487" spans="1:6" ht="13.5" thickBot="1" x14ac:dyDescent="0.3">
      <c r="A487" s="65"/>
      <c r="C487" s="64"/>
      <c r="D487" s="64"/>
      <c r="F487" s="64"/>
    </row>
    <row r="488" spans="1:6" ht="13.5" thickBot="1" x14ac:dyDescent="0.3">
      <c r="A488" s="65"/>
      <c r="C488" s="64"/>
      <c r="D488" s="64"/>
      <c r="F488" s="64"/>
    </row>
    <row r="489" spans="1:6" ht="13.5" thickBot="1" x14ac:dyDescent="0.3">
      <c r="A489" s="65"/>
      <c r="C489" s="64"/>
      <c r="D489" s="64"/>
      <c r="F489" s="64"/>
    </row>
    <row r="490" spans="1:6" ht="13.5" thickBot="1" x14ac:dyDescent="0.3">
      <c r="A490" s="65"/>
      <c r="C490" s="64"/>
      <c r="D490" s="64"/>
      <c r="F490" s="64"/>
    </row>
    <row r="491" spans="1:6" ht="13.5" thickBot="1" x14ac:dyDescent="0.3">
      <c r="A491" s="65"/>
      <c r="C491" s="64"/>
      <c r="D491" s="64"/>
      <c r="F491" s="64"/>
    </row>
    <row r="492" spans="1:6" ht="13.5" thickBot="1" x14ac:dyDescent="0.3">
      <c r="A492" s="65"/>
      <c r="C492" s="64"/>
      <c r="D492" s="64"/>
      <c r="F492" s="64"/>
    </row>
    <row r="493" spans="1:6" ht="13.5" thickBot="1" x14ac:dyDescent="0.3">
      <c r="A493" s="65"/>
      <c r="C493" s="64"/>
      <c r="D493" s="64"/>
      <c r="F493" s="64"/>
    </row>
    <row r="494" spans="1:6" ht="13.5" thickBot="1" x14ac:dyDescent="0.3">
      <c r="A494" s="65"/>
      <c r="C494" s="64"/>
      <c r="D494" s="64"/>
      <c r="F494" s="64"/>
    </row>
    <row r="495" spans="1:6" ht="13.5" thickBot="1" x14ac:dyDescent="0.3">
      <c r="A495" s="65"/>
      <c r="C495" s="64"/>
      <c r="D495" s="64"/>
      <c r="F495" s="64"/>
    </row>
    <row r="496" spans="1:6" ht="13.5" thickBot="1" x14ac:dyDescent="0.3">
      <c r="A496" s="65"/>
      <c r="C496" s="64"/>
      <c r="D496" s="64"/>
      <c r="F496" s="64"/>
    </row>
    <row r="497" spans="1:6" ht="13.5" thickBot="1" x14ac:dyDescent="0.3">
      <c r="A497" s="65"/>
      <c r="C497" s="64"/>
      <c r="D497" s="64"/>
      <c r="F497" s="64"/>
    </row>
    <row r="498" spans="1:6" ht="13.5" thickBot="1" x14ac:dyDescent="0.3">
      <c r="A498" s="65"/>
      <c r="C498" s="64"/>
      <c r="D498" s="64"/>
      <c r="F498" s="64"/>
    </row>
    <row r="499" spans="1:6" ht="13.5" thickBot="1" x14ac:dyDescent="0.3">
      <c r="A499" s="65"/>
      <c r="C499" s="64"/>
      <c r="D499" s="64"/>
      <c r="F499" s="64"/>
    </row>
    <row r="500" spans="1:6" ht="13.5" thickBot="1" x14ac:dyDescent="0.3">
      <c r="A500" s="65"/>
      <c r="C500" s="64"/>
      <c r="D500" s="64"/>
      <c r="F500" s="64"/>
    </row>
    <row r="501" spans="1:6" ht="13.5" thickBot="1" x14ac:dyDescent="0.3">
      <c r="A501" s="65"/>
      <c r="C501" s="64"/>
      <c r="D501" s="64"/>
      <c r="F501" s="64"/>
    </row>
    <row r="502" spans="1:6" ht="13.5" thickBot="1" x14ac:dyDescent="0.3">
      <c r="A502" s="65"/>
      <c r="C502" s="64"/>
      <c r="D502" s="64"/>
      <c r="F502" s="64"/>
    </row>
    <row r="503" spans="1:6" ht="13.5" thickBot="1" x14ac:dyDescent="0.3">
      <c r="A503" s="65"/>
      <c r="C503" s="64"/>
      <c r="D503" s="64"/>
      <c r="F503" s="64"/>
    </row>
    <row r="504" spans="1:6" ht="13.5" thickBot="1" x14ac:dyDescent="0.3">
      <c r="A504" s="65"/>
      <c r="C504" s="64"/>
      <c r="D504" s="64"/>
      <c r="F504" s="64"/>
    </row>
    <row r="505" spans="1:6" ht="13.5" thickBot="1" x14ac:dyDescent="0.3">
      <c r="A505" s="65"/>
      <c r="C505" s="64"/>
      <c r="D505" s="64"/>
      <c r="F505" s="64"/>
    </row>
    <row r="506" spans="1:6" ht="13.5" thickBot="1" x14ac:dyDescent="0.3">
      <c r="A506" s="65"/>
      <c r="C506" s="64"/>
      <c r="D506" s="64"/>
      <c r="F506" s="64"/>
    </row>
    <row r="507" spans="1:6" ht="13.5" thickBot="1" x14ac:dyDescent="0.3">
      <c r="A507" s="65"/>
      <c r="C507" s="64"/>
      <c r="D507" s="64"/>
      <c r="F507" s="64"/>
    </row>
    <row r="508" spans="1:6" ht="13.5" thickBot="1" x14ac:dyDescent="0.3">
      <c r="A508" s="65"/>
      <c r="C508" s="64"/>
      <c r="D508" s="64"/>
      <c r="F508" s="64"/>
    </row>
    <row r="509" spans="1:6" ht="13.5" thickBot="1" x14ac:dyDescent="0.3">
      <c r="A509" s="65"/>
      <c r="C509" s="64"/>
      <c r="D509" s="64"/>
      <c r="F509" s="64"/>
    </row>
    <row r="510" spans="1:6" ht="13.5" thickBot="1" x14ac:dyDescent="0.3">
      <c r="A510" s="65"/>
      <c r="C510" s="64"/>
      <c r="D510" s="64"/>
      <c r="F510" s="64"/>
    </row>
    <row r="511" spans="1:6" ht="13.5" thickBot="1" x14ac:dyDescent="0.3">
      <c r="A511" s="65"/>
      <c r="C511" s="64"/>
      <c r="D511" s="64"/>
      <c r="F511" s="64"/>
    </row>
    <row r="512" spans="1:6" ht="13.5" thickBot="1" x14ac:dyDescent="0.3">
      <c r="A512" s="65"/>
      <c r="C512" s="64"/>
      <c r="D512" s="64"/>
      <c r="F512" s="64"/>
    </row>
    <row r="513" spans="1:6" ht="13.5" thickBot="1" x14ac:dyDescent="0.3">
      <c r="A513" s="65"/>
      <c r="C513" s="64"/>
      <c r="D513" s="64"/>
      <c r="F513" s="64"/>
    </row>
    <row r="514" spans="1:6" ht="13.5" thickBot="1" x14ac:dyDescent="0.3">
      <c r="A514" s="65"/>
      <c r="C514" s="64"/>
      <c r="D514" s="64"/>
      <c r="F514" s="64"/>
    </row>
    <row r="515" spans="1:6" ht="13.5" thickBot="1" x14ac:dyDescent="0.3">
      <c r="A515" s="65"/>
      <c r="C515" s="64"/>
      <c r="D515" s="64"/>
      <c r="F515" s="64"/>
    </row>
    <row r="516" spans="1:6" ht="13.5" thickBot="1" x14ac:dyDescent="0.3">
      <c r="A516" s="65"/>
      <c r="C516" s="64"/>
      <c r="D516" s="64"/>
      <c r="F516" s="64"/>
    </row>
    <row r="517" spans="1:6" ht="13.5" thickBot="1" x14ac:dyDescent="0.3">
      <c r="A517" s="65"/>
      <c r="C517" s="64"/>
      <c r="D517" s="64"/>
      <c r="F517" s="64"/>
    </row>
    <row r="518" spans="1:6" ht="13.5" thickBot="1" x14ac:dyDescent="0.3">
      <c r="A518" s="65"/>
      <c r="C518" s="64"/>
      <c r="D518" s="64"/>
      <c r="F518" s="64"/>
    </row>
    <row r="519" spans="1:6" ht="13.5" thickBot="1" x14ac:dyDescent="0.3">
      <c r="A519" s="65"/>
      <c r="C519" s="64"/>
      <c r="D519" s="64"/>
      <c r="F519" s="64"/>
    </row>
    <row r="520" spans="1:6" ht="13.5" thickBot="1" x14ac:dyDescent="0.3">
      <c r="A520" s="65"/>
      <c r="C520" s="64"/>
      <c r="D520" s="64"/>
      <c r="F520" s="64"/>
    </row>
    <row r="521" spans="1:6" ht="13.5" thickBot="1" x14ac:dyDescent="0.3">
      <c r="A521" s="65"/>
      <c r="C521" s="64"/>
      <c r="D521" s="64"/>
      <c r="F521" s="64"/>
    </row>
    <row r="522" spans="1:6" ht="13.5" thickBot="1" x14ac:dyDescent="0.3">
      <c r="A522" s="65"/>
      <c r="C522" s="64"/>
      <c r="D522" s="64"/>
      <c r="F522" s="64"/>
    </row>
    <row r="523" spans="1:6" ht="13.5" thickBot="1" x14ac:dyDescent="0.3">
      <c r="A523" s="65"/>
      <c r="C523" s="64"/>
      <c r="D523" s="64"/>
      <c r="F523" s="64"/>
    </row>
    <row r="524" spans="1:6" ht="13.5" thickBot="1" x14ac:dyDescent="0.3">
      <c r="A524" s="65"/>
      <c r="C524" s="64"/>
      <c r="D524" s="64"/>
      <c r="F524" s="64"/>
    </row>
    <row r="525" spans="1:6" ht="13.5" thickBot="1" x14ac:dyDescent="0.3">
      <c r="A525" s="65"/>
      <c r="C525" s="64"/>
      <c r="D525" s="64"/>
      <c r="F525" s="64"/>
    </row>
    <row r="526" spans="1:6" ht="13.5" thickBot="1" x14ac:dyDescent="0.3">
      <c r="A526" s="65"/>
      <c r="C526" s="64"/>
      <c r="D526" s="64"/>
      <c r="F526" s="64"/>
    </row>
    <row r="527" spans="1:6" ht="13.5" thickBot="1" x14ac:dyDescent="0.3">
      <c r="A527" s="65"/>
      <c r="C527" s="64"/>
      <c r="D527" s="64"/>
      <c r="F527" s="64"/>
    </row>
    <row r="528" spans="1:6" ht="13.5" thickBot="1" x14ac:dyDescent="0.3">
      <c r="A528" s="65"/>
      <c r="C528" s="64"/>
      <c r="D528" s="64"/>
      <c r="F528" s="64"/>
    </row>
    <row r="529" spans="1:6" ht="13.5" thickBot="1" x14ac:dyDescent="0.3">
      <c r="A529" s="65"/>
      <c r="C529" s="64"/>
      <c r="D529" s="64"/>
      <c r="F529" s="64"/>
    </row>
    <row r="530" spans="1:6" ht="13.5" thickBot="1" x14ac:dyDescent="0.3">
      <c r="A530" s="65"/>
      <c r="C530" s="64"/>
      <c r="D530" s="64"/>
      <c r="F530" s="64"/>
    </row>
    <row r="531" spans="1:6" ht="13.5" thickBot="1" x14ac:dyDescent="0.3">
      <c r="A531" s="65"/>
      <c r="C531" s="64"/>
      <c r="D531" s="64"/>
      <c r="F531" s="64"/>
    </row>
    <row r="532" spans="1:6" ht="13.5" thickBot="1" x14ac:dyDescent="0.3">
      <c r="A532" s="65"/>
      <c r="C532" s="64"/>
      <c r="D532" s="64"/>
      <c r="F532" s="64"/>
    </row>
    <row r="533" spans="1:6" ht="13.5" thickBot="1" x14ac:dyDescent="0.3">
      <c r="A533" s="65"/>
      <c r="C533" s="64"/>
      <c r="D533" s="64"/>
      <c r="F533" s="64"/>
    </row>
    <row r="534" spans="1:6" ht="13.5" thickBot="1" x14ac:dyDescent="0.3">
      <c r="A534" s="65"/>
      <c r="C534" s="64"/>
      <c r="D534" s="64"/>
      <c r="F534" s="64"/>
    </row>
    <row r="535" spans="1:6" ht="13.5" thickBot="1" x14ac:dyDescent="0.3">
      <c r="A535" s="65"/>
      <c r="C535" s="64"/>
      <c r="D535" s="64"/>
      <c r="F535" s="64"/>
    </row>
    <row r="536" spans="1:6" ht="13.5" thickBot="1" x14ac:dyDescent="0.3">
      <c r="A536" s="65"/>
      <c r="C536" s="64"/>
      <c r="D536" s="64"/>
      <c r="F536" s="64"/>
    </row>
    <row r="537" spans="1:6" ht="13.5" thickBot="1" x14ac:dyDescent="0.3">
      <c r="A537" s="65"/>
      <c r="C537" s="64"/>
      <c r="D537" s="64"/>
      <c r="F537" s="64"/>
    </row>
    <row r="538" spans="1:6" ht="13.5" thickBot="1" x14ac:dyDescent="0.3">
      <c r="A538" s="65"/>
      <c r="C538" s="64"/>
      <c r="D538" s="64"/>
      <c r="F538" s="64"/>
    </row>
    <row r="539" spans="1:6" ht="13.5" thickBot="1" x14ac:dyDescent="0.3">
      <c r="A539" s="65"/>
      <c r="C539" s="64"/>
      <c r="D539" s="64"/>
      <c r="F539" s="64"/>
    </row>
    <row r="540" spans="1:6" ht="13.5" thickBot="1" x14ac:dyDescent="0.3">
      <c r="A540" s="65"/>
      <c r="C540" s="64"/>
      <c r="D540" s="64"/>
      <c r="F540" s="64"/>
    </row>
    <row r="541" spans="1:6" ht="13.5" thickBot="1" x14ac:dyDescent="0.3">
      <c r="A541" s="65"/>
      <c r="C541" s="64"/>
      <c r="D541" s="64"/>
      <c r="F541" s="64"/>
    </row>
    <row r="542" spans="1:6" ht="13.5" thickBot="1" x14ac:dyDescent="0.3">
      <c r="A542" s="65"/>
      <c r="C542" s="64"/>
      <c r="D542" s="64"/>
      <c r="F542" s="64"/>
    </row>
    <row r="543" spans="1:6" ht="13.5" thickBot="1" x14ac:dyDescent="0.3">
      <c r="A543" s="65"/>
      <c r="C543" s="64"/>
      <c r="D543" s="64"/>
      <c r="F543" s="64"/>
    </row>
    <row r="544" spans="1:6" ht="13.5" thickBot="1" x14ac:dyDescent="0.3">
      <c r="A544" s="65"/>
      <c r="C544" s="64"/>
      <c r="D544" s="64"/>
      <c r="F544" s="64"/>
    </row>
    <row r="545" spans="1:6" ht="13.5" thickBot="1" x14ac:dyDescent="0.3">
      <c r="A545" s="65"/>
      <c r="C545" s="64"/>
      <c r="D545" s="64"/>
      <c r="F545" s="64"/>
    </row>
    <row r="546" spans="1:6" ht="13.5" thickBot="1" x14ac:dyDescent="0.3">
      <c r="A546" s="65"/>
      <c r="C546" s="64"/>
      <c r="D546" s="64"/>
      <c r="F546" s="64"/>
    </row>
    <row r="547" spans="1:6" ht="13.5" thickBot="1" x14ac:dyDescent="0.3">
      <c r="A547" s="65"/>
      <c r="C547" s="64"/>
      <c r="D547" s="64"/>
      <c r="F547" s="64"/>
    </row>
    <row r="548" spans="1:6" ht="13.5" thickBot="1" x14ac:dyDescent="0.3">
      <c r="A548" s="65"/>
      <c r="C548" s="64"/>
      <c r="D548" s="64"/>
      <c r="F548" s="64"/>
    </row>
    <row r="549" spans="1:6" ht="13.5" thickBot="1" x14ac:dyDescent="0.3">
      <c r="A549" s="65"/>
      <c r="C549" s="64"/>
      <c r="D549" s="64"/>
      <c r="F549" s="64"/>
    </row>
    <row r="550" spans="1:6" ht="13.5" thickBot="1" x14ac:dyDescent="0.3">
      <c r="A550" s="65"/>
      <c r="C550" s="64"/>
      <c r="D550" s="64"/>
      <c r="F550" s="64"/>
    </row>
    <row r="551" spans="1:6" ht="13.5" thickBot="1" x14ac:dyDescent="0.3">
      <c r="A551" s="65"/>
      <c r="C551" s="64"/>
      <c r="D551" s="64"/>
      <c r="F551" s="64"/>
    </row>
    <row r="552" spans="1:6" ht="13.5" thickBot="1" x14ac:dyDescent="0.3">
      <c r="A552" s="65"/>
      <c r="C552" s="64"/>
      <c r="D552" s="64"/>
      <c r="F552" s="64"/>
    </row>
    <row r="553" spans="1:6" ht="13.5" thickBot="1" x14ac:dyDescent="0.3">
      <c r="A553" s="65"/>
      <c r="C553" s="64"/>
      <c r="D553" s="64"/>
      <c r="F553" s="64"/>
    </row>
    <row r="554" spans="1:6" ht="13.5" thickBot="1" x14ac:dyDescent="0.3">
      <c r="A554" s="65"/>
      <c r="C554" s="64"/>
      <c r="D554" s="64"/>
      <c r="F554" s="64"/>
    </row>
    <row r="555" spans="1:6" ht="13.5" thickBot="1" x14ac:dyDescent="0.3">
      <c r="A555" s="65"/>
      <c r="C555" s="64"/>
      <c r="D555" s="64"/>
      <c r="F555" s="64"/>
    </row>
    <row r="556" spans="1:6" ht="13.5" thickBot="1" x14ac:dyDescent="0.3">
      <c r="A556" s="65"/>
      <c r="C556" s="64"/>
      <c r="D556" s="64"/>
      <c r="F556" s="64"/>
    </row>
    <row r="557" spans="1:6" ht="13.5" thickBot="1" x14ac:dyDescent="0.3">
      <c r="A557" s="65"/>
      <c r="C557" s="64"/>
      <c r="D557" s="64"/>
      <c r="F557" s="64"/>
    </row>
    <row r="558" spans="1:6" ht="13.5" thickBot="1" x14ac:dyDescent="0.3">
      <c r="A558" s="65"/>
      <c r="C558" s="64"/>
      <c r="D558" s="64"/>
      <c r="F558" s="64"/>
    </row>
    <row r="559" spans="1:6" ht="13.5" thickBot="1" x14ac:dyDescent="0.3">
      <c r="A559" s="65"/>
      <c r="C559" s="64"/>
      <c r="D559" s="64"/>
      <c r="F559" s="64"/>
    </row>
    <row r="560" spans="1:6" ht="13.5" thickBot="1" x14ac:dyDescent="0.3">
      <c r="A560" s="65"/>
      <c r="C560" s="64"/>
      <c r="D560" s="64"/>
      <c r="F560" s="64"/>
    </row>
    <row r="561" spans="1:6" ht="13.5" thickBot="1" x14ac:dyDescent="0.3">
      <c r="A561" s="65"/>
      <c r="C561" s="64"/>
      <c r="D561" s="64"/>
      <c r="F561" s="64"/>
    </row>
    <row r="562" spans="1:6" ht="13.5" thickBot="1" x14ac:dyDescent="0.3">
      <c r="A562" s="65"/>
      <c r="C562" s="64"/>
      <c r="D562" s="64"/>
      <c r="F562" s="64"/>
    </row>
    <row r="563" spans="1:6" ht="13.5" thickBot="1" x14ac:dyDescent="0.3">
      <c r="A563" s="65"/>
      <c r="C563" s="64"/>
      <c r="D563" s="64"/>
      <c r="F563" s="64"/>
    </row>
    <row r="564" spans="1:6" ht="13.5" thickBot="1" x14ac:dyDescent="0.3">
      <c r="A564" s="65"/>
      <c r="C564" s="64"/>
      <c r="D564" s="64"/>
      <c r="F564" s="64"/>
    </row>
    <row r="565" spans="1:6" ht="13.5" thickBot="1" x14ac:dyDescent="0.3">
      <c r="A565" s="65"/>
      <c r="C565" s="64"/>
      <c r="D565" s="64"/>
      <c r="F565" s="64"/>
    </row>
    <row r="566" spans="1:6" ht="13.5" thickBot="1" x14ac:dyDescent="0.3">
      <c r="A566" s="65"/>
      <c r="C566" s="64"/>
      <c r="D566" s="64"/>
      <c r="F566" s="64"/>
    </row>
    <row r="567" spans="1:6" ht="13.5" thickBot="1" x14ac:dyDescent="0.3">
      <c r="A567" s="65"/>
      <c r="C567" s="64"/>
      <c r="D567" s="64"/>
      <c r="F567" s="64"/>
    </row>
    <row r="568" spans="1:6" ht="13.5" thickBot="1" x14ac:dyDescent="0.3">
      <c r="A568" s="65"/>
      <c r="C568" s="64"/>
      <c r="D568" s="64"/>
      <c r="F568" s="64"/>
    </row>
    <row r="569" spans="1:6" ht="13.5" thickBot="1" x14ac:dyDescent="0.3">
      <c r="A569" s="65"/>
      <c r="C569" s="64"/>
      <c r="D569" s="64"/>
      <c r="F569" s="64"/>
    </row>
    <row r="570" spans="1:6" ht="13.5" thickBot="1" x14ac:dyDescent="0.3">
      <c r="A570" s="65"/>
      <c r="C570" s="64"/>
      <c r="D570" s="64"/>
      <c r="F570" s="64"/>
    </row>
    <row r="571" spans="1:6" ht="13.5" thickBot="1" x14ac:dyDescent="0.3">
      <c r="A571" s="65"/>
      <c r="C571" s="64"/>
      <c r="D571" s="64"/>
      <c r="F571" s="64"/>
    </row>
    <row r="572" spans="1:6" ht="13.5" thickBot="1" x14ac:dyDescent="0.3">
      <c r="A572" s="65"/>
      <c r="C572" s="64"/>
      <c r="D572" s="64"/>
      <c r="F572" s="64"/>
    </row>
    <row r="573" spans="1:6" ht="13.5" thickBot="1" x14ac:dyDescent="0.3">
      <c r="A573" s="65"/>
      <c r="C573" s="64"/>
      <c r="D573" s="64"/>
      <c r="F573" s="64"/>
    </row>
    <row r="574" spans="1:6" ht="13.5" thickBot="1" x14ac:dyDescent="0.3">
      <c r="A574" s="65"/>
      <c r="C574" s="64"/>
      <c r="D574" s="64"/>
      <c r="F574" s="64"/>
    </row>
    <row r="575" spans="1:6" ht="13.5" thickBot="1" x14ac:dyDescent="0.3">
      <c r="A575" s="65"/>
      <c r="C575" s="64"/>
      <c r="D575" s="64"/>
      <c r="F575" s="64"/>
    </row>
    <row r="576" spans="1:6" ht="13.5" thickBot="1" x14ac:dyDescent="0.3">
      <c r="A576" s="65"/>
      <c r="C576" s="64"/>
      <c r="D576" s="64"/>
      <c r="F576" s="64"/>
    </row>
    <row r="577" spans="1:6" ht="13.5" thickBot="1" x14ac:dyDescent="0.3">
      <c r="A577" s="65"/>
      <c r="C577" s="64"/>
      <c r="D577" s="64"/>
      <c r="F577" s="64"/>
    </row>
    <row r="578" spans="1:6" ht="13.5" thickBot="1" x14ac:dyDescent="0.3">
      <c r="A578" s="65"/>
      <c r="C578" s="64"/>
      <c r="D578" s="64"/>
      <c r="F578" s="64"/>
    </row>
    <row r="579" spans="1:6" ht="13.5" thickBot="1" x14ac:dyDescent="0.3">
      <c r="A579" s="65"/>
      <c r="C579" s="64"/>
      <c r="D579" s="64"/>
      <c r="F579" s="64"/>
    </row>
    <row r="580" spans="1:6" ht="13.5" thickBot="1" x14ac:dyDescent="0.3">
      <c r="A580" s="65"/>
      <c r="C580" s="64"/>
      <c r="D580" s="64"/>
      <c r="F580" s="64"/>
    </row>
    <row r="581" spans="1:6" ht="13.5" thickBot="1" x14ac:dyDescent="0.3">
      <c r="A581" s="65"/>
      <c r="C581" s="64"/>
      <c r="D581" s="64"/>
      <c r="F581" s="64"/>
    </row>
    <row r="582" spans="1:6" ht="13.5" thickBot="1" x14ac:dyDescent="0.3">
      <c r="A582" s="65"/>
      <c r="C582" s="64"/>
      <c r="D582" s="64"/>
      <c r="F582" s="64"/>
    </row>
    <row r="583" spans="1:6" ht="13.5" thickBot="1" x14ac:dyDescent="0.3">
      <c r="A583" s="65"/>
      <c r="C583" s="64"/>
      <c r="D583" s="64"/>
      <c r="F583" s="64"/>
    </row>
    <row r="584" spans="1:6" ht="13.5" thickBot="1" x14ac:dyDescent="0.3">
      <c r="A584" s="65"/>
      <c r="C584" s="64"/>
      <c r="D584" s="64"/>
      <c r="F584" s="64"/>
    </row>
    <row r="585" spans="1:6" ht="13.5" thickBot="1" x14ac:dyDescent="0.3">
      <c r="A585" s="65"/>
      <c r="C585" s="64"/>
      <c r="D585" s="64"/>
      <c r="F585" s="64"/>
    </row>
    <row r="586" spans="1:6" ht="13.5" thickBot="1" x14ac:dyDescent="0.3">
      <c r="A586" s="65"/>
      <c r="C586" s="64"/>
      <c r="D586" s="64"/>
      <c r="F586" s="64"/>
    </row>
    <row r="587" spans="1:6" ht="13.5" thickBot="1" x14ac:dyDescent="0.3">
      <c r="A587" s="65"/>
      <c r="C587" s="64"/>
      <c r="D587" s="64"/>
      <c r="F587" s="64"/>
    </row>
    <row r="588" spans="1:6" ht="13.5" thickBot="1" x14ac:dyDescent="0.3">
      <c r="A588" s="65"/>
      <c r="C588" s="64"/>
      <c r="D588" s="64"/>
      <c r="F588" s="64"/>
    </row>
    <row r="589" spans="1:6" ht="13.5" thickBot="1" x14ac:dyDescent="0.3">
      <c r="A589" s="65"/>
      <c r="C589" s="64"/>
      <c r="D589" s="64"/>
      <c r="F589" s="64"/>
    </row>
    <row r="590" spans="1:6" ht="13.5" thickBot="1" x14ac:dyDescent="0.3">
      <c r="A590" s="65"/>
      <c r="C590" s="64"/>
      <c r="D590" s="64"/>
      <c r="F590" s="64"/>
    </row>
    <row r="591" spans="1:6" ht="13.5" thickBot="1" x14ac:dyDescent="0.3">
      <c r="A591" s="65"/>
      <c r="C591" s="64"/>
      <c r="D591" s="64"/>
      <c r="F591" s="64"/>
    </row>
    <row r="592" spans="1:6" ht="13.5" thickBot="1" x14ac:dyDescent="0.3">
      <c r="A592" s="65"/>
      <c r="C592" s="64"/>
      <c r="D592" s="64"/>
      <c r="F592" s="64"/>
    </row>
    <row r="593" spans="1:6" ht="13.5" thickBot="1" x14ac:dyDescent="0.3">
      <c r="A593" s="65"/>
      <c r="C593" s="64"/>
      <c r="D593" s="64"/>
      <c r="F593" s="64"/>
    </row>
    <row r="594" spans="1:6" ht="13.5" thickBot="1" x14ac:dyDescent="0.3">
      <c r="A594" s="65"/>
      <c r="C594" s="64"/>
      <c r="D594" s="64"/>
      <c r="F594" s="64"/>
    </row>
    <row r="595" spans="1:6" ht="13.5" thickBot="1" x14ac:dyDescent="0.3">
      <c r="A595" s="65"/>
      <c r="C595" s="64"/>
      <c r="D595" s="64"/>
      <c r="F595" s="64"/>
    </row>
    <row r="596" spans="1:6" ht="13.5" thickBot="1" x14ac:dyDescent="0.3">
      <c r="A596" s="65"/>
      <c r="C596" s="64"/>
      <c r="D596" s="64"/>
      <c r="F596" s="64"/>
    </row>
    <row r="597" spans="1:6" ht="13.5" thickBot="1" x14ac:dyDescent="0.3">
      <c r="A597" s="65"/>
      <c r="C597" s="64"/>
      <c r="D597" s="64"/>
      <c r="F597" s="64"/>
    </row>
    <row r="598" spans="1:6" ht="13.5" thickBot="1" x14ac:dyDescent="0.3">
      <c r="A598" s="65"/>
      <c r="C598" s="64"/>
      <c r="D598" s="64"/>
      <c r="F598" s="64"/>
    </row>
    <row r="599" spans="1:6" ht="13.5" thickBot="1" x14ac:dyDescent="0.3">
      <c r="A599" s="65"/>
      <c r="C599" s="64"/>
      <c r="D599" s="64"/>
      <c r="F599" s="64"/>
    </row>
    <row r="600" spans="1:6" ht="13.5" thickBot="1" x14ac:dyDescent="0.3">
      <c r="A600" s="65"/>
      <c r="C600" s="64"/>
      <c r="D600" s="64"/>
      <c r="F600" s="64"/>
    </row>
    <row r="601" spans="1:6" ht="13.5" thickBot="1" x14ac:dyDescent="0.3">
      <c r="A601" s="65"/>
      <c r="C601" s="64"/>
      <c r="D601" s="64"/>
      <c r="F601" s="64"/>
    </row>
    <row r="602" spans="1:6" ht="13.5" thickBot="1" x14ac:dyDescent="0.3">
      <c r="A602" s="65"/>
      <c r="C602" s="64"/>
      <c r="D602" s="64"/>
      <c r="F602" s="64"/>
    </row>
    <row r="603" spans="1:6" ht="13.5" thickBot="1" x14ac:dyDescent="0.3">
      <c r="A603" s="65"/>
      <c r="C603" s="64"/>
      <c r="D603" s="64"/>
      <c r="F603" s="64"/>
    </row>
    <row r="604" spans="1:6" ht="13.5" thickBot="1" x14ac:dyDescent="0.3">
      <c r="A604" s="65"/>
      <c r="C604" s="64"/>
      <c r="D604" s="64"/>
      <c r="F604" s="64"/>
    </row>
    <row r="605" spans="1:6" ht="13.5" thickBot="1" x14ac:dyDescent="0.3">
      <c r="A605" s="65"/>
      <c r="C605" s="64"/>
      <c r="D605" s="64"/>
      <c r="F605" s="64"/>
    </row>
    <row r="606" spans="1:6" ht="13.5" thickBot="1" x14ac:dyDescent="0.3">
      <c r="A606" s="65"/>
      <c r="C606" s="64"/>
      <c r="D606" s="64"/>
      <c r="F606" s="64"/>
    </row>
    <row r="607" spans="1:6" ht="13.5" thickBot="1" x14ac:dyDescent="0.3">
      <c r="A607" s="65"/>
      <c r="C607" s="64"/>
      <c r="D607" s="64"/>
      <c r="F607" s="64"/>
    </row>
    <row r="608" spans="1:6" ht="13.5" thickBot="1" x14ac:dyDescent="0.3">
      <c r="A608" s="65"/>
      <c r="C608" s="64"/>
      <c r="D608" s="64"/>
      <c r="F608" s="64"/>
    </row>
    <row r="609" spans="1:6" ht="13.5" thickBot="1" x14ac:dyDescent="0.3">
      <c r="A609" s="65"/>
      <c r="C609" s="64"/>
      <c r="D609" s="64"/>
      <c r="F609" s="64"/>
    </row>
    <row r="610" spans="1:6" ht="13.5" thickBot="1" x14ac:dyDescent="0.3">
      <c r="A610" s="65"/>
      <c r="C610" s="64"/>
      <c r="D610" s="64"/>
      <c r="F610" s="64"/>
    </row>
    <row r="611" spans="1:6" ht="13.5" thickBot="1" x14ac:dyDescent="0.3">
      <c r="A611" s="65"/>
      <c r="C611" s="64"/>
      <c r="D611" s="64"/>
      <c r="F611" s="64"/>
    </row>
    <row r="612" spans="1:6" ht="13.5" thickBot="1" x14ac:dyDescent="0.3">
      <c r="A612" s="65"/>
      <c r="C612" s="64"/>
      <c r="D612" s="64"/>
      <c r="F612" s="64"/>
    </row>
    <row r="613" spans="1:6" ht="13.5" thickBot="1" x14ac:dyDescent="0.3">
      <c r="A613" s="65"/>
      <c r="C613" s="64"/>
      <c r="D613" s="64"/>
      <c r="F613" s="64"/>
    </row>
    <row r="614" spans="1:6" ht="13.5" thickBot="1" x14ac:dyDescent="0.3">
      <c r="A614" s="65"/>
      <c r="C614" s="64"/>
      <c r="D614" s="64"/>
      <c r="F614" s="64"/>
    </row>
    <row r="615" spans="1:6" ht="13.5" thickBot="1" x14ac:dyDescent="0.3">
      <c r="A615" s="65"/>
      <c r="C615" s="64"/>
      <c r="D615" s="64"/>
      <c r="F615" s="64"/>
    </row>
    <row r="616" spans="1:6" ht="13.5" thickBot="1" x14ac:dyDescent="0.3">
      <c r="A616" s="65"/>
      <c r="C616" s="64"/>
      <c r="D616" s="64"/>
      <c r="F616" s="64"/>
    </row>
    <row r="617" spans="1:6" ht="13.5" thickBot="1" x14ac:dyDescent="0.3">
      <c r="A617" s="65"/>
      <c r="C617" s="64"/>
      <c r="D617" s="64"/>
      <c r="F617" s="64"/>
    </row>
    <row r="618" spans="1:6" ht="13.5" thickBot="1" x14ac:dyDescent="0.3">
      <c r="A618" s="65"/>
      <c r="C618" s="64"/>
      <c r="D618" s="64"/>
      <c r="F618" s="64"/>
    </row>
    <row r="619" spans="1:6" ht="13.5" thickBot="1" x14ac:dyDescent="0.3">
      <c r="A619" s="65"/>
      <c r="C619" s="64"/>
      <c r="D619" s="64"/>
      <c r="F619" s="64"/>
    </row>
    <row r="620" spans="1:6" ht="13.5" thickBot="1" x14ac:dyDescent="0.3">
      <c r="A620" s="65"/>
      <c r="C620" s="64"/>
      <c r="D620" s="64"/>
      <c r="F620" s="64"/>
    </row>
    <row r="621" spans="1:6" ht="13.5" thickBot="1" x14ac:dyDescent="0.3">
      <c r="A621" s="65"/>
      <c r="C621" s="64"/>
      <c r="D621" s="64"/>
      <c r="F621" s="64"/>
    </row>
    <row r="622" spans="1:6" ht="13.5" thickBot="1" x14ac:dyDescent="0.3">
      <c r="A622" s="65"/>
      <c r="C622" s="64"/>
      <c r="D622" s="64"/>
      <c r="F622" s="64"/>
    </row>
    <row r="623" spans="1:6" ht="13.5" thickBot="1" x14ac:dyDescent="0.3">
      <c r="A623" s="65"/>
      <c r="C623" s="64"/>
      <c r="D623" s="64"/>
      <c r="F623" s="64"/>
    </row>
    <row r="624" spans="1:6" ht="13.5" thickBot="1" x14ac:dyDescent="0.3">
      <c r="A624" s="65"/>
      <c r="C624" s="64"/>
      <c r="D624" s="64"/>
      <c r="F624" s="64"/>
    </row>
    <row r="625" spans="1:6" ht="13.5" thickBot="1" x14ac:dyDescent="0.3">
      <c r="A625" s="65"/>
      <c r="C625" s="64"/>
      <c r="D625" s="64"/>
      <c r="F625" s="64"/>
    </row>
    <row r="626" spans="1:6" ht="13.5" thickBot="1" x14ac:dyDescent="0.3">
      <c r="A626" s="65"/>
      <c r="C626" s="64"/>
      <c r="D626" s="64"/>
      <c r="F626" s="64"/>
    </row>
    <row r="627" spans="1:6" ht="13.5" thickBot="1" x14ac:dyDescent="0.3">
      <c r="A627" s="65"/>
      <c r="C627" s="64"/>
      <c r="D627" s="64"/>
      <c r="F627" s="64"/>
    </row>
    <row r="628" spans="1:6" ht="13.5" thickBot="1" x14ac:dyDescent="0.3">
      <c r="A628" s="65"/>
      <c r="C628" s="64"/>
      <c r="D628" s="64"/>
      <c r="F628" s="64"/>
    </row>
    <row r="629" spans="1:6" ht="13.5" thickBot="1" x14ac:dyDescent="0.3">
      <c r="A629" s="65"/>
      <c r="C629" s="64"/>
      <c r="D629" s="64"/>
      <c r="F629" s="64"/>
    </row>
    <row r="630" spans="1:6" ht="13.5" thickBot="1" x14ac:dyDescent="0.3">
      <c r="A630" s="65"/>
      <c r="C630" s="64"/>
      <c r="D630" s="64"/>
      <c r="F630" s="64"/>
    </row>
    <row r="631" spans="1:6" ht="13.5" thickBot="1" x14ac:dyDescent="0.3">
      <c r="A631" s="65"/>
      <c r="C631" s="64"/>
      <c r="D631" s="64"/>
      <c r="F631" s="64"/>
    </row>
    <row r="632" spans="1:6" ht="13.5" thickBot="1" x14ac:dyDescent="0.3">
      <c r="A632" s="65"/>
      <c r="C632" s="64"/>
      <c r="D632" s="64"/>
      <c r="F632" s="64"/>
    </row>
    <row r="633" spans="1:6" ht="13.5" thickBot="1" x14ac:dyDescent="0.3">
      <c r="A633" s="65"/>
      <c r="C633" s="64"/>
      <c r="D633" s="64"/>
      <c r="F633" s="64"/>
    </row>
    <row r="634" spans="1:6" ht="13.5" thickBot="1" x14ac:dyDescent="0.3">
      <c r="A634" s="65"/>
      <c r="C634" s="64"/>
      <c r="D634" s="64"/>
      <c r="F634" s="64"/>
    </row>
    <row r="635" spans="1:6" ht="13.5" thickBot="1" x14ac:dyDescent="0.3">
      <c r="A635" s="65"/>
      <c r="C635" s="64"/>
      <c r="D635" s="64"/>
      <c r="F635" s="64"/>
    </row>
    <row r="636" spans="1:6" ht="13.5" thickBot="1" x14ac:dyDescent="0.3">
      <c r="A636" s="65"/>
      <c r="C636" s="64"/>
      <c r="D636" s="64"/>
      <c r="F636" s="64"/>
    </row>
    <row r="637" spans="1:6" ht="13.5" thickBot="1" x14ac:dyDescent="0.3">
      <c r="A637" s="65"/>
      <c r="C637" s="64"/>
      <c r="D637" s="64"/>
      <c r="F637" s="64"/>
    </row>
    <row r="638" spans="1:6" ht="13.5" thickBot="1" x14ac:dyDescent="0.3">
      <c r="A638" s="65"/>
      <c r="C638" s="64"/>
      <c r="D638" s="64"/>
      <c r="F638" s="64"/>
    </row>
    <row r="639" spans="1:6" ht="13.5" thickBot="1" x14ac:dyDescent="0.3">
      <c r="A639" s="65"/>
      <c r="C639" s="64"/>
      <c r="D639" s="64"/>
      <c r="F639" s="64"/>
    </row>
    <row r="640" spans="1:6" ht="13.5" thickBot="1" x14ac:dyDescent="0.3">
      <c r="A640" s="65"/>
      <c r="C640" s="64"/>
      <c r="D640" s="64"/>
      <c r="F640" s="64"/>
    </row>
    <row r="641" spans="1:6" ht="13.5" thickBot="1" x14ac:dyDescent="0.3">
      <c r="A641" s="65"/>
      <c r="C641" s="64"/>
      <c r="D641" s="64"/>
      <c r="F641" s="64"/>
    </row>
    <row r="642" spans="1:6" ht="13.5" thickBot="1" x14ac:dyDescent="0.3">
      <c r="A642" s="65"/>
      <c r="C642" s="64"/>
      <c r="D642" s="64"/>
      <c r="F642" s="64"/>
    </row>
    <row r="643" spans="1:6" ht="13.5" thickBot="1" x14ac:dyDescent="0.3">
      <c r="A643" s="65"/>
      <c r="C643" s="64"/>
      <c r="D643" s="64"/>
      <c r="F643" s="64"/>
    </row>
    <row r="644" spans="1:6" ht="13.5" thickBot="1" x14ac:dyDescent="0.3">
      <c r="A644" s="65"/>
      <c r="C644" s="64"/>
      <c r="D644" s="64"/>
      <c r="F644" s="64"/>
    </row>
    <row r="645" spans="1:6" ht="13.5" thickBot="1" x14ac:dyDescent="0.3">
      <c r="A645" s="65"/>
      <c r="C645" s="64"/>
      <c r="D645" s="64"/>
      <c r="F645" s="64"/>
    </row>
    <row r="646" spans="1:6" ht="13.5" thickBot="1" x14ac:dyDescent="0.3">
      <c r="A646" s="65"/>
      <c r="C646" s="64"/>
      <c r="D646" s="64"/>
      <c r="F646" s="64"/>
    </row>
    <row r="647" spans="1:6" ht="13.5" thickBot="1" x14ac:dyDescent="0.3">
      <c r="A647" s="65"/>
      <c r="C647" s="64"/>
      <c r="D647" s="64"/>
      <c r="F647" s="64"/>
    </row>
    <row r="648" spans="1:6" ht="13.5" thickBot="1" x14ac:dyDescent="0.3">
      <c r="A648" s="65"/>
      <c r="C648" s="64"/>
      <c r="D648" s="64"/>
      <c r="F648" s="64"/>
    </row>
    <row r="649" spans="1:6" ht="13.5" thickBot="1" x14ac:dyDescent="0.3">
      <c r="A649" s="65"/>
      <c r="C649" s="64"/>
      <c r="D649" s="64"/>
      <c r="F649" s="64"/>
    </row>
    <row r="650" spans="1:6" ht="13.5" thickBot="1" x14ac:dyDescent="0.3">
      <c r="A650" s="65"/>
      <c r="C650" s="64"/>
      <c r="D650" s="64"/>
      <c r="F650" s="64"/>
    </row>
    <row r="651" spans="1:6" ht="13.5" thickBot="1" x14ac:dyDescent="0.3">
      <c r="A651" s="65"/>
      <c r="C651" s="64"/>
      <c r="D651" s="64"/>
      <c r="F651" s="64"/>
    </row>
    <row r="652" spans="1:6" ht="13.5" thickBot="1" x14ac:dyDescent="0.3">
      <c r="A652" s="65"/>
      <c r="C652" s="64"/>
      <c r="D652" s="64"/>
      <c r="F652" s="64"/>
    </row>
    <row r="653" spans="1:6" ht="13.5" thickBot="1" x14ac:dyDescent="0.3">
      <c r="A653" s="65"/>
      <c r="C653" s="64"/>
      <c r="D653" s="64"/>
      <c r="F653" s="64"/>
    </row>
    <row r="654" spans="1:6" ht="13.5" thickBot="1" x14ac:dyDescent="0.3">
      <c r="A654" s="65"/>
      <c r="C654" s="64"/>
      <c r="D654" s="64"/>
      <c r="F654" s="64"/>
    </row>
    <row r="655" spans="1:6" ht="13.5" thickBot="1" x14ac:dyDescent="0.3">
      <c r="A655" s="65"/>
      <c r="C655" s="64"/>
      <c r="D655" s="64"/>
      <c r="F655" s="64"/>
    </row>
    <row r="656" spans="1:6" ht="13.5" thickBot="1" x14ac:dyDescent="0.3">
      <c r="A656" s="65"/>
      <c r="C656" s="64"/>
      <c r="D656" s="64"/>
      <c r="F656" s="64"/>
    </row>
    <row r="657" spans="1:6" ht="13.5" thickBot="1" x14ac:dyDescent="0.3">
      <c r="A657" s="65"/>
      <c r="C657" s="64"/>
      <c r="D657" s="64"/>
      <c r="F657" s="64"/>
    </row>
    <row r="658" spans="1:6" ht="13.5" thickBot="1" x14ac:dyDescent="0.3">
      <c r="A658" s="65"/>
      <c r="C658" s="64"/>
      <c r="D658" s="64"/>
      <c r="F658" s="64"/>
    </row>
    <row r="659" spans="1:6" ht="13.5" thickBot="1" x14ac:dyDescent="0.3">
      <c r="A659" s="65"/>
      <c r="C659" s="64"/>
      <c r="D659" s="64"/>
      <c r="F659" s="64"/>
    </row>
    <row r="660" spans="1:6" ht="13.5" thickBot="1" x14ac:dyDescent="0.3">
      <c r="A660" s="65"/>
      <c r="C660" s="64"/>
      <c r="D660" s="64"/>
      <c r="F660" s="64"/>
    </row>
    <row r="661" spans="1:6" ht="13.5" thickBot="1" x14ac:dyDescent="0.3">
      <c r="A661" s="65"/>
      <c r="C661" s="64"/>
      <c r="D661" s="64"/>
      <c r="F661" s="64"/>
    </row>
    <row r="662" spans="1:6" ht="13.5" thickBot="1" x14ac:dyDescent="0.3">
      <c r="A662" s="65"/>
      <c r="C662" s="64"/>
      <c r="D662" s="64"/>
      <c r="F662" s="64"/>
    </row>
    <row r="663" spans="1:6" ht="13.5" thickBot="1" x14ac:dyDescent="0.3">
      <c r="A663" s="65"/>
      <c r="C663" s="64"/>
      <c r="D663" s="64"/>
      <c r="F663" s="64"/>
    </row>
    <row r="664" spans="1:6" ht="13.5" thickBot="1" x14ac:dyDescent="0.3">
      <c r="A664" s="65"/>
      <c r="C664" s="64"/>
      <c r="D664" s="64"/>
      <c r="F664" s="64"/>
    </row>
    <row r="665" spans="1:6" ht="13.5" thickBot="1" x14ac:dyDescent="0.3">
      <c r="A665" s="65"/>
      <c r="C665" s="64"/>
      <c r="D665" s="64"/>
      <c r="F665" s="64"/>
    </row>
    <row r="666" spans="1:6" ht="13.5" thickBot="1" x14ac:dyDescent="0.3">
      <c r="A666" s="65"/>
      <c r="C666" s="64"/>
      <c r="D666" s="64"/>
      <c r="F666" s="64"/>
    </row>
    <row r="667" spans="1:6" ht="13.5" thickBot="1" x14ac:dyDescent="0.3">
      <c r="A667" s="65"/>
      <c r="C667" s="64"/>
      <c r="D667" s="64"/>
      <c r="F667" s="64"/>
    </row>
    <row r="668" spans="1:6" ht="13.5" thickBot="1" x14ac:dyDescent="0.3">
      <c r="A668" s="65"/>
      <c r="C668" s="64"/>
      <c r="D668" s="64"/>
      <c r="F668" s="64"/>
    </row>
    <row r="669" spans="1:6" ht="13.5" thickBot="1" x14ac:dyDescent="0.3">
      <c r="A669" s="65"/>
      <c r="C669" s="64"/>
      <c r="D669" s="64"/>
      <c r="F669" s="64"/>
    </row>
    <row r="670" spans="1:6" ht="13.5" thickBot="1" x14ac:dyDescent="0.3">
      <c r="A670" s="65"/>
      <c r="C670" s="64"/>
      <c r="D670" s="64"/>
      <c r="F670" s="64"/>
    </row>
    <row r="671" spans="1:6" ht="13.5" thickBot="1" x14ac:dyDescent="0.3">
      <c r="A671" s="65"/>
      <c r="C671" s="64"/>
      <c r="D671" s="64"/>
      <c r="F671" s="64"/>
    </row>
    <row r="672" spans="1:6" ht="13.5" thickBot="1" x14ac:dyDescent="0.3">
      <c r="A672" s="65"/>
      <c r="C672" s="64"/>
      <c r="D672" s="64"/>
      <c r="F672" s="64"/>
    </row>
    <row r="673" spans="1:6" ht="13.5" thickBot="1" x14ac:dyDescent="0.3">
      <c r="A673" s="65"/>
      <c r="C673" s="64"/>
      <c r="D673" s="64"/>
      <c r="F673" s="64"/>
    </row>
    <row r="674" spans="1:6" ht="13.5" thickBot="1" x14ac:dyDescent="0.3">
      <c r="A674" s="65"/>
      <c r="C674" s="64"/>
      <c r="D674" s="64"/>
      <c r="F674" s="64"/>
    </row>
    <row r="675" spans="1:6" ht="13.5" thickBot="1" x14ac:dyDescent="0.3">
      <c r="A675" s="65"/>
      <c r="C675" s="64"/>
      <c r="D675" s="64"/>
      <c r="F675" s="64"/>
    </row>
    <row r="676" spans="1:6" ht="13.5" thickBot="1" x14ac:dyDescent="0.3">
      <c r="A676" s="65"/>
      <c r="C676" s="64"/>
      <c r="D676" s="64"/>
      <c r="F676" s="64"/>
    </row>
    <row r="677" spans="1:6" ht="13.5" thickBot="1" x14ac:dyDescent="0.3">
      <c r="A677" s="65"/>
      <c r="C677" s="64"/>
      <c r="D677" s="64"/>
      <c r="F677" s="64"/>
    </row>
    <row r="678" spans="1:6" ht="13.5" thickBot="1" x14ac:dyDescent="0.3">
      <c r="A678" s="65"/>
      <c r="C678" s="64"/>
      <c r="D678" s="64"/>
      <c r="F678" s="64"/>
    </row>
    <row r="679" spans="1:6" ht="13.5" thickBot="1" x14ac:dyDescent="0.3">
      <c r="A679" s="65"/>
      <c r="C679" s="64"/>
      <c r="D679" s="64"/>
      <c r="F679" s="64"/>
    </row>
    <row r="680" spans="1:6" ht="13.5" thickBot="1" x14ac:dyDescent="0.3">
      <c r="A680" s="65"/>
      <c r="C680" s="64"/>
      <c r="D680" s="64"/>
      <c r="F680" s="64"/>
    </row>
    <row r="681" spans="1:6" ht="13.5" thickBot="1" x14ac:dyDescent="0.3">
      <c r="A681" s="65"/>
      <c r="C681" s="64"/>
      <c r="D681" s="64"/>
      <c r="F681" s="64"/>
    </row>
    <row r="682" spans="1:6" ht="13.5" thickBot="1" x14ac:dyDescent="0.3">
      <c r="A682" s="65"/>
      <c r="C682" s="64"/>
      <c r="D682" s="64"/>
      <c r="F682" s="64"/>
    </row>
    <row r="683" spans="1:6" ht="13.5" thickBot="1" x14ac:dyDescent="0.3">
      <c r="A683" s="65"/>
      <c r="C683" s="64"/>
      <c r="D683" s="64"/>
      <c r="F683" s="64"/>
    </row>
    <row r="684" spans="1:6" ht="13.5" thickBot="1" x14ac:dyDescent="0.3">
      <c r="A684" s="65"/>
      <c r="C684" s="64"/>
      <c r="D684" s="64"/>
      <c r="F684" s="64"/>
    </row>
    <row r="685" spans="1:6" ht="13.5" thickBot="1" x14ac:dyDescent="0.3">
      <c r="A685" s="65"/>
      <c r="C685" s="64"/>
      <c r="D685" s="64"/>
      <c r="F685" s="64"/>
    </row>
    <row r="686" spans="1:6" ht="13.5" thickBot="1" x14ac:dyDescent="0.3">
      <c r="A686" s="65"/>
      <c r="C686" s="64"/>
      <c r="D686" s="64"/>
      <c r="F686" s="64"/>
    </row>
    <row r="687" spans="1:6" ht="13.5" thickBot="1" x14ac:dyDescent="0.3">
      <c r="A687" s="65"/>
      <c r="C687" s="64"/>
      <c r="D687" s="64"/>
      <c r="F687" s="64"/>
    </row>
    <row r="688" spans="1:6" ht="13.5" thickBot="1" x14ac:dyDescent="0.3">
      <c r="A688" s="65"/>
      <c r="C688" s="64"/>
      <c r="D688" s="64"/>
      <c r="F688" s="64"/>
    </row>
    <row r="689" spans="1:6" ht="13.5" thickBot="1" x14ac:dyDescent="0.3">
      <c r="A689" s="65"/>
      <c r="C689" s="64"/>
      <c r="D689" s="64"/>
      <c r="F689" s="64"/>
    </row>
    <row r="690" spans="1:6" ht="13.5" thickBot="1" x14ac:dyDescent="0.3">
      <c r="A690" s="65"/>
      <c r="C690" s="64"/>
      <c r="D690" s="64"/>
      <c r="F690" s="64"/>
    </row>
    <row r="691" spans="1:6" ht="13.5" thickBot="1" x14ac:dyDescent="0.3">
      <c r="A691" s="65"/>
      <c r="C691" s="64"/>
      <c r="D691" s="64"/>
      <c r="F691" s="64"/>
    </row>
    <row r="692" spans="1:6" ht="13.5" thickBot="1" x14ac:dyDescent="0.3">
      <c r="A692" s="65"/>
      <c r="C692" s="64"/>
      <c r="D692" s="64"/>
      <c r="F692" s="64"/>
    </row>
    <row r="693" spans="1:6" ht="13.5" thickBot="1" x14ac:dyDescent="0.3">
      <c r="A693" s="65"/>
      <c r="C693" s="64"/>
      <c r="D693" s="64"/>
      <c r="F693" s="64"/>
    </row>
    <row r="694" spans="1:6" ht="13.5" thickBot="1" x14ac:dyDescent="0.3">
      <c r="A694" s="65"/>
      <c r="C694" s="64"/>
      <c r="D694" s="64"/>
      <c r="F694" s="64"/>
    </row>
    <row r="695" spans="1:6" ht="13.5" thickBot="1" x14ac:dyDescent="0.3">
      <c r="A695" s="65"/>
      <c r="C695" s="64"/>
      <c r="D695" s="64"/>
      <c r="F695" s="64"/>
    </row>
    <row r="696" spans="1:6" ht="13.5" thickBot="1" x14ac:dyDescent="0.3">
      <c r="A696" s="65"/>
      <c r="C696" s="64"/>
      <c r="D696" s="64"/>
      <c r="F696" s="64"/>
    </row>
    <row r="697" spans="1:6" ht="13.5" thickBot="1" x14ac:dyDescent="0.3">
      <c r="A697" s="65"/>
      <c r="C697" s="64"/>
      <c r="D697" s="64"/>
      <c r="F697" s="64"/>
    </row>
    <row r="698" spans="1:6" ht="13.5" thickBot="1" x14ac:dyDescent="0.3">
      <c r="A698" s="65"/>
      <c r="C698" s="64"/>
      <c r="D698" s="64"/>
      <c r="F698" s="64"/>
    </row>
    <row r="699" spans="1:6" ht="13.5" thickBot="1" x14ac:dyDescent="0.3">
      <c r="A699" s="65"/>
      <c r="C699" s="64"/>
      <c r="D699" s="64"/>
      <c r="F699" s="64"/>
    </row>
    <row r="700" spans="1:6" ht="13.5" thickBot="1" x14ac:dyDescent="0.3">
      <c r="A700" s="65"/>
      <c r="C700" s="64"/>
      <c r="D700" s="64"/>
      <c r="F700" s="64"/>
    </row>
    <row r="701" spans="1:6" ht="13.5" thickBot="1" x14ac:dyDescent="0.3">
      <c r="A701" s="65"/>
      <c r="C701" s="64"/>
      <c r="D701" s="64"/>
      <c r="F701" s="64"/>
    </row>
    <row r="702" spans="1:6" ht="13.5" thickBot="1" x14ac:dyDescent="0.3">
      <c r="A702" s="65"/>
      <c r="C702" s="64"/>
      <c r="D702" s="64"/>
      <c r="F702" s="64"/>
    </row>
    <row r="703" spans="1:6" ht="13.5" thickBot="1" x14ac:dyDescent="0.3">
      <c r="A703" s="65"/>
      <c r="C703" s="64"/>
      <c r="D703" s="64"/>
      <c r="F703" s="64"/>
    </row>
    <row r="704" spans="1:6" ht="13.5" thickBot="1" x14ac:dyDescent="0.3">
      <c r="A704" s="65"/>
      <c r="C704" s="64"/>
      <c r="D704" s="64"/>
      <c r="F704" s="64"/>
    </row>
    <row r="705" spans="1:6" ht="13.5" thickBot="1" x14ac:dyDescent="0.3">
      <c r="A705" s="65"/>
      <c r="C705" s="64"/>
      <c r="D705" s="64"/>
      <c r="F705" s="64"/>
    </row>
    <row r="706" spans="1:6" ht="13.5" thickBot="1" x14ac:dyDescent="0.3">
      <c r="A706" s="65"/>
      <c r="C706" s="64"/>
      <c r="D706" s="64"/>
      <c r="F706" s="64"/>
    </row>
    <row r="707" spans="1:6" ht="13.5" thickBot="1" x14ac:dyDescent="0.3">
      <c r="A707" s="65"/>
      <c r="C707" s="64"/>
      <c r="D707" s="64"/>
      <c r="F707" s="64"/>
    </row>
    <row r="708" spans="1:6" ht="13.5" thickBot="1" x14ac:dyDescent="0.3">
      <c r="A708" s="65"/>
      <c r="C708" s="64"/>
      <c r="D708" s="64"/>
      <c r="F708" s="64"/>
    </row>
    <row r="709" spans="1:6" ht="13.5" thickBot="1" x14ac:dyDescent="0.3">
      <c r="A709" s="65"/>
      <c r="C709" s="64"/>
      <c r="D709" s="64"/>
      <c r="F709" s="64"/>
    </row>
    <row r="710" spans="1:6" ht="13.5" thickBot="1" x14ac:dyDescent="0.3">
      <c r="A710" s="65"/>
      <c r="C710" s="64"/>
      <c r="D710" s="64"/>
      <c r="F710" s="64"/>
    </row>
    <row r="711" spans="1:6" ht="13.5" thickBot="1" x14ac:dyDescent="0.3">
      <c r="A711" s="65"/>
      <c r="C711" s="64"/>
      <c r="D711" s="64"/>
      <c r="F711" s="64"/>
    </row>
    <row r="712" spans="1:6" ht="13.5" thickBot="1" x14ac:dyDescent="0.3">
      <c r="A712" s="65"/>
      <c r="C712" s="64"/>
      <c r="D712" s="64"/>
      <c r="F712" s="64"/>
    </row>
    <row r="713" spans="1:6" ht="13.5" thickBot="1" x14ac:dyDescent="0.3">
      <c r="A713" s="65"/>
      <c r="C713" s="64"/>
      <c r="D713" s="64"/>
      <c r="F713" s="64"/>
    </row>
    <row r="714" spans="1:6" ht="13.5" thickBot="1" x14ac:dyDescent="0.3">
      <c r="A714" s="65"/>
      <c r="C714" s="64"/>
      <c r="D714" s="64"/>
      <c r="F714" s="64"/>
    </row>
    <row r="715" spans="1:6" ht="13.5" thickBot="1" x14ac:dyDescent="0.3">
      <c r="A715" s="65"/>
      <c r="C715" s="64"/>
      <c r="D715" s="64"/>
      <c r="F715" s="64"/>
    </row>
    <row r="716" spans="1:6" ht="13.5" thickBot="1" x14ac:dyDescent="0.3">
      <c r="A716" s="65"/>
      <c r="C716" s="64"/>
      <c r="D716" s="64"/>
      <c r="F716" s="64"/>
    </row>
    <row r="717" spans="1:6" ht="13.5" thickBot="1" x14ac:dyDescent="0.3">
      <c r="A717" s="65"/>
      <c r="C717" s="64"/>
      <c r="D717" s="64"/>
      <c r="F717" s="64"/>
    </row>
    <row r="718" spans="1:6" ht="13.5" thickBot="1" x14ac:dyDescent="0.3">
      <c r="A718" s="65"/>
      <c r="C718" s="64"/>
      <c r="D718" s="64"/>
      <c r="F718" s="64"/>
    </row>
    <row r="719" spans="1:6" ht="13.5" thickBot="1" x14ac:dyDescent="0.3">
      <c r="A719" s="65"/>
      <c r="C719" s="64"/>
      <c r="D719" s="64"/>
      <c r="F719" s="64"/>
    </row>
    <row r="720" spans="1:6" ht="13.5" thickBot="1" x14ac:dyDescent="0.3">
      <c r="A720" s="65"/>
      <c r="C720" s="64"/>
      <c r="D720" s="64"/>
      <c r="F720" s="64"/>
    </row>
    <row r="721" spans="1:6" ht="13.5" thickBot="1" x14ac:dyDescent="0.3">
      <c r="A721" s="65"/>
      <c r="C721" s="64"/>
      <c r="D721" s="64"/>
      <c r="F721" s="64"/>
    </row>
    <row r="722" spans="1:6" ht="13.5" thickBot="1" x14ac:dyDescent="0.3">
      <c r="A722" s="65"/>
      <c r="C722" s="64"/>
      <c r="D722" s="64"/>
      <c r="F722" s="64"/>
    </row>
    <row r="723" spans="1:6" ht="13.5" thickBot="1" x14ac:dyDescent="0.3">
      <c r="A723" s="65"/>
      <c r="C723" s="64"/>
      <c r="D723" s="64"/>
      <c r="F723" s="64"/>
    </row>
    <row r="724" spans="1:6" ht="13.5" thickBot="1" x14ac:dyDescent="0.3">
      <c r="A724" s="65"/>
      <c r="C724" s="64"/>
      <c r="D724" s="64"/>
      <c r="F724" s="64"/>
    </row>
    <row r="725" spans="1:6" ht="13.5" thickBot="1" x14ac:dyDescent="0.3">
      <c r="A725" s="65"/>
      <c r="C725" s="64"/>
      <c r="D725" s="64"/>
      <c r="F725" s="64"/>
    </row>
    <row r="726" spans="1:6" ht="13.5" thickBot="1" x14ac:dyDescent="0.3">
      <c r="A726" s="65"/>
      <c r="C726" s="64"/>
      <c r="D726" s="64"/>
      <c r="F726" s="64"/>
    </row>
    <row r="727" spans="1:6" ht="13.5" thickBot="1" x14ac:dyDescent="0.3">
      <c r="A727" s="65"/>
      <c r="C727" s="64"/>
      <c r="D727" s="64"/>
      <c r="F727" s="64"/>
    </row>
    <row r="728" spans="1:6" ht="13.5" thickBot="1" x14ac:dyDescent="0.3">
      <c r="A728" s="65"/>
      <c r="C728" s="64"/>
      <c r="D728" s="64"/>
      <c r="F728" s="64"/>
    </row>
    <row r="729" spans="1:6" ht="13.5" thickBot="1" x14ac:dyDescent="0.3">
      <c r="A729" s="65"/>
      <c r="C729" s="64"/>
      <c r="D729" s="64"/>
      <c r="F729" s="64"/>
    </row>
    <row r="730" spans="1:6" ht="13.5" thickBot="1" x14ac:dyDescent="0.3">
      <c r="A730" s="65"/>
      <c r="C730" s="64"/>
      <c r="D730" s="64"/>
      <c r="F730" s="64"/>
    </row>
    <row r="731" spans="1:6" ht="13.5" thickBot="1" x14ac:dyDescent="0.3">
      <c r="A731" s="65"/>
      <c r="C731" s="64"/>
      <c r="D731" s="64"/>
      <c r="F731" s="64"/>
    </row>
    <row r="732" spans="1:6" ht="13.5" thickBot="1" x14ac:dyDescent="0.3">
      <c r="A732" s="65"/>
      <c r="C732" s="64"/>
      <c r="D732" s="64"/>
      <c r="F732" s="64"/>
    </row>
    <row r="733" spans="1:6" ht="13.5" thickBot="1" x14ac:dyDescent="0.3">
      <c r="A733" s="65"/>
      <c r="C733" s="64"/>
      <c r="D733" s="64"/>
      <c r="F733" s="64"/>
    </row>
    <row r="734" spans="1:6" ht="13.5" thickBot="1" x14ac:dyDescent="0.3">
      <c r="A734" s="65"/>
      <c r="C734" s="64"/>
      <c r="D734" s="64"/>
      <c r="F734" s="64"/>
    </row>
    <row r="735" spans="1:6" ht="13.5" thickBot="1" x14ac:dyDescent="0.3">
      <c r="A735" s="65"/>
      <c r="C735" s="64"/>
      <c r="D735" s="64"/>
      <c r="F735" s="64"/>
    </row>
    <row r="736" spans="1:6" ht="13.5" thickBot="1" x14ac:dyDescent="0.3">
      <c r="A736" s="65"/>
      <c r="C736" s="64"/>
      <c r="D736" s="64"/>
      <c r="F736" s="64"/>
    </row>
    <row r="737" spans="1:6" ht="13.5" thickBot="1" x14ac:dyDescent="0.3">
      <c r="A737" s="65"/>
      <c r="C737" s="64"/>
      <c r="D737" s="64"/>
      <c r="F737" s="64"/>
    </row>
    <row r="738" spans="1:6" ht="13.5" thickBot="1" x14ac:dyDescent="0.3">
      <c r="A738" s="65"/>
      <c r="C738" s="64"/>
      <c r="D738" s="64"/>
      <c r="F738" s="64"/>
    </row>
    <row r="739" spans="1:6" ht="13.5" thickBot="1" x14ac:dyDescent="0.3">
      <c r="A739" s="65"/>
      <c r="C739" s="64"/>
      <c r="D739" s="64"/>
      <c r="F739" s="64"/>
    </row>
    <row r="740" spans="1:6" ht="13.5" thickBot="1" x14ac:dyDescent="0.3">
      <c r="A740" s="65"/>
      <c r="C740" s="64"/>
      <c r="D740" s="64"/>
      <c r="F740" s="64"/>
    </row>
    <row r="741" spans="1:6" ht="13.5" thickBot="1" x14ac:dyDescent="0.3">
      <c r="A741" s="65"/>
      <c r="C741" s="64"/>
      <c r="D741" s="64"/>
      <c r="F741" s="64"/>
    </row>
    <row r="742" spans="1:6" ht="13.5" thickBot="1" x14ac:dyDescent="0.3">
      <c r="A742" s="65"/>
      <c r="C742" s="64"/>
      <c r="D742" s="64"/>
      <c r="F742" s="64"/>
    </row>
    <row r="743" spans="1:6" ht="13.5" thickBot="1" x14ac:dyDescent="0.3">
      <c r="A743" s="65"/>
      <c r="C743" s="64"/>
      <c r="D743" s="64"/>
      <c r="F743" s="64"/>
    </row>
    <row r="744" spans="1:6" ht="13.5" thickBot="1" x14ac:dyDescent="0.3">
      <c r="A744" s="65"/>
      <c r="C744" s="64"/>
      <c r="D744" s="64"/>
      <c r="F744" s="64"/>
    </row>
    <row r="745" spans="1:6" ht="13.5" thickBot="1" x14ac:dyDescent="0.3">
      <c r="A745" s="65"/>
      <c r="C745" s="64"/>
      <c r="D745" s="64"/>
      <c r="F745" s="64"/>
    </row>
    <row r="746" spans="1:6" ht="13.5" thickBot="1" x14ac:dyDescent="0.3">
      <c r="A746" s="65"/>
      <c r="C746" s="64"/>
      <c r="D746" s="64"/>
      <c r="F746" s="64"/>
    </row>
    <row r="747" spans="1:6" ht="13.5" thickBot="1" x14ac:dyDescent="0.3">
      <c r="A747" s="65"/>
      <c r="C747" s="64"/>
      <c r="D747" s="64"/>
      <c r="F747" s="64"/>
    </row>
    <row r="748" spans="1:6" ht="13.5" thickBot="1" x14ac:dyDescent="0.3">
      <c r="A748" s="65"/>
      <c r="C748" s="64"/>
      <c r="D748" s="64"/>
      <c r="F748" s="64"/>
    </row>
    <row r="749" spans="1:6" ht="13.5" thickBot="1" x14ac:dyDescent="0.3">
      <c r="A749" s="65"/>
      <c r="C749" s="64"/>
      <c r="D749" s="64"/>
      <c r="F749" s="64"/>
    </row>
    <row r="750" spans="1:6" ht="13.5" thickBot="1" x14ac:dyDescent="0.3">
      <c r="A750" s="65"/>
      <c r="C750" s="64"/>
      <c r="D750" s="64"/>
      <c r="F750" s="64"/>
    </row>
    <row r="751" spans="1:6" ht="13.5" thickBot="1" x14ac:dyDescent="0.3">
      <c r="A751" s="65"/>
      <c r="C751" s="64"/>
      <c r="D751" s="64"/>
      <c r="F751" s="64"/>
    </row>
    <row r="752" spans="1:6" ht="13.5" thickBot="1" x14ac:dyDescent="0.3">
      <c r="A752" s="65"/>
      <c r="C752" s="64"/>
      <c r="D752" s="64"/>
      <c r="F752" s="64"/>
    </row>
    <row r="753" spans="1:6" ht="13.5" thickBot="1" x14ac:dyDescent="0.3">
      <c r="A753" s="65"/>
      <c r="C753" s="64"/>
      <c r="D753" s="64"/>
      <c r="F753" s="64"/>
    </row>
    <row r="754" spans="1:6" ht="13.5" thickBot="1" x14ac:dyDescent="0.3">
      <c r="A754" s="65"/>
      <c r="C754" s="64"/>
      <c r="D754" s="64"/>
      <c r="F754" s="64"/>
    </row>
    <row r="755" spans="1:6" ht="13.5" thickBot="1" x14ac:dyDescent="0.3">
      <c r="A755" s="65"/>
      <c r="C755" s="64"/>
      <c r="D755" s="64"/>
      <c r="F755" s="64"/>
    </row>
    <row r="756" spans="1:6" ht="13.5" thickBot="1" x14ac:dyDescent="0.3">
      <c r="A756" s="65"/>
      <c r="C756" s="64"/>
      <c r="D756" s="64"/>
      <c r="F756" s="64"/>
    </row>
    <row r="757" spans="1:6" ht="13.5" thickBot="1" x14ac:dyDescent="0.3">
      <c r="A757" s="65"/>
      <c r="C757" s="64"/>
      <c r="D757" s="64"/>
      <c r="F757" s="64"/>
    </row>
    <row r="758" spans="1:6" ht="13.5" thickBot="1" x14ac:dyDescent="0.3">
      <c r="A758" s="65"/>
      <c r="C758" s="64"/>
      <c r="D758" s="64"/>
      <c r="F758" s="64"/>
    </row>
    <row r="759" spans="1:6" ht="13.5" thickBot="1" x14ac:dyDescent="0.3">
      <c r="A759" s="65"/>
      <c r="C759" s="64"/>
      <c r="D759" s="64"/>
      <c r="F759" s="64"/>
    </row>
    <row r="760" spans="1:6" ht="13.5" thickBot="1" x14ac:dyDescent="0.3">
      <c r="A760" s="65"/>
      <c r="C760" s="64"/>
      <c r="D760" s="64"/>
      <c r="F760" s="64"/>
    </row>
    <row r="761" spans="1:6" ht="13.5" thickBot="1" x14ac:dyDescent="0.3">
      <c r="A761" s="65"/>
      <c r="C761" s="64"/>
      <c r="D761" s="64"/>
      <c r="F761" s="64"/>
    </row>
    <row r="762" spans="1:6" ht="13.5" thickBot="1" x14ac:dyDescent="0.3">
      <c r="A762" s="65"/>
      <c r="C762" s="64"/>
      <c r="D762" s="64"/>
      <c r="F762" s="64"/>
    </row>
    <row r="763" spans="1:6" ht="13.5" thickBot="1" x14ac:dyDescent="0.3">
      <c r="A763" s="65"/>
      <c r="C763" s="64"/>
      <c r="D763" s="64"/>
      <c r="F763" s="64"/>
    </row>
    <row r="764" spans="1:6" ht="13.5" thickBot="1" x14ac:dyDescent="0.3">
      <c r="A764" s="65"/>
      <c r="C764" s="64"/>
      <c r="D764" s="64"/>
      <c r="F764" s="64"/>
    </row>
    <row r="765" spans="1:6" ht="13.5" thickBot="1" x14ac:dyDescent="0.3">
      <c r="A765" s="65"/>
      <c r="C765" s="64"/>
      <c r="D765" s="64"/>
      <c r="F765" s="64"/>
    </row>
    <row r="766" spans="1:6" ht="13.5" thickBot="1" x14ac:dyDescent="0.3">
      <c r="A766" s="65"/>
      <c r="C766" s="64"/>
      <c r="D766" s="64"/>
      <c r="F766" s="64"/>
    </row>
    <row r="767" spans="1:6" ht="13.5" thickBot="1" x14ac:dyDescent="0.3">
      <c r="A767" s="65"/>
      <c r="C767" s="64"/>
      <c r="D767" s="64"/>
      <c r="F767" s="64"/>
    </row>
    <row r="768" spans="1:6" ht="13.5" thickBot="1" x14ac:dyDescent="0.3">
      <c r="A768" s="65"/>
      <c r="C768" s="64"/>
      <c r="D768" s="64"/>
      <c r="F768" s="64"/>
    </row>
    <row r="769" spans="1:6" ht="13.5" thickBot="1" x14ac:dyDescent="0.3">
      <c r="A769" s="65"/>
      <c r="C769" s="64"/>
      <c r="D769" s="64"/>
      <c r="F769" s="64"/>
    </row>
    <row r="770" spans="1:6" ht="13.5" thickBot="1" x14ac:dyDescent="0.3">
      <c r="A770" s="65"/>
      <c r="C770" s="64"/>
      <c r="D770" s="64"/>
      <c r="F770" s="64"/>
    </row>
    <row r="771" spans="1:6" ht="13.5" thickBot="1" x14ac:dyDescent="0.3">
      <c r="A771" s="65"/>
      <c r="C771" s="64"/>
      <c r="D771" s="64"/>
      <c r="F771" s="64"/>
    </row>
    <row r="772" spans="1:6" ht="13.5" thickBot="1" x14ac:dyDescent="0.3">
      <c r="A772" s="65"/>
      <c r="C772" s="64"/>
      <c r="D772" s="64"/>
      <c r="F772" s="64"/>
    </row>
    <row r="773" spans="1:6" ht="13.5" thickBot="1" x14ac:dyDescent="0.3">
      <c r="A773" s="65"/>
      <c r="C773" s="64"/>
      <c r="D773" s="64"/>
      <c r="F773" s="64"/>
    </row>
    <row r="774" spans="1:6" ht="13.5" thickBot="1" x14ac:dyDescent="0.3">
      <c r="A774" s="65"/>
      <c r="C774" s="64"/>
      <c r="D774" s="64"/>
      <c r="F774" s="64"/>
    </row>
    <row r="775" spans="1:6" ht="13.5" thickBot="1" x14ac:dyDescent="0.3">
      <c r="A775" s="65"/>
      <c r="C775" s="64"/>
      <c r="D775" s="64"/>
      <c r="F775" s="64"/>
    </row>
    <row r="776" spans="1:6" ht="13.5" thickBot="1" x14ac:dyDescent="0.3">
      <c r="A776" s="65"/>
      <c r="C776" s="64"/>
      <c r="D776" s="64"/>
      <c r="F776" s="64"/>
    </row>
    <row r="777" spans="1:6" ht="13.5" thickBot="1" x14ac:dyDescent="0.3">
      <c r="A777" s="65"/>
      <c r="C777" s="64"/>
      <c r="D777" s="64"/>
      <c r="F777" s="64"/>
    </row>
    <row r="778" spans="1:6" ht="13.5" thickBot="1" x14ac:dyDescent="0.3">
      <c r="A778" s="65"/>
      <c r="C778" s="64"/>
      <c r="D778" s="64"/>
      <c r="F778" s="64"/>
    </row>
    <row r="779" spans="1:6" ht="13.5" thickBot="1" x14ac:dyDescent="0.3">
      <c r="A779" s="65"/>
      <c r="C779" s="64"/>
      <c r="D779" s="64"/>
      <c r="F779" s="64"/>
    </row>
    <row r="780" spans="1:6" ht="13.5" thickBot="1" x14ac:dyDescent="0.3">
      <c r="A780" s="65"/>
      <c r="C780" s="64"/>
      <c r="D780" s="64"/>
      <c r="F780" s="64"/>
    </row>
    <row r="781" spans="1:6" ht="13.5" thickBot="1" x14ac:dyDescent="0.3">
      <c r="A781" s="65"/>
      <c r="C781" s="64"/>
      <c r="D781" s="64"/>
      <c r="F781" s="64"/>
    </row>
    <row r="782" spans="1:6" ht="13.5" thickBot="1" x14ac:dyDescent="0.3">
      <c r="A782" s="65"/>
      <c r="C782" s="64"/>
      <c r="D782" s="64"/>
      <c r="F782" s="64"/>
    </row>
    <row r="783" spans="1:6" ht="13.5" thickBot="1" x14ac:dyDescent="0.3">
      <c r="A783" s="65"/>
      <c r="C783" s="64"/>
      <c r="D783" s="64"/>
      <c r="F783" s="64"/>
    </row>
    <row r="784" spans="1:6" ht="13.5" thickBot="1" x14ac:dyDescent="0.3">
      <c r="A784" s="65"/>
      <c r="C784" s="64"/>
      <c r="D784" s="64"/>
      <c r="F784" s="64"/>
    </row>
    <row r="785" spans="1:6" ht="13.5" thickBot="1" x14ac:dyDescent="0.3">
      <c r="A785" s="65"/>
      <c r="C785" s="64"/>
      <c r="D785" s="64"/>
      <c r="F785" s="64"/>
    </row>
    <row r="786" spans="1:6" ht="13.5" thickBot="1" x14ac:dyDescent="0.3">
      <c r="A786" s="65"/>
      <c r="C786" s="64"/>
      <c r="D786" s="64"/>
      <c r="F786" s="64"/>
    </row>
    <row r="787" spans="1:6" ht="13.5" thickBot="1" x14ac:dyDescent="0.3">
      <c r="A787" s="65"/>
      <c r="C787" s="64"/>
      <c r="D787" s="64"/>
      <c r="F787" s="64"/>
    </row>
    <row r="788" spans="1:6" ht="13.5" thickBot="1" x14ac:dyDescent="0.3">
      <c r="A788" s="65"/>
      <c r="C788" s="64"/>
      <c r="D788" s="64"/>
      <c r="F788" s="64"/>
    </row>
    <row r="789" spans="1:6" ht="13.5" thickBot="1" x14ac:dyDescent="0.3">
      <c r="A789" s="65"/>
      <c r="C789" s="64"/>
      <c r="D789" s="64"/>
      <c r="F789" s="64"/>
    </row>
    <row r="790" spans="1:6" ht="13.5" thickBot="1" x14ac:dyDescent="0.3">
      <c r="A790" s="65"/>
      <c r="C790" s="64"/>
      <c r="D790" s="64"/>
      <c r="F790" s="64"/>
    </row>
    <row r="791" spans="1:6" ht="13.5" thickBot="1" x14ac:dyDescent="0.3">
      <c r="A791" s="65"/>
      <c r="C791" s="64"/>
      <c r="D791" s="64"/>
      <c r="F791" s="64"/>
    </row>
    <row r="792" spans="1:6" ht="13.5" thickBot="1" x14ac:dyDescent="0.3">
      <c r="A792" s="65"/>
      <c r="C792" s="64"/>
      <c r="D792" s="64"/>
      <c r="F792" s="64"/>
    </row>
    <row r="793" spans="1:6" ht="13.5" thickBot="1" x14ac:dyDescent="0.3">
      <c r="A793" s="65"/>
      <c r="C793" s="64"/>
      <c r="D793" s="64"/>
      <c r="F793" s="64"/>
    </row>
    <row r="794" spans="1:6" ht="13.5" thickBot="1" x14ac:dyDescent="0.3">
      <c r="A794" s="65"/>
      <c r="C794" s="64"/>
      <c r="D794" s="64"/>
      <c r="F794" s="64"/>
    </row>
    <row r="795" spans="1:6" ht="13.5" thickBot="1" x14ac:dyDescent="0.3">
      <c r="A795" s="65"/>
      <c r="C795" s="64"/>
      <c r="D795" s="64"/>
      <c r="F795" s="64"/>
    </row>
    <row r="796" spans="1:6" ht="13.5" thickBot="1" x14ac:dyDescent="0.3">
      <c r="A796" s="65"/>
      <c r="C796" s="64"/>
      <c r="D796" s="64"/>
      <c r="F796" s="64"/>
    </row>
    <row r="797" spans="1:6" ht="13.5" thickBot="1" x14ac:dyDescent="0.3">
      <c r="A797" s="65"/>
      <c r="C797" s="64"/>
      <c r="D797" s="64"/>
      <c r="F797" s="64"/>
    </row>
    <row r="798" spans="1:6" ht="13.5" thickBot="1" x14ac:dyDescent="0.3">
      <c r="A798" s="65"/>
      <c r="C798" s="64"/>
      <c r="D798" s="64"/>
      <c r="F798" s="64"/>
    </row>
    <row r="799" spans="1:6" ht="13.5" thickBot="1" x14ac:dyDescent="0.3">
      <c r="A799" s="65"/>
      <c r="C799" s="64"/>
      <c r="D799" s="64"/>
      <c r="F799" s="64"/>
    </row>
    <row r="800" spans="1:6" ht="13.5" thickBot="1" x14ac:dyDescent="0.3">
      <c r="A800" s="65"/>
      <c r="C800" s="64"/>
      <c r="D800" s="64"/>
      <c r="F800" s="64"/>
    </row>
    <row r="801" spans="1:6" ht="13.5" thickBot="1" x14ac:dyDescent="0.3">
      <c r="A801" s="65"/>
      <c r="C801" s="64"/>
      <c r="D801" s="64"/>
      <c r="F801" s="64"/>
    </row>
    <row r="802" spans="1:6" ht="13.5" thickBot="1" x14ac:dyDescent="0.3">
      <c r="A802" s="65"/>
      <c r="C802" s="64"/>
      <c r="D802" s="64"/>
      <c r="F802" s="64"/>
    </row>
    <row r="803" spans="1:6" ht="13.5" thickBot="1" x14ac:dyDescent="0.3">
      <c r="A803" s="65"/>
      <c r="C803" s="64"/>
      <c r="D803" s="64"/>
      <c r="F803" s="64"/>
    </row>
    <row r="804" spans="1:6" ht="13.5" thickBot="1" x14ac:dyDescent="0.3">
      <c r="A804" s="65"/>
      <c r="C804" s="64"/>
      <c r="D804" s="64"/>
      <c r="F804" s="64"/>
    </row>
    <row r="805" spans="1:6" ht="13.5" thickBot="1" x14ac:dyDescent="0.3">
      <c r="A805" s="65"/>
      <c r="C805" s="64"/>
      <c r="D805" s="64"/>
      <c r="F805" s="64"/>
    </row>
    <row r="806" spans="1:6" ht="13.5" thickBot="1" x14ac:dyDescent="0.3">
      <c r="A806" s="65"/>
      <c r="C806" s="64"/>
      <c r="D806" s="64"/>
      <c r="F806" s="64"/>
    </row>
    <row r="807" spans="1:6" ht="13.5" thickBot="1" x14ac:dyDescent="0.3">
      <c r="A807" s="65"/>
      <c r="C807" s="64"/>
      <c r="D807" s="64"/>
      <c r="F807" s="64"/>
    </row>
    <row r="808" spans="1:6" ht="13.5" thickBot="1" x14ac:dyDescent="0.3">
      <c r="A808" s="65"/>
      <c r="C808" s="64"/>
      <c r="D808" s="64"/>
      <c r="F808" s="64"/>
    </row>
    <row r="809" spans="1:6" ht="13.5" thickBot="1" x14ac:dyDescent="0.3">
      <c r="A809" s="65"/>
      <c r="C809" s="64"/>
      <c r="D809" s="64"/>
      <c r="F809" s="64"/>
    </row>
    <row r="810" spans="1:6" ht="13.5" thickBot="1" x14ac:dyDescent="0.3">
      <c r="A810" s="65"/>
      <c r="C810" s="64"/>
      <c r="D810" s="64"/>
      <c r="F810" s="64"/>
    </row>
    <row r="811" spans="1:6" ht="13.5" thickBot="1" x14ac:dyDescent="0.3">
      <c r="A811" s="65"/>
      <c r="C811" s="64"/>
      <c r="D811" s="64"/>
      <c r="F811" s="64"/>
    </row>
    <row r="812" spans="1:6" ht="13.5" thickBot="1" x14ac:dyDescent="0.3">
      <c r="A812" s="65"/>
      <c r="C812" s="64"/>
      <c r="D812" s="64"/>
      <c r="F812" s="64"/>
    </row>
    <row r="813" spans="1:6" ht="13.5" thickBot="1" x14ac:dyDescent="0.3">
      <c r="A813" s="65"/>
      <c r="C813" s="64"/>
      <c r="D813" s="64"/>
      <c r="F813" s="64"/>
    </row>
    <row r="814" spans="1:6" ht="13.5" thickBot="1" x14ac:dyDescent="0.3">
      <c r="A814" s="65"/>
      <c r="C814" s="64"/>
      <c r="D814" s="64"/>
      <c r="F814" s="64"/>
    </row>
    <row r="815" spans="1:6" ht="13.5" thickBot="1" x14ac:dyDescent="0.3">
      <c r="A815" s="65"/>
      <c r="C815" s="64"/>
      <c r="D815" s="64"/>
      <c r="F815" s="64"/>
    </row>
    <row r="816" spans="1:6" ht="13.5" thickBot="1" x14ac:dyDescent="0.3">
      <c r="A816" s="65"/>
      <c r="C816" s="64"/>
      <c r="D816" s="64"/>
      <c r="F816" s="64"/>
    </row>
    <row r="817" spans="1:6" ht="13.5" thickBot="1" x14ac:dyDescent="0.3">
      <c r="A817" s="65"/>
      <c r="C817" s="64"/>
      <c r="D817" s="64"/>
      <c r="F817" s="64"/>
    </row>
    <row r="818" spans="1:6" ht="13.5" thickBot="1" x14ac:dyDescent="0.3">
      <c r="A818" s="65"/>
      <c r="C818" s="64"/>
      <c r="D818" s="64"/>
      <c r="F818" s="64"/>
    </row>
    <row r="819" spans="1:6" ht="13.5" thickBot="1" x14ac:dyDescent="0.3">
      <c r="A819" s="65"/>
      <c r="C819" s="64"/>
      <c r="D819" s="64"/>
      <c r="F819" s="64"/>
    </row>
    <row r="820" spans="1:6" ht="13.5" thickBot="1" x14ac:dyDescent="0.3">
      <c r="A820" s="65"/>
      <c r="C820" s="64"/>
      <c r="D820" s="64"/>
      <c r="F820" s="64"/>
    </row>
    <row r="821" spans="1:6" ht="13.5" thickBot="1" x14ac:dyDescent="0.3">
      <c r="A821" s="65"/>
      <c r="C821" s="64"/>
      <c r="D821" s="64"/>
      <c r="F821" s="64"/>
    </row>
    <row r="822" spans="1:6" ht="13.5" thickBot="1" x14ac:dyDescent="0.3">
      <c r="A822" s="65"/>
      <c r="C822" s="64"/>
      <c r="D822" s="64"/>
      <c r="F822" s="64"/>
    </row>
    <row r="823" spans="1:6" ht="13.5" thickBot="1" x14ac:dyDescent="0.3">
      <c r="A823" s="65"/>
      <c r="C823" s="64"/>
      <c r="D823" s="64"/>
      <c r="F823" s="64"/>
    </row>
    <row r="824" spans="1:6" ht="13.5" thickBot="1" x14ac:dyDescent="0.3">
      <c r="A824" s="65"/>
      <c r="C824" s="64"/>
      <c r="D824" s="64"/>
      <c r="F824" s="64"/>
    </row>
    <row r="825" spans="1:6" ht="13.5" thickBot="1" x14ac:dyDescent="0.3">
      <c r="A825" s="65"/>
      <c r="C825" s="64"/>
      <c r="D825" s="64"/>
      <c r="F825" s="64"/>
    </row>
    <row r="826" spans="1:6" ht="13.5" thickBot="1" x14ac:dyDescent="0.3">
      <c r="A826" s="65"/>
      <c r="C826" s="64"/>
      <c r="D826" s="64"/>
      <c r="F826" s="64"/>
    </row>
    <row r="827" spans="1:6" ht="13.5" thickBot="1" x14ac:dyDescent="0.3">
      <c r="A827" s="65"/>
      <c r="C827" s="64"/>
      <c r="D827" s="64"/>
      <c r="F827" s="64"/>
    </row>
    <row r="828" spans="1:6" ht="13.5" thickBot="1" x14ac:dyDescent="0.3">
      <c r="A828" s="65"/>
      <c r="C828" s="64"/>
      <c r="D828" s="64"/>
      <c r="F828" s="64"/>
    </row>
    <row r="829" spans="1:6" ht="13.5" thickBot="1" x14ac:dyDescent="0.3">
      <c r="A829" s="65"/>
      <c r="C829" s="64"/>
      <c r="D829" s="64"/>
      <c r="F829" s="64"/>
    </row>
    <row r="830" spans="1:6" ht="13.5" thickBot="1" x14ac:dyDescent="0.3">
      <c r="A830" s="65"/>
      <c r="C830" s="64"/>
      <c r="D830" s="64"/>
      <c r="F830" s="64"/>
    </row>
    <row r="831" spans="1:6" ht="13.5" thickBot="1" x14ac:dyDescent="0.3">
      <c r="A831" s="65"/>
      <c r="C831" s="64"/>
      <c r="D831" s="64"/>
      <c r="F831" s="64"/>
    </row>
    <row r="832" spans="1:6" ht="13.5" thickBot="1" x14ac:dyDescent="0.3">
      <c r="A832" s="65"/>
      <c r="C832" s="64"/>
      <c r="D832" s="64"/>
      <c r="F832" s="64"/>
    </row>
    <row r="833" spans="1:6" ht="13.5" thickBot="1" x14ac:dyDescent="0.3">
      <c r="A833" s="65"/>
      <c r="C833" s="64"/>
      <c r="D833" s="64"/>
      <c r="F833" s="64"/>
    </row>
    <row r="834" spans="1:6" ht="13.5" thickBot="1" x14ac:dyDescent="0.3">
      <c r="A834" s="65"/>
      <c r="C834" s="64"/>
      <c r="D834" s="64"/>
      <c r="F834" s="64"/>
    </row>
    <row r="835" spans="1:6" ht="13.5" thickBot="1" x14ac:dyDescent="0.3">
      <c r="A835" s="65"/>
      <c r="C835" s="64"/>
      <c r="D835" s="64"/>
      <c r="F835" s="64"/>
    </row>
    <row r="836" spans="1:6" ht="13.5" thickBot="1" x14ac:dyDescent="0.3">
      <c r="A836" s="65"/>
      <c r="C836" s="64"/>
      <c r="D836" s="64"/>
      <c r="F836" s="64"/>
    </row>
    <row r="837" spans="1:6" ht="13.5" thickBot="1" x14ac:dyDescent="0.3">
      <c r="A837" s="65"/>
      <c r="C837" s="64"/>
      <c r="D837" s="64"/>
      <c r="F837" s="64"/>
    </row>
    <row r="838" spans="1:6" ht="13.5" thickBot="1" x14ac:dyDescent="0.3">
      <c r="A838" s="65"/>
      <c r="C838" s="64"/>
      <c r="D838" s="64"/>
      <c r="F838" s="64"/>
    </row>
    <row r="839" spans="1:6" ht="13.5" thickBot="1" x14ac:dyDescent="0.3">
      <c r="A839" s="65"/>
      <c r="C839" s="64"/>
      <c r="D839" s="64"/>
      <c r="F839" s="64"/>
    </row>
    <row r="840" spans="1:6" ht="13.5" thickBot="1" x14ac:dyDescent="0.3">
      <c r="A840" s="65"/>
      <c r="C840" s="64"/>
      <c r="D840" s="64"/>
      <c r="F840" s="64"/>
    </row>
    <row r="841" spans="1:6" ht="13.5" thickBot="1" x14ac:dyDescent="0.3">
      <c r="A841" s="65"/>
      <c r="C841" s="64"/>
      <c r="D841" s="64"/>
      <c r="F841" s="64"/>
    </row>
    <row r="842" spans="1:6" ht="13.5" thickBot="1" x14ac:dyDescent="0.3">
      <c r="A842" s="65"/>
      <c r="C842" s="64"/>
      <c r="D842" s="64"/>
      <c r="F842" s="64"/>
    </row>
    <row r="843" spans="1:6" ht="13.5" thickBot="1" x14ac:dyDescent="0.3">
      <c r="A843" s="65"/>
      <c r="C843" s="64"/>
      <c r="D843" s="64"/>
      <c r="F843" s="64"/>
    </row>
    <row r="844" spans="1:6" ht="13.5" thickBot="1" x14ac:dyDescent="0.3">
      <c r="A844" s="65"/>
      <c r="C844" s="64"/>
      <c r="D844" s="64"/>
      <c r="F844" s="64"/>
    </row>
    <row r="845" spans="1:6" ht="13.5" thickBot="1" x14ac:dyDescent="0.3">
      <c r="A845" s="65"/>
      <c r="C845" s="64"/>
      <c r="D845" s="64"/>
      <c r="F845" s="64"/>
    </row>
    <row r="846" spans="1:6" ht="13.5" thickBot="1" x14ac:dyDescent="0.3">
      <c r="A846" s="65"/>
      <c r="C846" s="64"/>
      <c r="D846" s="64"/>
      <c r="F846" s="64"/>
    </row>
    <row r="847" spans="1:6" ht="13.5" thickBot="1" x14ac:dyDescent="0.3">
      <c r="A847" s="65"/>
      <c r="C847" s="64"/>
      <c r="D847" s="64"/>
      <c r="F847" s="64"/>
    </row>
    <row r="848" spans="1:6" ht="13.5" thickBot="1" x14ac:dyDescent="0.3">
      <c r="A848" s="65"/>
      <c r="C848" s="64"/>
      <c r="D848" s="64"/>
      <c r="F848" s="64"/>
    </row>
    <row r="849" spans="1:6" ht="13.5" thickBot="1" x14ac:dyDescent="0.3">
      <c r="A849" s="65"/>
      <c r="C849" s="64"/>
      <c r="D849" s="64"/>
      <c r="F849" s="64"/>
    </row>
    <row r="850" spans="1:6" ht="13.5" thickBot="1" x14ac:dyDescent="0.3">
      <c r="A850" s="65"/>
      <c r="C850" s="64"/>
      <c r="D850" s="64"/>
      <c r="F850" s="64"/>
    </row>
    <row r="851" spans="1:6" ht="13.5" thickBot="1" x14ac:dyDescent="0.3">
      <c r="A851" s="65"/>
      <c r="C851" s="64"/>
      <c r="D851" s="64"/>
      <c r="F851" s="64"/>
    </row>
    <row r="852" spans="1:6" ht="13.5" thickBot="1" x14ac:dyDescent="0.3">
      <c r="A852" s="65"/>
      <c r="C852" s="64"/>
      <c r="D852" s="64"/>
      <c r="F852" s="64"/>
    </row>
    <row r="853" spans="1:6" ht="13.5" thickBot="1" x14ac:dyDescent="0.3">
      <c r="A853" s="65"/>
      <c r="C853" s="64"/>
      <c r="D853" s="64"/>
      <c r="F853" s="64"/>
    </row>
    <row r="854" spans="1:6" ht="13.5" thickBot="1" x14ac:dyDescent="0.3">
      <c r="A854" s="65"/>
      <c r="C854" s="64"/>
      <c r="D854" s="64"/>
      <c r="F854" s="64"/>
    </row>
    <row r="855" spans="1:6" ht="13.5" thickBot="1" x14ac:dyDescent="0.3">
      <c r="A855" s="65"/>
      <c r="C855" s="64"/>
      <c r="D855" s="64"/>
      <c r="F855" s="64"/>
    </row>
    <row r="856" spans="1:6" ht="13.5" thickBot="1" x14ac:dyDescent="0.3">
      <c r="A856" s="65"/>
      <c r="C856" s="64"/>
      <c r="D856" s="64"/>
      <c r="F856" s="64"/>
    </row>
    <row r="857" spans="1:6" ht="13.5" thickBot="1" x14ac:dyDescent="0.3">
      <c r="A857" s="65"/>
      <c r="C857" s="64"/>
      <c r="D857" s="64"/>
      <c r="F857" s="64"/>
    </row>
    <row r="858" spans="1:6" ht="13.5" thickBot="1" x14ac:dyDescent="0.3">
      <c r="A858" s="65"/>
      <c r="C858" s="64"/>
      <c r="D858" s="64"/>
      <c r="F858" s="64"/>
    </row>
    <row r="859" spans="1:6" ht="13.5" thickBot="1" x14ac:dyDescent="0.3">
      <c r="A859" s="65"/>
      <c r="C859" s="64"/>
      <c r="D859" s="64"/>
      <c r="F859" s="64"/>
    </row>
    <row r="860" spans="1:6" ht="13.5" thickBot="1" x14ac:dyDescent="0.3">
      <c r="A860" s="65"/>
      <c r="C860" s="64"/>
      <c r="D860" s="64"/>
      <c r="F860" s="64"/>
    </row>
    <row r="861" spans="1:6" ht="13.5" thickBot="1" x14ac:dyDescent="0.3">
      <c r="A861" s="65"/>
      <c r="C861" s="64"/>
      <c r="D861" s="64"/>
      <c r="F861" s="64"/>
    </row>
    <row r="862" spans="1:6" ht="13.5" thickBot="1" x14ac:dyDescent="0.3">
      <c r="A862" s="65"/>
      <c r="C862" s="64"/>
      <c r="D862" s="64"/>
      <c r="F862" s="64"/>
    </row>
    <row r="863" spans="1:6" ht="13.5" thickBot="1" x14ac:dyDescent="0.3">
      <c r="A863" s="65"/>
      <c r="C863" s="64"/>
      <c r="D863" s="64"/>
      <c r="F863" s="64"/>
    </row>
    <row r="864" spans="1:6" ht="13.5" thickBot="1" x14ac:dyDescent="0.3">
      <c r="A864" s="65"/>
      <c r="C864" s="64"/>
      <c r="D864" s="64"/>
      <c r="F864" s="64"/>
    </row>
    <row r="865" spans="1:6" ht="13.5" thickBot="1" x14ac:dyDescent="0.3">
      <c r="A865" s="65"/>
      <c r="C865" s="64"/>
      <c r="D865" s="64"/>
      <c r="F865" s="64"/>
    </row>
    <row r="866" spans="1:6" ht="13.5" thickBot="1" x14ac:dyDescent="0.3">
      <c r="A866" s="65"/>
      <c r="C866" s="64"/>
      <c r="D866" s="64"/>
      <c r="F866" s="64"/>
    </row>
    <row r="867" spans="1:6" ht="13.5" thickBot="1" x14ac:dyDescent="0.3">
      <c r="A867" s="65"/>
      <c r="C867" s="64"/>
      <c r="D867" s="64"/>
      <c r="F867" s="64"/>
    </row>
    <row r="868" spans="1:6" ht="13.5" thickBot="1" x14ac:dyDescent="0.3">
      <c r="A868" s="65"/>
      <c r="C868" s="64"/>
      <c r="D868" s="64"/>
      <c r="F868" s="64"/>
    </row>
    <row r="869" spans="1:6" ht="13.5" thickBot="1" x14ac:dyDescent="0.3">
      <c r="A869" s="65"/>
      <c r="C869" s="64"/>
      <c r="D869" s="64"/>
      <c r="F869" s="64"/>
    </row>
    <row r="870" spans="1:6" ht="13.5" thickBot="1" x14ac:dyDescent="0.3">
      <c r="A870" s="65"/>
      <c r="C870" s="64"/>
      <c r="D870" s="64"/>
      <c r="F870" s="64"/>
    </row>
    <row r="871" spans="1:6" ht="13.5" thickBot="1" x14ac:dyDescent="0.3">
      <c r="A871" s="65"/>
      <c r="C871" s="64"/>
      <c r="D871" s="64"/>
      <c r="F871" s="64"/>
    </row>
    <row r="872" spans="1:6" ht="13.5" thickBot="1" x14ac:dyDescent="0.3">
      <c r="A872" s="65"/>
      <c r="C872" s="64"/>
      <c r="D872" s="64"/>
      <c r="F872" s="64"/>
    </row>
    <row r="873" spans="1:6" ht="13.5" thickBot="1" x14ac:dyDescent="0.3">
      <c r="A873" s="65"/>
      <c r="C873" s="64"/>
      <c r="D873" s="64"/>
      <c r="F873" s="64"/>
    </row>
    <row r="874" spans="1:6" ht="13.5" thickBot="1" x14ac:dyDescent="0.3">
      <c r="A874" s="65"/>
      <c r="C874" s="64"/>
      <c r="D874" s="64"/>
      <c r="F874" s="64"/>
    </row>
    <row r="875" spans="1:6" ht="13.5" thickBot="1" x14ac:dyDescent="0.3">
      <c r="A875" s="65"/>
      <c r="C875" s="64"/>
      <c r="D875" s="64"/>
      <c r="F875" s="64"/>
    </row>
    <row r="876" spans="1:6" ht="13.5" thickBot="1" x14ac:dyDescent="0.3">
      <c r="A876" s="65"/>
      <c r="C876" s="64"/>
      <c r="D876" s="64"/>
      <c r="F876" s="64"/>
    </row>
    <row r="877" spans="1:6" ht="13.5" thickBot="1" x14ac:dyDescent="0.3">
      <c r="A877" s="65"/>
      <c r="C877" s="64"/>
      <c r="D877" s="64"/>
      <c r="F877" s="64"/>
    </row>
    <row r="878" spans="1:6" ht="13.5" thickBot="1" x14ac:dyDescent="0.3">
      <c r="A878" s="65"/>
      <c r="C878" s="64"/>
      <c r="D878" s="64"/>
      <c r="F878" s="64"/>
    </row>
    <row r="879" spans="1:6" ht="13.5" thickBot="1" x14ac:dyDescent="0.3">
      <c r="A879" s="65"/>
      <c r="C879" s="64"/>
      <c r="D879" s="64"/>
      <c r="F879" s="64"/>
    </row>
    <row r="880" spans="1:6" ht="13.5" thickBot="1" x14ac:dyDescent="0.3">
      <c r="A880" s="65"/>
      <c r="C880" s="64"/>
      <c r="D880" s="64"/>
      <c r="F880" s="64"/>
    </row>
    <row r="881" spans="1:6" ht="13.5" thickBot="1" x14ac:dyDescent="0.3">
      <c r="A881" s="65"/>
      <c r="C881" s="64"/>
      <c r="D881" s="64"/>
      <c r="F881" s="64"/>
    </row>
    <row r="882" spans="1:6" ht="13.5" thickBot="1" x14ac:dyDescent="0.3">
      <c r="A882" s="65"/>
      <c r="C882" s="64"/>
      <c r="D882" s="64"/>
      <c r="F882" s="64"/>
    </row>
    <row r="883" spans="1:6" ht="13.5" thickBot="1" x14ac:dyDescent="0.3">
      <c r="A883" s="65"/>
      <c r="C883" s="64"/>
      <c r="D883" s="64"/>
      <c r="F883" s="64"/>
    </row>
    <row r="884" spans="1:6" ht="13.5" thickBot="1" x14ac:dyDescent="0.3">
      <c r="A884" s="65"/>
      <c r="C884" s="64"/>
      <c r="D884" s="64"/>
      <c r="F884" s="64"/>
    </row>
    <row r="885" spans="1:6" ht="13.5" thickBot="1" x14ac:dyDescent="0.3">
      <c r="A885" s="65"/>
      <c r="C885" s="64"/>
      <c r="D885" s="64"/>
      <c r="F885" s="64"/>
    </row>
    <row r="886" spans="1:6" ht="13.5" thickBot="1" x14ac:dyDescent="0.3">
      <c r="A886" s="65"/>
      <c r="C886" s="64"/>
      <c r="D886" s="64"/>
      <c r="F886" s="64"/>
    </row>
    <row r="887" spans="1:6" ht="13.5" thickBot="1" x14ac:dyDescent="0.3">
      <c r="A887" s="65"/>
      <c r="C887" s="64"/>
      <c r="D887" s="64"/>
      <c r="F887" s="64"/>
    </row>
    <row r="888" spans="1:6" ht="13.5" thickBot="1" x14ac:dyDescent="0.3">
      <c r="A888" s="65"/>
      <c r="C888" s="64"/>
      <c r="D888" s="64"/>
      <c r="F888" s="64"/>
    </row>
    <row r="889" spans="1:6" ht="13.5" thickBot="1" x14ac:dyDescent="0.3">
      <c r="A889" s="65"/>
      <c r="C889" s="64"/>
      <c r="D889" s="64"/>
      <c r="F889" s="64"/>
    </row>
    <row r="890" spans="1:6" ht="13.5" thickBot="1" x14ac:dyDescent="0.3">
      <c r="A890" s="65"/>
      <c r="C890" s="64"/>
      <c r="D890" s="64"/>
      <c r="F890" s="64"/>
    </row>
    <row r="891" spans="1:6" ht="13.5" thickBot="1" x14ac:dyDescent="0.3">
      <c r="A891" s="65"/>
      <c r="C891" s="64"/>
      <c r="D891" s="64"/>
      <c r="F891" s="64"/>
    </row>
    <row r="892" spans="1:6" ht="13.5" thickBot="1" x14ac:dyDescent="0.3">
      <c r="A892" s="65"/>
      <c r="C892" s="64"/>
      <c r="D892" s="64"/>
      <c r="F892" s="64"/>
    </row>
    <row r="893" spans="1:6" ht="13.5" thickBot="1" x14ac:dyDescent="0.3">
      <c r="A893" s="65"/>
      <c r="C893" s="64"/>
      <c r="D893" s="64"/>
      <c r="F893" s="64"/>
    </row>
    <row r="894" spans="1:6" ht="13.5" thickBot="1" x14ac:dyDescent="0.3">
      <c r="A894" s="65"/>
      <c r="C894" s="64"/>
      <c r="D894" s="64"/>
      <c r="F894" s="64"/>
    </row>
    <row r="895" spans="1:6" ht="13.5" thickBot="1" x14ac:dyDescent="0.3">
      <c r="A895" s="65"/>
      <c r="C895" s="64"/>
      <c r="D895" s="64"/>
      <c r="F895" s="64"/>
    </row>
    <row r="896" spans="1:6" ht="13.5" thickBot="1" x14ac:dyDescent="0.3">
      <c r="A896" s="65"/>
      <c r="C896" s="64"/>
      <c r="D896" s="64"/>
      <c r="F896" s="64"/>
    </row>
    <row r="897" spans="1:6" ht="13.5" thickBot="1" x14ac:dyDescent="0.3">
      <c r="A897" s="65"/>
      <c r="C897" s="64"/>
      <c r="D897" s="64"/>
      <c r="F897" s="64"/>
    </row>
    <row r="898" spans="1:6" ht="13.5" thickBot="1" x14ac:dyDescent="0.3">
      <c r="A898" s="65"/>
      <c r="C898" s="64"/>
      <c r="D898" s="64"/>
      <c r="F898" s="64"/>
    </row>
    <row r="899" spans="1:6" ht="13.5" thickBot="1" x14ac:dyDescent="0.3">
      <c r="A899" s="65"/>
      <c r="C899" s="64"/>
      <c r="D899" s="64"/>
      <c r="F899" s="64"/>
    </row>
    <row r="900" spans="1:6" ht="13.5" thickBot="1" x14ac:dyDescent="0.3">
      <c r="A900" s="65"/>
      <c r="C900" s="64"/>
      <c r="D900" s="64"/>
      <c r="F900" s="64"/>
    </row>
    <row r="901" spans="1:6" ht="13.5" thickBot="1" x14ac:dyDescent="0.3">
      <c r="A901" s="65"/>
      <c r="C901" s="64"/>
      <c r="D901" s="64"/>
      <c r="F901" s="64"/>
    </row>
    <row r="902" spans="1:6" ht="13.5" thickBot="1" x14ac:dyDescent="0.3">
      <c r="A902" s="65"/>
      <c r="C902" s="64"/>
      <c r="D902" s="64"/>
      <c r="F902" s="64"/>
    </row>
    <row r="903" spans="1:6" ht="13.5" thickBot="1" x14ac:dyDescent="0.3">
      <c r="A903" s="65"/>
      <c r="C903" s="64"/>
      <c r="D903" s="64"/>
      <c r="F903" s="64"/>
    </row>
    <row r="904" spans="1:6" ht="13.5" thickBot="1" x14ac:dyDescent="0.3">
      <c r="A904" s="65"/>
      <c r="C904" s="64"/>
      <c r="D904" s="64"/>
      <c r="F904" s="64"/>
    </row>
    <row r="905" spans="1:6" ht="13.5" thickBot="1" x14ac:dyDescent="0.3">
      <c r="A905" s="65"/>
      <c r="C905" s="64"/>
      <c r="D905" s="64"/>
      <c r="F905" s="64"/>
    </row>
    <row r="906" spans="1:6" ht="13.5" thickBot="1" x14ac:dyDescent="0.3">
      <c r="A906" s="65"/>
      <c r="C906" s="64"/>
      <c r="D906" s="64"/>
      <c r="F906" s="64"/>
    </row>
    <row r="907" spans="1:6" ht="13.5" thickBot="1" x14ac:dyDescent="0.3">
      <c r="A907" s="65"/>
      <c r="C907" s="64"/>
      <c r="D907" s="64"/>
      <c r="F907" s="64"/>
    </row>
    <row r="908" spans="1:6" ht="13.5" thickBot="1" x14ac:dyDescent="0.3">
      <c r="A908" s="65"/>
      <c r="C908" s="64"/>
      <c r="D908" s="64"/>
      <c r="F908" s="64"/>
    </row>
    <row r="909" spans="1:6" ht="13.5" thickBot="1" x14ac:dyDescent="0.3">
      <c r="A909" s="65"/>
      <c r="C909" s="64"/>
      <c r="D909" s="64"/>
      <c r="F909" s="64"/>
    </row>
    <row r="910" spans="1:6" ht="13.5" thickBot="1" x14ac:dyDescent="0.3">
      <c r="A910" s="65"/>
      <c r="C910" s="64"/>
      <c r="D910" s="64"/>
      <c r="F910" s="64"/>
    </row>
    <row r="911" spans="1:6" ht="13.5" thickBot="1" x14ac:dyDescent="0.3">
      <c r="A911" s="65"/>
      <c r="C911" s="64"/>
      <c r="D911" s="64"/>
      <c r="F911" s="64"/>
    </row>
    <row r="912" spans="1:6" ht="13.5" thickBot="1" x14ac:dyDescent="0.3">
      <c r="A912" s="65"/>
      <c r="C912" s="64"/>
      <c r="D912" s="64"/>
      <c r="F912" s="64"/>
    </row>
    <row r="913" spans="1:6" ht="13.5" thickBot="1" x14ac:dyDescent="0.3">
      <c r="A913" s="65"/>
      <c r="C913" s="64"/>
      <c r="D913" s="64"/>
      <c r="F913" s="64"/>
    </row>
    <row r="914" spans="1:6" ht="13.5" thickBot="1" x14ac:dyDescent="0.3">
      <c r="A914" s="65"/>
      <c r="C914" s="64"/>
      <c r="D914" s="64"/>
      <c r="F914" s="64"/>
    </row>
    <row r="915" spans="1:6" ht="13.5" thickBot="1" x14ac:dyDescent="0.3">
      <c r="A915" s="65"/>
      <c r="C915" s="64"/>
      <c r="D915" s="64"/>
      <c r="F915" s="64"/>
    </row>
    <row r="916" spans="1:6" ht="13.5" thickBot="1" x14ac:dyDescent="0.3">
      <c r="A916" s="65"/>
      <c r="C916" s="64"/>
      <c r="D916" s="64"/>
      <c r="F916" s="64"/>
    </row>
    <row r="917" spans="1:6" ht="13.5" thickBot="1" x14ac:dyDescent="0.3">
      <c r="A917" s="65"/>
      <c r="C917" s="64"/>
      <c r="D917" s="64"/>
      <c r="F917" s="64"/>
    </row>
    <row r="918" spans="1:6" ht="13.5" thickBot="1" x14ac:dyDescent="0.3">
      <c r="A918" s="65"/>
      <c r="C918" s="64"/>
      <c r="D918" s="64"/>
      <c r="F918" s="64"/>
    </row>
    <row r="919" spans="1:6" ht="13.5" thickBot="1" x14ac:dyDescent="0.3">
      <c r="A919" s="65"/>
      <c r="C919" s="64"/>
      <c r="D919" s="64"/>
      <c r="F919" s="64"/>
    </row>
    <row r="920" spans="1:6" ht="13.5" thickBot="1" x14ac:dyDescent="0.3">
      <c r="A920" s="65"/>
      <c r="C920" s="64"/>
      <c r="D920" s="64"/>
      <c r="F920" s="64"/>
    </row>
    <row r="921" spans="1:6" ht="13.5" thickBot="1" x14ac:dyDescent="0.3">
      <c r="A921" s="65"/>
      <c r="C921" s="64"/>
      <c r="D921" s="64"/>
      <c r="F921" s="64"/>
    </row>
    <row r="922" spans="1:6" ht="13.5" thickBot="1" x14ac:dyDescent="0.3">
      <c r="A922" s="65"/>
      <c r="C922" s="64"/>
      <c r="D922" s="64"/>
      <c r="F922" s="64"/>
    </row>
    <row r="923" spans="1:6" ht="13.5" thickBot="1" x14ac:dyDescent="0.3">
      <c r="A923" s="65"/>
      <c r="C923" s="64"/>
      <c r="D923" s="64"/>
      <c r="F923" s="64"/>
    </row>
    <row r="924" spans="1:6" ht="13.5" thickBot="1" x14ac:dyDescent="0.3">
      <c r="A924" s="65"/>
      <c r="C924" s="64"/>
      <c r="D924" s="64"/>
      <c r="F924" s="64"/>
    </row>
    <row r="925" spans="1:6" ht="13.5" thickBot="1" x14ac:dyDescent="0.3">
      <c r="A925" s="65"/>
      <c r="C925" s="64"/>
      <c r="D925" s="64"/>
      <c r="F925" s="64"/>
    </row>
    <row r="926" spans="1:6" ht="13.5" thickBot="1" x14ac:dyDescent="0.3">
      <c r="A926" s="65"/>
      <c r="C926" s="64"/>
      <c r="D926" s="64"/>
      <c r="F926" s="64"/>
    </row>
    <row r="927" spans="1:6" ht="13.5" thickBot="1" x14ac:dyDescent="0.3">
      <c r="A927" s="65"/>
      <c r="C927" s="64"/>
      <c r="D927" s="64"/>
      <c r="F927" s="64"/>
    </row>
    <row r="928" spans="1:6" ht="13.5" thickBot="1" x14ac:dyDescent="0.3">
      <c r="A928" s="65"/>
      <c r="C928" s="64"/>
      <c r="D928" s="64"/>
      <c r="F928" s="64"/>
    </row>
    <row r="929" spans="1:6" ht="13.5" thickBot="1" x14ac:dyDescent="0.3">
      <c r="A929" s="65"/>
      <c r="C929" s="64"/>
      <c r="D929" s="64"/>
      <c r="F929" s="64"/>
    </row>
    <row r="930" spans="1:6" ht="13.5" thickBot="1" x14ac:dyDescent="0.3">
      <c r="A930" s="65"/>
      <c r="C930" s="64"/>
      <c r="D930" s="64"/>
      <c r="F930" s="64"/>
    </row>
    <row r="931" spans="1:6" ht="13.5" thickBot="1" x14ac:dyDescent="0.3">
      <c r="A931" s="65"/>
      <c r="C931" s="64"/>
      <c r="D931" s="64"/>
      <c r="F931" s="64"/>
    </row>
    <row r="932" spans="1:6" ht="13.5" thickBot="1" x14ac:dyDescent="0.3">
      <c r="A932" s="65"/>
      <c r="C932" s="64"/>
      <c r="D932" s="64"/>
      <c r="F932" s="64"/>
    </row>
    <row r="933" spans="1:6" ht="13.5" thickBot="1" x14ac:dyDescent="0.3">
      <c r="A933" s="65"/>
      <c r="C933" s="64"/>
      <c r="D933" s="64"/>
      <c r="F933" s="64"/>
    </row>
    <row r="934" spans="1:6" ht="13.5" thickBot="1" x14ac:dyDescent="0.3">
      <c r="A934" s="65"/>
      <c r="C934" s="64"/>
      <c r="D934" s="64"/>
      <c r="F934" s="64"/>
    </row>
    <row r="935" spans="1:6" ht="13.5" thickBot="1" x14ac:dyDescent="0.3">
      <c r="A935" s="65"/>
      <c r="C935" s="64"/>
      <c r="D935" s="64"/>
      <c r="F935" s="64"/>
    </row>
    <row r="936" spans="1:6" ht="13.5" thickBot="1" x14ac:dyDescent="0.3">
      <c r="A936" s="65"/>
      <c r="C936" s="64"/>
      <c r="D936" s="64"/>
      <c r="F936" s="64"/>
    </row>
    <row r="937" spans="1:6" ht="13.5" thickBot="1" x14ac:dyDescent="0.3">
      <c r="A937" s="65"/>
      <c r="C937" s="64"/>
      <c r="D937" s="64"/>
      <c r="F937" s="64"/>
    </row>
    <row r="938" spans="1:6" ht="13.5" thickBot="1" x14ac:dyDescent="0.3">
      <c r="A938" s="65"/>
      <c r="C938" s="64"/>
      <c r="D938" s="64"/>
      <c r="F938" s="64"/>
    </row>
    <row r="939" spans="1:6" ht="13.5" thickBot="1" x14ac:dyDescent="0.3">
      <c r="A939" s="65"/>
      <c r="C939" s="64"/>
      <c r="D939" s="64"/>
      <c r="F939" s="64"/>
    </row>
    <row r="940" spans="1:6" ht="13.5" thickBot="1" x14ac:dyDescent="0.3">
      <c r="A940" s="65"/>
      <c r="C940" s="64"/>
      <c r="D940" s="64"/>
      <c r="F940" s="64"/>
    </row>
    <row r="941" spans="1:6" ht="13.5" thickBot="1" x14ac:dyDescent="0.3">
      <c r="A941" s="65"/>
      <c r="C941" s="64"/>
      <c r="D941" s="64"/>
      <c r="F941" s="64"/>
    </row>
    <row r="942" spans="1:6" ht="13.5" thickBot="1" x14ac:dyDescent="0.3">
      <c r="A942" s="65"/>
      <c r="C942" s="64"/>
      <c r="D942" s="64"/>
      <c r="F942" s="64"/>
    </row>
    <row r="943" spans="1:6" ht="13.5" thickBot="1" x14ac:dyDescent="0.3">
      <c r="A943" s="65"/>
      <c r="C943" s="64"/>
      <c r="D943" s="64"/>
      <c r="F943" s="64"/>
    </row>
    <row r="944" spans="1:6" ht="13.5" thickBot="1" x14ac:dyDescent="0.3">
      <c r="A944" s="65"/>
      <c r="C944" s="64"/>
      <c r="D944" s="64"/>
      <c r="F944" s="64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B8A673-6B51-4183-9641-F7AF44C71DA8}">
  <dimension ref="A1:B97"/>
  <sheetViews>
    <sheetView topLeftCell="A41" workbookViewId="0">
      <selection activeCell="B101" sqref="B101"/>
    </sheetView>
  </sheetViews>
  <sheetFormatPr baseColWidth="10" defaultRowHeight="15" x14ac:dyDescent="0.25"/>
  <cols>
    <col min="1" max="1" width="36.42578125" bestFit="1" customWidth="1"/>
    <col min="2" max="2" width="68.42578125" bestFit="1" customWidth="1"/>
  </cols>
  <sheetData>
    <row r="1" spans="1:2" x14ac:dyDescent="0.25">
      <c r="A1" t="s">
        <v>2</v>
      </c>
      <c r="B1" t="s">
        <v>3</v>
      </c>
    </row>
    <row r="2" spans="1:2" ht="15.75" x14ac:dyDescent="0.25">
      <c r="A2" s="3" t="s">
        <v>29</v>
      </c>
      <c r="B2" t="s">
        <v>81</v>
      </c>
    </row>
    <row r="3" spans="1:2" x14ac:dyDescent="0.25">
      <c r="A3" s="1" t="s">
        <v>31</v>
      </c>
      <c r="B3" s="4" t="s">
        <v>30</v>
      </c>
    </row>
    <row r="4" spans="1:2" x14ac:dyDescent="0.25">
      <c r="A4" s="1" t="s">
        <v>10</v>
      </c>
      <c r="B4" s="4" t="s">
        <v>75</v>
      </c>
    </row>
    <row r="5" spans="1:2" ht="16.5" x14ac:dyDescent="0.3">
      <c r="A5" s="5" t="s">
        <v>16</v>
      </c>
      <c r="B5" s="4" t="s">
        <v>44</v>
      </c>
    </row>
    <row r="6" spans="1:2" ht="16.5" x14ac:dyDescent="0.3">
      <c r="A6" s="5" t="s">
        <v>53</v>
      </c>
      <c r="B6" s="4" t="s">
        <v>80</v>
      </c>
    </row>
    <row r="7" spans="1:2" ht="16.5" x14ac:dyDescent="0.3">
      <c r="A7" s="5" t="s">
        <v>82</v>
      </c>
      <c r="B7" s="6" t="s">
        <v>9</v>
      </c>
    </row>
    <row r="8" spans="1:2" ht="16.5" x14ac:dyDescent="0.3">
      <c r="A8" s="5" t="s">
        <v>63</v>
      </c>
      <c r="B8" s="6" t="s">
        <v>17</v>
      </c>
    </row>
    <row r="9" spans="1:2" ht="16.5" x14ac:dyDescent="0.3">
      <c r="A9" s="5" t="s">
        <v>65</v>
      </c>
      <c r="B9" s="4" t="s">
        <v>18</v>
      </c>
    </row>
    <row r="10" spans="1:2" ht="16.5" x14ac:dyDescent="0.3">
      <c r="A10" s="5" t="s">
        <v>20</v>
      </c>
      <c r="B10" s="4" t="s">
        <v>23</v>
      </c>
    </row>
    <row r="11" spans="1:2" ht="16.5" x14ac:dyDescent="0.3">
      <c r="A11" s="5" t="s">
        <v>75</v>
      </c>
      <c r="B11" s="4" t="s">
        <v>12</v>
      </c>
    </row>
    <row r="12" spans="1:2" ht="16.5" x14ac:dyDescent="0.3">
      <c r="A12" s="5" t="s">
        <v>76</v>
      </c>
      <c r="B12" s="4" t="s">
        <v>43</v>
      </c>
    </row>
    <row r="13" spans="1:2" ht="17.25" x14ac:dyDescent="0.3">
      <c r="A13" s="7" t="s">
        <v>77</v>
      </c>
      <c r="B13" s="4" t="s">
        <v>0</v>
      </c>
    </row>
    <row r="14" spans="1:2" ht="16.5" x14ac:dyDescent="0.3">
      <c r="A14" s="5" t="s">
        <v>83</v>
      </c>
      <c r="B14" s="4" t="s">
        <v>54</v>
      </c>
    </row>
    <row r="15" spans="1:2" ht="16.5" x14ac:dyDescent="0.3">
      <c r="A15" s="5" t="s">
        <v>22</v>
      </c>
      <c r="B15" s="4" t="s">
        <v>55</v>
      </c>
    </row>
    <row r="16" spans="1:2" ht="16.5" x14ac:dyDescent="0.3">
      <c r="A16" s="5" t="s">
        <v>6</v>
      </c>
      <c r="B16" s="4" t="s">
        <v>68</v>
      </c>
    </row>
    <row r="17" spans="2:2" x14ac:dyDescent="0.25">
      <c r="B17" s="6" t="s">
        <v>39</v>
      </c>
    </row>
    <row r="18" spans="2:2" x14ac:dyDescent="0.25">
      <c r="B18" s="4" t="s">
        <v>67</v>
      </c>
    </row>
    <row r="19" spans="2:2" x14ac:dyDescent="0.25">
      <c r="B19" s="4" t="s">
        <v>84</v>
      </c>
    </row>
    <row r="20" spans="2:2" x14ac:dyDescent="0.25">
      <c r="B20" s="4" t="s">
        <v>33</v>
      </c>
    </row>
    <row r="21" spans="2:2" x14ac:dyDescent="0.25">
      <c r="B21" s="6" t="s">
        <v>34</v>
      </c>
    </row>
    <row r="22" spans="2:2" x14ac:dyDescent="0.25">
      <c r="B22" s="4" t="s">
        <v>7</v>
      </c>
    </row>
    <row r="23" spans="2:2" x14ac:dyDescent="0.25">
      <c r="B23" s="4" t="s">
        <v>35</v>
      </c>
    </row>
    <row r="24" spans="2:2" x14ac:dyDescent="0.25">
      <c r="B24" s="4" t="s">
        <v>70</v>
      </c>
    </row>
    <row r="25" spans="2:2" x14ac:dyDescent="0.25">
      <c r="B25" s="6" t="s">
        <v>49</v>
      </c>
    </row>
    <row r="26" spans="2:2" x14ac:dyDescent="0.25">
      <c r="B26" s="6" t="s">
        <v>36</v>
      </c>
    </row>
    <row r="27" spans="2:2" x14ac:dyDescent="0.25">
      <c r="B27" s="6" t="s">
        <v>51</v>
      </c>
    </row>
    <row r="28" spans="2:2" x14ac:dyDescent="0.25">
      <c r="B28" s="6" t="s">
        <v>52</v>
      </c>
    </row>
    <row r="29" spans="2:2" x14ac:dyDescent="0.25">
      <c r="B29" s="4" t="s">
        <v>85</v>
      </c>
    </row>
    <row r="30" spans="2:2" x14ac:dyDescent="0.25">
      <c r="B30" s="6" t="s">
        <v>86</v>
      </c>
    </row>
    <row r="31" spans="2:2" x14ac:dyDescent="0.25">
      <c r="B31" s="4" t="s">
        <v>40</v>
      </c>
    </row>
    <row r="32" spans="2:2" x14ac:dyDescent="0.25">
      <c r="B32" s="4" t="s">
        <v>87</v>
      </c>
    </row>
    <row r="33" spans="2:2" x14ac:dyDescent="0.25">
      <c r="B33" s="4" t="s">
        <v>14</v>
      </c>
    </row>
    <row r="34" spans="2:2" x14ac:dyDescent="0.25">
      <c r="B34" s="4" t="s">
        <v>88</v>
      </c>
    </row>
    <row r="35" spans="2:2" x14ac:dyDescent="0.25">
      <c r="B35" s="4" t="s">
        <v>89</v>
      </c>
    </row>
    <row r="36" spans="2:2" x14ac:dyDescent="0.25">
      <c r="B36" s="4" t="s">
        <v>61</v>
      </c>
    </row>
    <row r="37" spans="2:2" x14ac:dyDescent="0.25">
      <c r="B37" s="6" t="s">
        <v>62</v>
      </c>
    </row>
    <row r="38" spans="2:2" x14ac:dyDescent="0.25">
      <c r="B38" s="6" t="s">
        <v>90</v>
      </c>
    </row>
    <row r="39" spans="2:2" x14ac:dyDescent="0.25">
      <c r="B39" s="6" t="s">
        <v>91</v>
      </c>
    </row>
    <row r="40" spans="2:2" x14ac:dyDescent="0.25">
      <c r="B40" s="6" t="s">
        <v>41</v>
      </c>
    </row>
    <row r="41" spans="2:2" x14ac:dyDescent="0.25">
      <c r="B41" s="6" t="s">
        <v>78</v>
      </c>
    </row>
    <row r="42" spans="2:2" x14ac:dyDescent="0.25">
      <c r="B42" s="6" t="s">
        <v>92</v>
      </c>
    </row>
    <row r="43" spans="2:2" x14ac:dyDescent="0.25">
      <c r="B43" s="6" t="s">
        <v>13</v>
      </c>
    </row>
    <row r="44" spans="2:2" x14ac:dyDescent="0.25">
      <c r="B44" s="6" t="s">
        <v>93</v>
      </c>
    </row>
    <row r="45" spans="2:2" x14ac:dyDescent="0.25">
      <c r="B45" s="6" t="s">
        <v>94</v>
      </c>
    </row>
    <row r="46" spans="2:2" x14ac:dyDescent="0.25">
      <c r="B46" s="4" t="s">
        <v>8</v>
      </c>
    </row>
    <row r="47" spans="2:2" x14ac:dyDescent="0.25">
      <c r="B47" s="4" t="s">
        <v>56</v>
      </c>
    </row>
    <row r="48" spans="2:2" x14ac:dyDescent="0.25">
      <c r="B48" s="4" t="s">
        <v>72</v>
      </c>
    </row>
    <row r="49" spans="2:2" x14ac:dyDescent="0.25">
      <c r="B49" s="4" t="s">
        <v>95</v>
      </c>
    </row>
    <row r="50" spans="2:2" x14ac:dyDescent="0.25">
      <c r="B50" s="4" t="s">
        <v>96</v>
      </c>
    </row>
    <row r="51" spans="2:2" x14ac:dyDescent="0.25">
      <c r="B51" s="4" t="s">
        <v>42</v>
      </c>
    </row>
    <row r="52" spans="2:2" x14ac:dyDescent="0.25">
      <c r="B52" s="4" t="s">
        <v>11</v>
      </c>
    </row>
    <row r="53" spans="2:2" x14ac:dyDescent="0.25">
      <c r="B53" s="4" t="s">
        <v>97</v>
      </c>
    </row>
    <row r="54" spans="2:2" x14ac:dyDescent="0.25">
      <c r="B54" s="4" t="s">
        <v>98</v>
      </c>
    </row>
    <row r="55" spans="2:2" x14ac:dyDescent="0.25">
      <c r="B55" s="4" t="s">
        <v>32</v>
      </c>
    </row>
    <row r="56" spans="2:2" x14ac:dyDescent="0.25">
      <c r="B56" s="4" t="s">
        <v>59</v>
      </c>
    </row>
    <row r="57" spans="2:2" x14ac:dyDescent="0.25">
      <c r="B57" s="8" t="s">
        <v>46</v>
      </c>
    </row>
    <row r="58" spans="2:2" x14ac:dyDescent="0.25">
      <c r="B58" s="4" t="s">
        <v>99</v>
      </c>
    </row>
    <row r="59" spans="2:2" x14ac:dyDescent="0.25">
      <c r="B59" s="4" t="s">
        <v>73</v>
      </c>
    </row>
    <row r="60" spans="2:2" x14ac:dyDescent="0.25">
      <c r="B60" s="4" t="s">
        <v>47</v>
      </c>
    </row>
    <row r="61" spans="2:2" x14ac:dyDescent="0.25">
      <c r="B61" s="8" t="s">
        <v>48</v>
      </c>
    </row>
    <row r="62" spans="2:2" x14ac:dyDescent="0.25">
      <c r="B62" s="4" t="s">
        <v>1</v>
      </c>
    </row>
    <row r="63" spans="2:2" x14ac:dyDescent="0.25">
      <c r="B63" s="4" t="s">
        <v>50</v>
      </c>
    </row>
    <row r="64" spans="2:2" x14ac:dyDescent="0.25">
      <c r="B64" s="4" t="s">
        <v>100</v>
      </c>
    </row>
    <row r="65" spans="2:2" x14ac:dyDescent="0.25">
      <c r="B65" s="4" t="s">
        <v>101</v>
      </c>
    </row>
    <row r="66" spans="2:2" x14ac:dyDescent="0.25">
      <c r="B66" s="4" t="s">
        <v>74</v>
      </c>
    </row>
    <row r="67" spans="2:2" x14ac:dyDescent="0.25">
      <c r="B67" s="6" t="s">
        <v>57</v>
      </c>
    </row>
    <row r="68" spans="2:2" x14ac:dyDescent="0.25">
      <c r="B68" s="6" t="s">
        <v>45</v>
      </c>
    </row>
    <row r="69" spans="2:2" x14ac:dyDescent="0.25">
      <c r="B69" s="9" t="s">
        <v>102</v>
      </c>
    </row>
    <row r="70" spans="2:2" x14ac:dyDescent="0.25">
      <c r="B70" s="4" t="s">
        <v>64</v>
      </c>
    </row>
    <row r="71" spans="2:2" x14ac:dyDescent="0.25">
      <c r="B71" s="6" t="s">
        <v>103</v>
      </c>
    </row>
    <row r="72" spans="2:2" x14ac:dyDescent="0.25">
      <c r="B72" t="s">
        <v>4</v>
      </c>
    </row>
    <row r="73" spans="2:2" x14ac:dyDescent="0.25">
      <c r="B73" s="6" t="s">
        <v>69</v>
      </c>
    </row>
    <row r="74" spans="2:2" x14ac:dyDescent="0.25">
      <c r="B74" s="6" t="s">
        <v>104</v>
      </c>
    </row>
    <row r="75" spans="2:2" x14ac:dyDescent="0.25">
      <c r="B75" s="6" t="s">
        <v>105</v>
      </c>
    </row>
    <row r="76" spans="2:2" x14ac:dyDescent="0.25">
      <c r="B76" s="6" t="s">
        <v>66</v>
      </c>
    </row>
    <row r="77" spans="2:2" x14ac:dyDescent="0.25">
      <c r="B77" s="6" t="s">
        <v>21</v>
      </c>
    </row>
    <row r="78" spans="2:2" x14ac:dyDescent="0.25">
      <c r="B78" s="6" t="s">
        <v>114</v>
      </c>
    </row>
    <row r="79" spans="2:2" x14ac:dyDescent="0.25">
      <c r="B79" s="6" t="s">
        <v>106</v>
      </c>
    </row>
    <row r="80" spans="2:2" x14ac:dyDescent="0.25">
      <c r="B80" s="6" t="s">
        <v>67</v>
      </c>
    </row>
    <row r="81" spans="2:2" x14ac:dyDescent="0.25">
      <c r="B81" s="6" t="s">
        <v>60</v>
      </c>
    </row>
    <row r="82" spans="2:2" x14ac:dyDescent="0.25">
      <c r="B82" s="6" t="s">
        <v>58</v>
      </c>
    </row>
    <row r="83" spans="2:2" x14ac:dyDescent="0.25">
      <c r="B83" s="6" t="s">
        <v>15</v>
      </c>
    </row>
    <row r="84" spans="2:2" x14ac:dyDescent="0.25">
      <c r="B84" s="6" t="s">
        <v>107</v>
      </c>
    </row>
    <row r="85" spans="2:2" x14ac:dyDescent="0.25">
      <c r="B85" s="6" t="s">
        <v>71</v>
      </c>
    </row>
    <row r="86" spans="2:2" x14ac:dyDescent="0.25">
      <c r="B86" s="6" t="s">
        <v>108</v>
      </c>
    </row>
    <row r="87" spans="2:2" x14ac:dyDescent="0.25">
      <c r="B87" s="6" t="s">
        <v>37</v>
      </c>
    </row>
    <row r="88" spans="2:2" x14ac:dyDescent="0.25">
      <c r="B88" s="6" t="s">
        <v>38</v>
      </c>
    </row>
    <row r="89" spans="2:2" x14ac:dyDescent="0.25">
      <c r="B89" s="6" t="s">
        <v>19</v>
      </c>
    </row>
    <row r="90" spans="2:2" x14ac:dyDescent="0.25">
      <c r="B90" s="10" t="s">
        <v>109</v>
      </c>
    </row>
    <row r="91" spans="2:2" x14ac:dyDescent="0.25">
      <c r="B91" s="6" t="s">
        <v>5</v>
      </c>
    </row>
    <row r="92" spans="2:2" x14ac:dyDescent="0.25">
      <c r="B92" s="6" t="s">
        <v>110</v>
      </c>
    </row>
    <row r="93" spans="2:2" x14ac:dyDescent="0.25">
      <c r="B93" s="6" t="s">
        <v>115</v>
      </c>
    </row>
    <row r="94" spans="2:2" x14ac:dyDescent="0.25">
      <c r="B94" t="s">
        <v>111</v>
      </c>
    </row>
    <row r="95" spans="2:2" x14ac:dyDescent="0.25">
      <c r="B95" s="6" t="s">
        <v>112</v>
      </c>
    </row>
    <row r="96" spans="2:2" x14ac:dyDescent="0.25">
      <c r="B96" s="6" t="s">
        <v>113</v>
      </c>
    </row>
    <row r="97" spans="2:2" x14ac:dyDescent="0.25">
      <c r="B97" s="6" t="s">
        <v>116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Jul'24</vt:lpstr>
      <vt:lpstr>Gastos</vt:lpstr>
      <vt:lpstr>Ventas Jul´24</vt:lpstr>
      <vt:lpstr>LISTA CONCEPTOS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Italmexy S.A.P.I</dc:creator>
  <cp:lastModifiedBy>Carolina Iotti</cp:lastModifiedBy>
  <dcterms:created xsi:type="dcterms:W3CDTF">2024-08-22T23:17:32Z</dcterms:created>
  <dcterms:modified xsi:type="dcterms:W3CDTF">2025-03-06T19:47:05Z</dcterms:modified>
</cp:coreProperties>
</file>