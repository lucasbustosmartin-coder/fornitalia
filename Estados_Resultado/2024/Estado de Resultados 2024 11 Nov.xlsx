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18" documentId="8_{803D3299-B0A0-4060-BE0C-1EE3C7CA7ADB}" xr6:coauthVersionLast="47" xr6:coauthVersionMax="47" xr10:uidLastSave="{8BF8560D-3B9F-40AD-BC49-D4F3661CC84A}"/>
  <bookViews>
    <workbookView xWindow="-120" yWindow="-120" windowWidth="20730" windowHeight="11040" tabRatio="599" xr2:uid="{30A6164E-A0D3-4996-9EF3-92045D51F006}"/>
  </bookViews>
  <sheets>
    <sheet name="Nov'24" sheetId="23" r:id="rId1"/>
    <sheet name="Gastos" sheetId="24" r:id="rId2"/>
    <sheet name="Ventas Nov´24" sheetId="18" r:id="rId3"/>
    <sheet name="LISTA CONCEPTOS" sheetId="15" state="hidden" r:id="rId4"/>
  </sheets>
  <definedNames>
    <definedName name="_xlnm._FilterDatabase" localSheetId="1" hidden="1">Gastos!$A$1:$G$1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1" i="24" l="1"/>
  <c r="B23" i="23" s="1"/>
  <c r="C13" i="23" l="1"/>
  <c r="C16" i="23"/>
  <c r="P6" i="18"/>
  <c r="B6" i="23" s="1"/>
  <c r="B4" i="23"/>
  <c r="I6" i="18"/>
  <c r="B3" i="23"/>
  <c r="J6" i="18"/>
  <c r="H6" i="18"/>
  <c r="H3" i="18"/>
  <c r="J3" i="18"/>
  <c r="J4" i="18"/>
  <c r="J5" i="18"/>
  <c r="J2" i="18"/>
  <c r="P5" i="18"/>
  <c r="P4" i="18"/>
  <c r="P3" i="18"/>
  <c r="P2" i="18"/>
  <c r="M3" i="18"/>
  <c r="O3" i="18" s="1"/>
  <c r="M4" i="18"/>
  <c r="O4" i="18" s="1"/>
  <c r="M5" i="18"/>
  <c r="O5" i="18" s="1"/>
  <c r="M2" i="18"/>
  <c r="N2" i="18" s="1"/>
  <c r="N3" i="18" l="1"/>
  <c r="N5" i="18"/>
  <c r="N4" i="18"/>
  <c r="O2" i="18"/>
  <c r="B111" i="24"/>
  <c r="D97" i="24"/>
  <c r="B22" i="23" s="1"/>
  <c r="D100" i="24"/>
  <c r="B18" i="23" s="1"/>
  <c r="B100" i="24"/>
  <c r="B97" i="24"/>
  <c r="D83" i="24"/>
  <c r="B17" i="23" s="1"/>
  <c r="C17" i="23" s="1"/>
  <c r="D117" i="24"/>
  <c r="D9" i="24"/>
  <c r="B15" i="23" s="1"/>
  <c r="C15" i="23" s="1"/>
  <c r="D7" i="24"/>
  <c r="B14" i="23" s="1"/>
  <c r="C14" i="23" s="1"/>
  <c r="D5" i="24"/>
  <c r="B11" i="23" s="1"/>
  <c r="D120" i="24"/>
  <c r="B30" i="23" s="1"/>
  <c r="B120" i="24"/>
  <c r="B83" i="24"/>
  <c r="B117" i="24"/>
  <c r="B9" i="24"/>
  <c r="B7" i="24"/>
  <c r="B5" i="24"/>
  <c r="B10" i="23" l="1"/>
  <c r="B5" i="23"/>
  <c r="C4" i="23"/>
  <c r="C18" i="23" l="1"/>
  <c r="C10" i="23"/>
  <c r="C22" i="23"/>
  <c r="C19" i="23"/>
  <c r="C11" i="23"/>
  <c r="C12" i="23"/>
  <c r="B7" i="23"/>
  <c r="C7" i="23" s="1"/>
  <c r="B21" i="23" l="1"/>
  <c r="C21" i="23" s="1"/>
  <c r="B25" i="23" l="1"/>
  <c r="B27" i="23"/>
  <c r="C27" i="23" s="1"/>
  <c r="C23" i="23"/>
</calcChain>
</file>

<file path=xl/sharedStrings.xml><?xml version="1.0" encoding="utf-8"?>
<sst xmlns="http://schemas.openxmlformats.org/spreadsheetml/2006/main" count="497" uniqueCount="241">
  <si>
    <t>CRM</t>
  </si>
  <si>
    <t>FN1 PRO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</si>
  <si>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</si>
  <si>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</si>
  <si>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</si>
  <si>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</si>
  <si>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</si>
  <si>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</si>
  <si>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</si>
  <si>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</si>
  <si>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</si>
  <si>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</si>
  <si>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</si>
  <si>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</si>
  <si>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</si>
  <si>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</si>
  <si>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</si>
  <si>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</si>
  <si>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</si>
  <si>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</si>
  <si>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</si>
  <si>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</si>
  <si>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</si>
  <si>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</si>
  <si>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</si>
  <si>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</si>
  <si>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</si>
  <si>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</si>
  <si>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</si>
  <si>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</si>
  <si>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</si>
  <si>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</si>
  <si>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</si>
  <si>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</si>
  <si>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</si>
  <si>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</si>
  <si>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</si>
  <si>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</si>
  <si>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</si>
  <si>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</si>
  <si>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</si>
  <si>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</si>
  <si>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</si>
  <si>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</si>
  <si>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</si>
  <si>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</si>
  <si>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</si>
  <si>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</si>
  <si>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</si>
  <si>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</si>
  <si>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</si>
  <si>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</si>
  <si>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</si>
  <si>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</si>
  <si>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</si>
  <si>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</si>
  <si>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</si>
  <si>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</si>
  <si>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</si>
  <si>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</si>
  <si>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</si>
  <si>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</si>
  <si>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</si>
  <si>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</si>
  <si>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</si>
  <si>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</si>
  <si>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</si>
  <si>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</si>
  <si>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</si>
  <si>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</si>
  <si>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</si>
  <si>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</si>
  <si>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</si>
  <si>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</si>
  <si>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</si>
  <si>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</si>
  <si>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</si>
  <si>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</si>
  <si>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</si>
  <si>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</si>
  <si>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</si>
  <si>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</si>
  <si>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</si>
  <si>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</si>
  <si>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</si>
  <si>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</si>
  <si>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</si>
  <si>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</si>
  <si>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</si>
  <si>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</si>
  <si>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</si>
  <si>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</si>
  <si>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</si>
  <si>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</si>
  <si>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</si>
  <si>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</si>
  <si>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</si>
  <si>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</si>
  <si>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</si>
  <si>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</si>
  <si>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</si>
  <si>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</si>
  <si>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</si>
  <si>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</si>
  <si>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</si>
  <si>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</si>
  <si>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</si>
  <si>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</si>
  <si>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</si>
  <si>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</si>
  <si>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</si>
  <si>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</si>
  <si>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</si>
  <si>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</si>
  <si>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</si>
  <si>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</si>
  <si>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</si>
  <si>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</si>
  <si>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</si>
  <si>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Cynthia</t>
  </si>
  <si>
    <t>IVA</t>
  </si>
  <si>
    <t>Local</t>
  </si>
  <si>
    <t>Sueldos</t>
  </si>
  <si>
    <t>Impuestos</t>
  </si>
  <si>
    <t>Ley 25.413</t>
  </si>
  <si>
    <t>Sircreb</t>
  </si>
  <si>
    <t>Internet</t>
  </si>
  <si>
    <t>Nº Serie</t>
  </si>
  <si>
    <t>N° Despacho</t>
  </si>
  <si>
    <t>#</t>
  </si>
  <si>
    <t>Tipo de IVA</t>
  </si>
  <si>
    <t>MONTO TOTAL</t>
  </si>
  <si>
    <t>Costo Contable</t>
  </si>
  <si>
    <t>Lelia</t>
  </si>
  <si>
    <t>PRO GAS 106</t>
  </si>
  <si>
    <t>24 001 IC04 0985888 X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</si>
  <si>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</si>
  <si>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</si>
  <si>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</si>
  <si>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</si>
  <si>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</si>
  <si>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</si>
  <si>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</si>
  <si>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</si>
  <si>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Rubro</t>
  </si>
  <si>
    <t>FLETES</t>
  </si>
  <si>
    <t>Comisiones Bancarias</t>
  </si>
  <si>
    <t xml:space="preserve">Descuentos Realizados </t>
  </si>
  <si>
    <t>INVERSIONES (Certificaciones)</t>
  </si>
  <si>
    <t>COMISIONES DISTRIBUIDORES</t>
  </si>
  <si>
    <t>GASTOS VARIABLES</t>
  </si>
  <si>
    <t>GASTOS FIJOS</t>
  </si>
  <si>
    <t>GASTOS TOTALES</t>
  </si>
  <si>
    <t>Categoría</t>
  </si>
  <si>
    <t>SubCategoría</t>
  </si>
  <si>
    <t>PUESTA EN MARCHA</t>
  </si>
  <si>
    <t>Operador</t>
  </si>
  <si>
    <t>Cliente</t>
  </si>
  <si>
    <t>Producto</t>
  </si>
  <si>
    <t>Valor Unitario</t>
  </si>
  <si>
    <t>VALOR COTIZADO</t>
  </si>
  <si>
    <t>Facturado</t>
  </si>
  <si>
    <t>Monto con IVA</t>
  </si>
  <si>
    <t>%</t>
  </si>
  <si>
    <t>IMP. LEY 25.413</t>
  </si>
  <si>
    <t>TARJ.CRED.(AJUSTE COM)</t>
  </si>
  <si>
    <t>PAYWAY | Total $3.400.000.- | Estafa</t>
  </si>
  <si>
    <t>DEBITO AUTOMATICO / PROSEGUR</t>
  </si>
  <si>
    <t>Alarma Prosegur</t>
  </si>
  <si>
    <t>REG.REC.SIRCREB</t>
  </si>
  <si>
    <t>INSTRUCCION DE PAGO</t>
  </si>
  <si>
    <t>PAYWAY</t>
  </si>
  <si>
    <t>DEBITO AUTOMATICO</t>
  </si>
  <si>
    <t>Teléfonos fc 4618390</t>
  </si>
  <si>
    <t>TELECOMARGENTINA PERSONAL CLIENTE: 1031314103</t>
  </si>
  <si>
    <t>PAYPERTIC ABONO CLIENTE: 58277F781B961065655</t>
  </si>
  <si>
    <t>INACAP</t>
  </si>
  <si>
    <t>Manija + Boca Llave</t>
  </si>
  <si>
    <t>INSTRUCCION DE PAGO MOL Y BAND S.A</t>
  </si>
  <si>
    <t>Mesa p/horno</t>
  </si>
  <si>
    <t>ALQUILER</t>
  </si>
  <si>
    <t>PAYPERTIC ABONO CLIENTE: 6CCA0A36945B6707726</t>
  </si>
  <si>
    <t>SOLUCIONES ONLIN SOL.ONLINE CLIENTE: 1500072500032232871914</t>
  </si>
  <si>
    <t>Sistema de Gestión | Xubio fc 383090</t>
  </si>
  <si>
    <t>HONORARIOS CONTABLES</t>
  </si>
  <si>
    <t>Importaciones</t>
  </si>
  <si>
    <t>MAERSK Aduana</t>
  </si>
  <si>
    <t>COM.TRANSF.INTERNET</t>
  </si>
  <si>
    <t>SERVICIO: SEA IDENTIFICACION: 3071845033726272503</t>
  </si>
  <si>
    <t>Aduana</t>
  </si>
  <si>
    <t>SERVICIO: UEBO IDENTIFICACION: 307184503370000</t>
  </si>
  <si>
    <t>FAECYS</t>
  </si>
  <si>
    <t>SERVICIO: SEA IDENTIFICACION: 3071845033721833176</t>
  </si>
  <si>
    <t>CM Ingresos Brutos</t>
  </si>
  <si>
    <t>SICORE F744</t>
  </si>
  <si>
    <t>SERVICIO: ENOR IDENTIFICACION: 000408109794</t>
  </si>
  <si>
    <t>EDENOR</t>
  </si>
  <si>
    <t>Cargas Sociales | F931</t>
  </si>
  <si>
    <t>JM Imprenta | Karina Martino | Fc 9481</t>
  </si>
  <si>
    <t>Marketing</t>
  </si>
  <si>
    <t>Tarjetas Personales | Carolina</t>
  </si>
  <si>
    <t>IMPUESTOS Ref: 24001IC04196596G</t>
  </si>
  <si>
    <t>IMPORTACION INVOICE GD24ITA004</t>
  </si>
  <si>
    <t>EXPORT.DOCUMENTARIA Ref: 24001IC04196596G</t>
  </si>
  <si>
    <t>INSTRUCCION DE PAGO (MAERSK)</t>
  </si>
  <si>
    <t>INSTRUCCION DE PAGO (BUREAU VERITAS ARGENTINA SA)</t>
  </si>
  <si>
    <t>Inversión</t>
  </si>
  <si>
    <t>Certificación</t>
  </si>
  <si>
    <t>COMISION MANT.CTA</t>
  </si>
  <si>
    <t>Comsiones Bancarias</t>
  </si>
  <si>
    <t>IVA PERCEPCION</t>
  </si>
  <si>
    <t>IVA PERCEPCIÓN</t>
  </si>
  <si>
    <t>INGRESOS BRUTOS</t>
  </si>
  <si>
    <t>INGRESOS BRUTOS PERCEPCION</t>
  </si>
  <si>
    <t>ALQUILER NOV</t>
  </si>
  <si>
    <t>Celular para el CRM de Argentina</t>
  </si>
  <si>
    <t>CELULAR</t>
  </si>
  <si>
    <t>Alquiler diferencia efectivo por inflación</t>
  </si>
  <si>
    <t>Agua local balbin</t>
  </si>
  <si>
    <t>AYSA | AGUA</t>
  </si>
  <si>
    <t>Diego le pago a Lorena, MAESTRANZA</t>
  </si>
  <si>
    <t>LIMPIEZA LOCAL</t>
  </si>
  <si>
    <t>200 TARJETAS PERSONALES 4/4 FULL COLO | Carolina</t>
  </si>
  <si>
    <t>MARKETING</t>
  </si>
  <si>
    <t>TARJETAS PERSONALES</t>
  </si>
  <si>
    <t>sueldo cynthia</t>
  </si>
  <si>
    <t>sueldo Lelia</t>
  </si>
  <si>
    <t>Extraordinarias</t>
  </si>
  <si>
    <t>Estafa</t>
  </si>
  <si>
    <t>Franco David Argañaraz</t>
  </si>
  <si>
    <t>TANIA MARION</t>
  </si>
  <si>
    <t>SUSANA LACTEOS CABANELA</t>
  </si>
  <si>
    <t>WALTER MASSITA</t>
  </si>
  <si>
    <t>G24038032003</t>
  </si>
  <si>
    <t>PRO ELECTRICO 90 + PALA</t>
  </si>
  <si>
    <t>S240380320004</t>
  </si>
  <si>
    <t>G24038032013</t>
  </si>
  <si>
    <t>Dto %</t>
  </si>
  <si>
    <t>ESTAFA | PAYWAY</t>
  </si>
  <si>
    <t>Estado de Resultados 2024</t>
  </si>
  <si>
    <t>Sueldo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</si>
</sst>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9" fillId="0" borderId="5" xfId="0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8" fontId="1" fillId="6" borderId="0" xfId="1" applyNumberFormat="1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9" fillId="0" borderId="0" xfId="0" applyFont="1"/>
    <xf numFmtId="0" fontId="8" fillId="0" borderId="0" xfId="0" applyFont="1"/>
    <xf numFmtId="0" fontId="8" fillId="3" borderId="5" xfId="0" applyFont="1" applyFill="1" applyBorder="1" applyAlignment="1">
      <alignment vertical="center" wrapText="1"/>
    </xf>
    <xf numFmtId="8" fontId="8" fillId="3" borderId="5" xfId="0" applyNumberFormat="1" applyFont="1" applyFill="1" applyBorder="1" applyAlignment="1">
      <alignment horizontal="right" vertical="center" wrapText="1"/>
    </xf>
    <xf numFmtId="8" fontId="8" fillId="3" borderId="5" xfId="0" applyNumberFormat="1" applyFont="1" applyFill="1" applyBorder="1" applyAlignment="1">
      <alignment vertical="center" wrapText="1"/>
    </xf>
    <xf numFmtId="0" fontId="8" fillId="3" borderId="0" xfId="0" applyFont="1" applyFill="1"/>
    <xf numFmtId="43" fontId="1" fillId="0" borderId="2" xfId="1" applyFont="1" applyBorder="1" applyAlignment="1">
      <alignment vertical="center"/>
    </xf>
    <xf numFmtId="0" fontId="8" fillId="6" borderId="0" xfId="0" applyFont="1" applyFill="1"/>
    <xf numFmtId="0" fontId="14" fillId="8" borderId="0" xfId="0" applyFont="1" applyFill="1" applyAlignment="1">
      <alignment horizontal="center" vertical="center"/>
    </xf>
    <xf numFmtId="17" fontId="14" fillId="8" borderId="0" xfId="1" applyNumberFormat="1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8" fontId="9" fillId="0" borderId="0" xfId="0" applyNumberFormat="1" applyFont="1"/>
    <xf numFmtId="15" fontId="9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8" fontId="9" fillId="0" borderId="5" xfId="0" applyNumberFormat="1" applyFont="1" applyBorder="1" applyAlignment="1">
      <alignment horizontal="right" vertical="center" wrapText="1"/>
    </xf>
    <xf numFmtId="0" fontId="9" fillId="10" borderId="5" xfId="0" applyFont="1" applyFill="1" applyBorder="1" applyAlignment="1">
      <alignment vertical="center" wrapText="1"/>
    </xf>
    <xf numFmtId="0" fontId="0" fillId="11" borderId="5" xfId="0" applyFill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8" fontId="15" fillId="0" borderId="5" xfId="0" applyNumberFormat="1" applyFont="1" applyBorder="1" applyAlignment="1">
      <alignment horizontal="right" vertical="center" wrapText="1"/>
    </xf>
    <xf numFmtId="16" fontId="15" fillId="11" borderId="5" xfId="0" applyNumberFormat="1" applyFont="1" applyFill="1" applyBorder="1" applyAlignment="1">
      <alignment horizontal="center" vertical="center" wrapText="1"/>
    </xf>
    <xf numFmtId="8" fontId="16" fillId="0" borderId="5" xfId="0" applyNumberFormat="1" applyFont="1" applyBorder="1" applyAlignment="1">
      <alignment horizontal="right" wrapText="1"/>
    </xf>
    <xf numFmtId="0" fontId="8" fillId="6" borderId="5" xfId="0" applyFont="1" applyFill="1" applyBorder="1" applyAlignment="1">
      <alignment vertical="center" wrapText="1"/>
    </xf>
    <xf numFmtId="8" fontId="8" fillId="6" borderId="5" xfId="0" applyNumberFormat="1" applyFont="1" applyFill="1" applyBorder="1" applyAlignment="1">
      <alignment horizontal="right" vertical="center" wrapText="1"/>
    </xf>
    <xf numFmtId="8" fontId="8" fillId="6" borderId="5" xfId="0" applyNumberFormat="1" applyFont="1" applyFill="1" applyBorder="1" applyAlignment="1">
      <alignment vertical="center" wrapText="1"/>
    </xf>
    <xf numFmtId="0" fontId="8" fillId="7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9" fillId="0" borderId="6" xfId="0" applyFont="1" applyBorder="1" applyAlignment="1">
      <alignment horizontal="right" wrapText="1"/>
    </xf>
    <xf numFmtId="14" fontId="9" fillId="0" borderId="6" xfId="0" applyNumberFormat="1" applyFont="1" applyBorder="1" applyAlignment="1">
      <alignment horizontal="right" wrapText="1"/>
    </xf>
    <xf numFmtId="0" fontId="9" fillId="0" borderId="6" xfId="0" applyFont="1" applyBorder="1" applyAlignment="1">
      <alignment wrapText="1"/>
    </xf>
    <xf numFmtId="43" fontId="9" fillId="0" borderId="6" xfId="6" applyNumberFormat="1" applyFont="1" applyBorder="1" applyAlignment="1">
      <alignment horizontal="right" wrapText="1"/>
    </xf>
    <xf numFmtId="9" fontId="9" fillId="0" borderId="6" xfId="3" applyFont="1" applyBorder="1" applyAlignment="1">
      <alignment horizontal="right" wrapText="1"/>
    </xf>
    <xf numFmtId="43" fontId="9" fillId="0" borderId="6" xfId="6" applyNumberFormat="1" applyFont="1" applyBorder="1" applyAlignment="1">
      <alignment wrapText="1"/>
    </xf>
    <xf numFmtId="10" fontId="9" fillId="0" borderId="6" xfId="0" applyNumberFormat="1" applyFont="1" applyBorder="1" applyAlignment="1">
      <alignment horizontal="right" wrapText="1"/>
    </xf>
    <xf numFmtId="0" fontId="9" fillId="10" borderId="6" xfId="0" applyFont="1" applyFill="1" applyBorder="1" applyAlignment="1">
      <alignment wrapText="1"/>
    </xf>
    <xf numFmtId="14" fontId="9" fillId="10" borderId="6" xfId="0" applyNumberFormat="1" applyFont="1" applyFill="1" applyBorder="1" applyAlignment="1">
      <alignment horizontal="right" wrapText="1"/>
    </xf>
    <xf numFmtId="0" fontId="8" fillId="0" borderId="8" xfId="0" applyFont="1" applyBorder="1" applyAlignment="1">
      <alignment wrapText="1"/>
    </xf>
    <xf numFmtId="43" fontId="8" fillId="0" borderId="8" xfId="0" applyNumberFormat="1" applyFont="1" applyBorder="1" applyAlignment="1">
      <alignment wrapText="1"/>
    </xf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0"/>
  <sheetViews>
    <sheetView tabSelected="1" topLeftCell="A7" zoomScaleNormal="100" workbookViewId="0">
      <selection activeCell="B24" sqref="B24"/>
    </sheetView>
  </sheetViews>
  <sheetFormatPr baseColWidth="10" defaultRowHeight="15" x14ac:dyDescent="0.25"/>
  <cols>
    <col min="1" max="1" width="66.7109375" style="17" customWidth="1"/>
    <col min="2" max="2" width="14.140625" style="19" bestFit="1" customWidth="1"/>
    <col min="3" max="3" width="11.42578125" style="18"/>
    <col min="4" max="4" width="14.28515625" style="16" bestFit="1" customWidth="1"/>
    <col min="5" max="16384" width="11.42578125" style="17"/>
  </cols>
  <sheetData>
    <row r="1" spans="1:5" ht="66.75" customHeight="1" x14ac:dyDescent="0.25">
      <c r="A1" s="2" t="s">
        <v>239</v>
      </c>
      <c r="B1" s="11"/>
      <c r="C1" s="2"/>
    </row>
    <row r="2" spans="1:5" ht="20.25" x14ac:dyDescent="0.25">
      <c r="A2" s="48" t="s">
        <v>25</v>
      </c>
      <c r="B2" s="49">
        <v>45597</v>
      </c>
      <c r="C2" s="50" t="s">
        <v>163</v>
      </c>
    </row>
    <row r="3" spans="1:5" x14ac:dyDescent="0.25">
      <c r="A3" s="17" t="s">
        <v>26</v>
      </c>
      <c r="B3" s="19">
        <f>+'Ventas Nov´24'!H6</f>
        <v>10716000</v>
      </c>
      <c r="C3" s="20">
        <v>1</v>
      </c>
    </row>
    <row r="4" spans="1:5" x14ac:dyDescent="0.25">
      <c r="A4" s="17" t="s">
        <v>147</v>
      </c>
      <c r="B4" s="46">
        <f>+'Ventas Nov´24'!I6</f>
        <v>481500</v>
      </c>
      <c r="C4" s="22">
        <f>(B4*C3)/B3</f>
        <v>4.4932810750279953E-2</v>
      </c>
    </row>
    <row r="5" spans="1:5" x14ac:dyDescent="0.25">
      <c r="A5" s="23" t="s">
        <v>27</v>
      </c>
      <c r="B5" s="21">
        <f>B3-B4</f>
        <v>10234500</v>
      </c>
      <c r="C5" s="20">
        <v>1</v>
      </c>
    </row>
    <row r="6" spans="1:5" x14ac:dyDescent="0.25">
      <c r="A6" s="24" t="s">
        <v>28</v>
      </c>
      <c r="B6" s="19">
        <f>+'Ventas Nov´24'!P6</f>
        <v>3208035.6750000007</v>
      </c>
      <c r="C6" s="22">
        <v>0.33</v>
      </c>
    </row>
    <row r="7" spans="1:5" x14ac:dyDescent="0.25">
      <c r="A7" s="24" t="s">
        <v>29</v>
      </c>
      <c r="B7" s="21">
        <f>B5-B6</f>
        <v>7026464.3249999993</v>
      </c>
      <c r="C7" s="22">
        <f>(B7*C5)/B5</f>
        <v>0.68654690751868674</v>
      </c>
    </row>
    <row r="10" spans="1:5" s="30" customFormat="1" x14ac:dyDescent="0.25">
      <c r="A10" s="25" t="s">
        <v>150</v>
      </c>
      <c r="B10" s="39">
        <f>SUM(B11:B19)</f>
        <v>4282476.3100000005</v>
      </c>
      <c r="C10" s="27">
        <f>(B10*$C5)/$B5</f>
        <v>0.41843532268308181</v>
      </c>
      <c r="D10" s="28"/>
      <c r="E10" s="29"/>
    </row>
    <row r="11" spans="1:5" x14ac:dyDescent="0.25">
      <c r="A11" s="31" t="s">
        <v>18</v>
      </c>
      <c r="B11" s="32">
        <f>+Gastos!D5</f>
        <v>80338.559999999998</v>
      </c>
      <c r="C11" s="22">
        <f>(B11*$C$5)/$B$5</f>
        <v>7.8497786897259274E-3</v>
      </c>
    </row>
    <row r="12" spans="1:5" x14ac:dyDescent="0.25">
      <c r="A12" s="31" t="s">
        <v>149</v>
      </c>
      <c r="B12" s="32">
        <v>0</v>
      </c>
      <c r="C12" s="22">
        <f>(B12*$C$5)/$B$5</f>
        <v>0</v>
      </c>
    </row>
    <row r="13" spans="1:5" x14ac:dyDescent="0.25">
      <c r="A13" s="31" t="s">
        <v>140</v>
      </c>
      <c r="B13" s="32">
        <v>0</v>
      </c>
      <c r="C13" s="22">
        <f t="shared" ref="C13:C17" si="0">(B13*$C$5)/$B$5</f>
        <v>0</v>
      </c>
    </row>
    <row r="14" spans="1:5" x14ac:dyDescent="0.25">
      <c r="A14" s="31" t="s">
        <v>238</v>
      </c>
      <c r="B14" s="32">
        <f>+Gastos!D7</f>
        <v>3276676.37</v>
      </c>
      <c r="C14" s="22">
        <f t="shared" si="0"/>
        <v>0.32015988763496017</v>
      </c>
    </row>
    <row r="15" spans="1:5" x14ac:dyDescent="0.25">
      <c r="A15" s="31" t="s">
        <v>139</v>
      </c>
      <c r="B15" s="32">
        <f>+Gastos!D9</f>
        <v>181500</v>
      </c>
      <c r="C15" s="22">
        <f t="shared" si="0"/>
        <v>1.7734134544921589E-2</v>
      </c>
    </row>
    <row r="16" spans="1:5" x14ac:dyDescent="0.25">
      <c r="A16" s="31" t="s">
        <v>145</v>
      </c>
      <c r="B16" s="32">
        <v>0</v>
      </c>
      <c r="C16" s="22">
        <f t="shared" si="0"/>
        <v>0</v>
      </c>
    </row>
    <row r="17" spans="1:3" x14ac:dyDescent="0.25">
      <c r="A17" s="31" t="s">
        <v>138</v>
      </c>
      <c r="B17" s="32">
        <f>+Gastos!D83</f>
        <v>655923.38</v>
      </c>
      <c r="C17" s="22">
        <f t="shared" si="0"/>
        <v>6.4089440617519172E-2</v>
      </c>
    </row>
    <row r="18" spans="1:3" x14ac:dyDescent="0.25">
      <c r="A18" s="31" t="s">
        <v>223</v>
      </c>
      <c r="B18" s="32">
        <f>+Gastos!D100</f>
        <v>88038</v>
      </c>
      <c r="C18" s="22">
        <f t="shared" ref="C18:C19" si="1">(B18*$C$5)/$B$5</f>
        <v>8.6020811959548592E-3</v>
      </c>
    </row>
    <row r="19" spans="1:3" x14ac:dyDescent="0.25">
      <c r="A19" s="31" t="s">
        <v>155</v>
      </c>
      <c r="B19" s="32">
        <v>0</v>
      </c>
      <c r="C19" s="22">
        <f t="shared" si="1"/>
        <v>0</v>
      </c>
    </row>
    <row r="21" spans="1:3" x14ac:dyDescent="0.25">
      <c r="A21" s="25" t="s">
        <v>151</v>
      </c>
      <c r="B21" s="39">
        <f>SUM(B22:B23)</f>
        <v>6518266.3799999999</v>
      </c>
      <c r="C21" s="27">
        <f>(B21*$C5)/$B5</f>
        <v>0.63689153158434708</v>
      </c>
    </row>
    <row r="22" spans="1:3" x14ac:dyDescent="0.25">
      <c r="A22" s="31" t="s">
        <v>137</v>
      </c>
      <c r="B22" s="32">
        <f>+Gastos!D97</f>
        <v>2265230.59</v>
      </c>
      <c r="C22" s="22">
        <f>(B22*$C$5)/$B$5</f>
        <v>0.22133280472910252</v>
      </c>
    </row>
    <row r="23" spans="1:3" x14ac:dyDescent="0.25">
      <c r="A23" s="31" t="s">
        <v>136</v>
      </c>
      <c r="B23" s="32">
        <f>+Gastos!D111</f>
        <v>4253035.79</v>
      </c>
      <c r="C23" s="22">
        <f>(B23*$C$5)/$B$5</f>
        <v>0.41555872685524453</v>
      </c>
    </row>
    <row r="24" spans="1:3" x14ac:dyDescent="0.25">
      <c r="A24" s="31"/>
      <c r="C24" s="22"/>
    </row>
    <row r="25" spans="1:3" x14ac:dyDescent="0.25">
      <c r="A25" s="25" t="s">
        <v>152</v>
      </c>
      <c r="B25" s="26">
        <f>+B10+B21</f>
        <v>10800742.690000001</v>
      </c>
      <c r="C25" s="22"/>
    </row>
    <row r="26" spans="1:3" x14ac:dyDescent="0.25">
      <c r="A26" s="31"/>
      <c r="C26" s="22"/>
    </row>
    <row r="27" spans="1:3" x14ac:dyDescent="0.25">
      <c r="A27" s="33" t="s">
        <v>80</v>
      </c>
      <c r="B27" s="34">
        <f>B7-B10-B21</f>
        <v>-3774278.3650000012</v>
      </c>
      <c r="C27" s="35">
        <f>(B27*C5)/B5</f>
        <v>-0.36877994674874209</v>
      </c>
    </row>
    <row r="30" spans="1:3" x14ac:dyDescent="0.25">
      <c r="A30" s="36" t="s">
        <v>148</v>
      </c>
      <c r="B30" s="37">
        <f>+Gastos!D120</f>
        <v>2578347.5099999998</v>
      </c>
      <c r="C30" s="38"/>
    </row>
  </sheetData>
  <sortState xmlns:xlrd2="http://schemas.microsoft.com/office/spreadsheetml/2017/richdata2" ref="A11:A20">
    <sortCondition ref="A11:A20"/>
  </sortState>
  <conditionalFormatting sqref="C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{D401EFC2-9A04-4644-9A6E-8EEADD4051B3}</x14:id>
        </ext>
      </extLst>
    </cfRule>
  </conditionalFormatting>
  <conditionalFormatting sqref="C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{CD91A6A2-A73A-4991-99F4-9614C8CA4B25}</x14:id>
        </ext>
      </extLst>
    </cfRule>
  </conditionalFormatting>
  <conditionalFormatting sqref="C22:C26 C11:C19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D401EFC2-9A04-4644-9A6E-8EEADD405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D91A6A2-A73A-4991-99F4-9614C8CA4B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C21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C22:C26 C11:C19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123"/>
  <sheetViews>
    <sheetView zoomScale="90" zoomScaleNormal="90" workbookViewId="0">
      <selection activeCell="D1" sqref="D1"/>
    </sheetView>
  </sheetViews>
  <sheetFormatPr baseColWidth="10" defaultRowHeight="12.75" x14ac:dyDescent="0.2"/>
  <cols>
    <col min="1" max="1" width="11.28515625" style="40" bestFit="1" customWidth="1"/>
    <col min="2" max="2" width="67.28515625" style="40" bestFit="1" customWidth="1"/>
    <col min="3" max="3" width="16.7109375" style="40" customWidth="1"/>
    <col min="4" max="4" width="21.85546875" style="40" customWidth="1"/>
    <col min="5" max="5" width="27.42578125" style="40" bestFit="1" customWidth="1"/>
    <col min="6" max="6" width="34.28515625" style="40" bestFit="1" customWidth="1"/>
    <col min="7" max="16384" width="11.42578125" style="40"/>
  </cols>
  <sheetData>
    <row r="1" spans="1:6" ht="14.25" thickTop="1" thickBot="1" x14ac:dyDescent="0.25">
      <c r="A1" s="12" t="s">
        <v>141</v>
      </c>
      <c r="B1" s="13" t="s">
        <v>142</v>
      </c>
      <c r="C1" s="13" t="s">
        <v>143</v>
      </c>
      <c r="D1" s="13" t="s">
        <v>144</v>
      </c>
      <c r="E1" s="13" t="s">
        <v>153</v>
      </c>
      <c r="F1" s="13" t="s">
        <v>154</v>
      </c>
    </row>
    <row r="2" spans="1:6" ht="16.5" thickTop="1" thickBot="1" x14ac:dyDescent="0.25">
      <c r="A2" s="52">
        <v>45601</v>
      </c>
      <c r="B2" s="15" t="s">
        <v>165</v>
      </c>
      <c r="C2" s="53"/>
      <c r="D2" s="54">
        <v>24958.560000000001</v>
      </c>
      <c r="E2" s="15" t="s">
        <v>146</v>
      </c>
      <c r="F2" s="15" t="s">
        <v>171</v>
      </c>
    </row>
    <row r="3" spans="1:6" ht="15.75" thickBot="1" x14ac:dyDescent="0.25">
      <c r="A3" s="52">
        <v>45621</v>
      </c>
      <c r="B3" s="15" t="s">
        <v>187</v>
      </c>
      <c r="C3" s="53"/>
      <c r="D3" s="54">
        <v>5080</v>
      </c>
      <c r="E3" s="15" t="s">
        <v>146</v>
      </c>
      <c r="F3" s="15" t="s">
        <v>146</v>
      </c>
    </row>
    <row r="4" spans="1:6" ht="15.75" thickBot="1" x14ac:dyDescent="0.25">
      <c r="A4" s="52">
        <v>45625</v>
      </c>
      <c r="B4" s="15" t="s">
        <v>208</v>
      </c>
      <c r="C4" s="53"/>
      <c r="D4" s="54">
        <v>50300</v>
      </c>
      <c r="E4" s="15" t="s">
        <v>146</v>
      </c>
      <c r="F4" s="15" t="s">
        <v>209</v>
      </c>
    </row>
    <row r="5" spans="1:6" s="41" customFormat="1" ht="13.5" thickBot="1" x14ac:dyDescent="0.25">
      <c r="A5" s="42"/>
      <c r="B5" s="42" t="str">
        <f>+E4</f>
        <v>Comisiones Bancarias</v>
      </c>
      <c r="C5" s="43"/>
      <c r="D5" s="44">
        <f>SUM(D2:D4)</f>
        <v>80338.559999999998</v>
      </c>
      <c r="E5" s="45"/>
    </row>
    <row r="6" spans="1:6" ht="15.75" thickBot="1" x14ac:dyDescent="0.25">
      <c r="A6" s="52">
        <v>45597</v>
      </c>
      <c r="B6" s="15" t="s">
        <v>165</v>
      </c>
      <c r="C6" s="53"/>
      <c r="D6" s="54">
        <v>3276676.37</v>
      </c>
      <c r="E6" s="15" t="s">
        <v>228</v>
      </c>
      <c r="F6" s="15" t="s">
        <v>166</v>
      </c>
    </row>
    <row r="7" spans="1:6" s="41" customFormat="1" ht="13.5" thickBot="1" x14ac:dyDescent="0.25">
      <c r="A7" s="42"/>
      <c r="B7" s="42" t="str">
        <f>+E6</f>
        <v>Estafa</v>
      </c>
      <c r="C7" s="43"/>
      <c r="D7" s="44">
        <f>SUM(D6)</f>
        <v>3276676.37</v>
      </c>
      <c r="E7" s="45"/>
    </row>
    <row r="8" spans="1:6" ht="15.75" thickBot="1" x14ac:dyDescent="0.25">
      <c r="A8" s="52">
        <v>45611</v>
      </c>
      <c r="B8" s="15" t="s">
        <v>178</v>
      </c>
      <c r="C8" s="53"/>
      <c r="D8" s="54">
        <v>181500</v>
      </c>
      <c r="E8" s="55" t="s">
        <v>227</v>
      </c>
      <c r="F8" s="55" t="s">
        <v>179</v>
      </c>
    </row>
    <row r="9" spans="1:6" s="41" customFormat="1" ht="13.5" thickBot="1" x14ac:dyDescent="0.25">
      <c r="A9" s="42"/>
      <c r="B9" s="42" t="str">
        <f>+E8</f>
        <v>Extraordinarias</v>
      </c>
      <c r="C9" s="43"/>
      <c r="D9" s="44">
        <f>SUM(D8)</f>
        <v>181500</v>
      </c>
      <c r="E9" s="45"/>
    </row>
    <row r="10" spans="1:6" ht="15.75" thickBot="1" x14ac:dyDescent="0.25">
      <c r="A10" s="52">
        <v>45597</v>
      </c>
      <c r="B10" s="15" t="s">
        <v>164</v>
      </c>
      <c r="C10" s="53"/>
      <c r="D10" s="54">
        <v>9.0500000000000007</v>
      </c>
      <c r="E10" s="15" t="s">
        <v>123</v>
      </c>
      <c r="F10" s="15" t="s">
        <v>124</v>
      </c>
    </row>
    <row r="11" spans="1:6" ht="15.75" thickBot="1" x14ac:dyDescent="0.25">
      <c r="A11" s="52">
        <v>45597</v>
      </c>
      <c r="B11" s="15" t="s">
        <v>164</v>
      </c>
      <c r="C11" s="53"/>
      <c r="D11" s="54">
        <v>9.0500000000000007</v>
      </c>
      <c r="E11" s="15" t="s">
        <v>123</v>
      </c>
      <c r="F11" s="15" t="s">
        <v>124</v>
      </c>
    </row>
    <row r="12" spans="1:6" ht="15.75" thickBot="1" x14ac:dyDescent="0.25">
      <c r="A12" s="52">
        <v>45597</v>
      </c>
      <c r="B12" s="15" t="s">
        <v>164</v>
      </c>
      <c r="C12" s="53"/>
      <c r="D12" s="54">
        <v>63.38</v>
      </c>
      <c r="E12" s="15" t="s">
        <v>123</v>
      </c>
      <c r="F12" s="15" t="s">
        <v>124</v>
      </c>
    </row>
    <row r="13" spans="1:6" ht="15.75" thickBot="1" x14ac:dyDescent="0.25">
      <c r="A13" s="52">
        <v>45597</v>
      </c>
      <c r="B13" s="15" t="s">
        <v>164</v>
      </c>
      <c r="C13" s="53"/>
      <c r="D13" s="54">
        <v>301.8</v>
      </c>
      <c r="E13" s="15" t="s">
        <v>123</v>
      </c>
      <c r="F13" s="15" t="s">
        <v>124</v>
      </c>
    </row>
    <row r="14" spans="1:6" ht="15.75" thickBot="1" x14ac:dyDescent="0.25">
      <c r="A14" s="52">
        <v>45597</v>
      </c>
      <c r="B14" s="15" t="s">
        <v>164</v>
      </c>
      <c r="C14" s="53"/>
      <c r="D14" s="54">
        <v>1950.95</v>
      </c>
      <c r="E14" s="15" t="s">
        <v>123</v>
      </c>
      <c r="F14" s="15" t="s">
        <v>124</v>
      </c>
    </row>
    <row r="15" spans="1:6" ht="15.75" thickBot="1" x14ac:dyDescent="0.25">
      <c r="A15" s="52">
        <v>45597</v>
      </c>
      <c r="B15" s="15" t="s">
        <v>164</v>
      </c>
      <c r="C15" s="53"/>
      <c r="D15" s="54">
        <v>2926.42</v>
      </c>
      <c r="E15" s="15" t="s">
        <v>123</v>
      </c>
      <c r="F15" s="15" t="s">
        <v>124</v>
      </c>
    </row>
    <row r="16" spans="1:6" ht="15.75" thickBot="1" x14ac:dyDescent="0.25">
      <c r="A16" s="52">
        <v>45600</v>
      </c>
      <c r="B16" s="15" t="s">
        <v>164</v>
      </c>
      <c r="C16" s="53"/>
      <c r="D16" s="54">
        <v>206.54</v>
      </c>
      <c r="E16" s="15" t="s">
        <v>123</v>
      </c>
      <c r="F16" s="15" t="s">
        <v>124</v>
      </c>
    </row>
    <row r="17" spans="1:6" ht="15.75" thickBot="1" x14ac:dyDescent="0.25">
      <c r="A17" s="52">
        <v>45600</v>
      </c>
      <c r="B17" s="15" t="s">
        <v>164</v>
      </c>
      <c r="C17" s="53"/>
      <c r="D17" s="54">
        <v>1950.95</v>
      </c>
      <c r="E17" s="15" t="s">
        <v>123</v>
      </c>
      <c r="F17" s="15" t="s">
        <v>124</v>
      </c>
    </row>
    <row r="18" spans="1:6" ht="15.75" thickBot="1" x14ac:dyDescent="0.25">
      <c r="A18" s="52">
        <v>45600</v>
      </c>
      <c r="B18" s="15" t="s">
        <v>169</v>
      </c>
      <c r="C18" s="53"/>
      <c r="D18" s="54">
        <v>3901.9</v>
      </c>
      <c r="E18" s="15" t="s">
        <v>123</v>
      </c>
      <c r="F18" s="15" t="s">
        <v>125</v>
      </c>
    </row>
    <row r="19" spans="1:6" ht="15.75" thickBot="1" x14ac:dyDescent="0.25">
      <c r="A19" s="52">
        <v>45600</v>
      </c>
      <c r="B19" s="15" t="s">
        <v>164</v>
      </c>
      <c r="C19" s="53"/>
      <c r="D19" s="54">
        <v>19660.060000000001</v>
      </c>
      <c r="E19" s="15" t="s">
        <v>123</v>
      </c>
      <c r="F19" s="15" t="s">
        <v>124</v>
      </c>
    </row>
    <row r="20" spans="1:6" ht="15.75" thickBot="1" x14ac:dyDescent="0.25">
      <c r="A20" s="52">
        <v>45601</v>
      </c>
      <c r="B20" s="15" t="s">
        <v>164</v>
      </c>
      <c r="C20" s="53"/>
      <c r="D20" s="54">
        <v>23.41</v>
      </c>
      <c r="E20" s="15" t="s">
        <v>123</v>
      </c>
      <c r="F20" s="15" t="s">
        <v>124</v>
      </c>
    </row>
    <row r="21" spans="1:6" ht="15.75" thickBot="1" x14ac:dyDescent="0.25">
      <c r="A21" s="52">
        <v>45601</v>
      </c>
      <c r="B21" s="15" t="s">
        <v>164</v>
      </c>
      <c r="C21" s="53"/>
      <c r="D21" s="54">
        <v>2749.35</v>
      </c>
      <c r="E21" s="15" t="s">
        <v>123</v>
      </c>
      <c r="F21" s="15" t="s">
        <v>124</v>
      </c>
    </row>
    <row r="22" spans="1:6" ht="15.75" thickBot="1" x14ac:dyDescent="0.25">
      <c r="A22" s="52">
        <v>45601</v>
      </c>
      <c r="B22" s="15" t="s">
        <v>164</v>
      </c>
      <c r="C22" s="53"/>
      <c r="D22" s="54">
        <v>19154.07</v>
      </c>
      <c r="E22" s="15" t="s">
        <v>123</v>
      </c>
      <c r="F22" s="15" t="s">
        <v>124</v>
      </c>
    </row>
    <row r="23" spans="1:6" ht="15.75" thickBot="1" x14ac:dyDescent="0.25">
      <c r="A23" s="52">
        <v>45601</v>
      </c>
      <c r="B23" s="15" t="s">
        <v>169</v>
      </c>
      <c r="C23" s="53"/>
      <c r="D23" s="54">
        <v>38308.14</v>
      </c>
      <c r="E23" s="15" t="s">
        <v>123</v>
      </c>
      <c r="F23" s="15" t="s">
        <v>125</v>
      </c>
    </row>
    <row r="24" spans="1:6" ht="15.75" thickBot="1" x14ac:dyDescent="0.25">
      <c r="A24" s="52">
        <v>45603</v>
      </c>
      <c r="B24" s="15" t="s">
        <v>164</v>
      </c>
      <c r="C24" s="53"/>
      <c r="D24" s="54">
        <v>146.59</v>
      </c>
      <c r="E24" s="15" t="s">
        <v>123</v>
      </c>
      <c r="F24" s="15" t="s">
        <v>124</v>
      </c>
    </row>
    <row r="25" spans="1:6" ht="15.75" thickBot="1" x14ac:dyDescent="0.25">
      <c r="A25" s="52">
        <v>45603</v>
      </c>
      <c r="B25" s="15" t="s">
        <v>164</v>
      </c>
      <c r="C25" s="53"/>
      <c r="D25" s="54">
        <v>149.75</v>
      </c>
      <c r="E25" s="15" t="s">
        <v>123</v>
      </c>
      <c r="F25" s="15" t="s">
        <v>124</v>
      </c>
    </row>
    <row r="26" spans="1:6" ht="15.75" thickBot="1" x14ac:dyDescent="0.25">
      <c r="A26" s="52">
        <v>45603</v>
      </c>
      <c r="B26" s="15" t="s">
        <v>164</v>
      </c>
      <c r="C26" s="53"/>
      <c r="D26" s="54">
        <v>229.85</v>
      </c>
      <c r="E26" s="15" t="s">
        <v>123</v>
      </c>
      <c r="F26" s="15" t="s">
        <v>124</v>
      </c>
    </row>
    <row r="27" spans="1:6" ht="15.75" thickBot="1" x14ac:dyDescent="0.25">
      <c r="A27" s="52">
        <v>45603</v>
      </c>
      <c r="B27" s="15" t="s">
        <v>164</v>
      </c>
      <c r="C27" s="53"/>
      <c r="D27" s="54">
        <v>2082.65</v>
      </c>
      <c r="E27" s="15" t="s">
        <v>123</v>
      </c>
      <c r="F27" s="15" t="s">
        <v>124</v>
      </c>
    </row>
    <row r="28" spans="1:6" ht="15.75" thickBot="1" x14ac:dyDescent="0.25">
      <c r="A28" s="52">
        <v>45603</v>
      </c>
      <c r="B28" s="15" t="s">
        <v>169</v>
      </c>
      <c r="C28" s="53"/>
      <c r="D28" s="54">
        <v>4165.3</v>
      </c>
      <c r="E28" s="15" t="s">
        <v>123</v>
      </c>
      <c r="F28" s="15" t="s">
        <v>125</v>
      </c>
    </row>
    <row r="29" spans="1:6" ht="15.75" thickBot="1" x14ac:dyDescent="0.25">
      <c r="A29" s="52">
        <v>45604</v>
      </c>
      <c r="B29" s="15" t="s">
        <v>164</v>
      </c>
      <c r="C29" s="53"/>
      <c r="D29" s="54">
        <v>24.99</v>
      </c>
      <c r="E29" s="15" t="s">
        <v>123</v>
      </c>
      <c r="F29" s="15" t="s">
        <v>124</v>
      </c>
    </row>
    <row r="30" spans="1:6" ht="15.75" thickBot="1" x14ac:dyDescent="0.25">
      <c r="A30" s="52">
        <v>45604</v>
      </c>
      <c r="B30" s="15" t="s">
        <v>164</v>
      </c>
      <c r="C30" s="53"/>
      <c r="D30" s="54">
        <v>2352.2399999999998</v>
      </c>
      <c r="E30" s="15" t="s">
        <v>123</v>
      </c>
      <c r="F30" s="15" t="s">
        <v>124</v>
      </c>
    </row>
    <row r="31" spans="1:6" ht="15.75" thickBot="1" x14ac:dyDescent="0.25">
      <c r="A31" s="52">
        <v>45604</v>
      </c>
      <c r="B31" s="15" t="s">
        <v>169</v>
      </c>
      <c r="C31" s="53"/>
      <c r="D31" s="54">
        <v>4704.4799999999996</v>
      </c>
      <c r="E31" s="15" t="s">
        <v>123</v>
      </c>
      <c r="F31" s="15" t="s">
        <v>125</v>
      </c>
    </row>
    <row r="32" spans="1:6" ht="15.75" thickBot="1" x14ac:dyDescent="0.25">
      <c r="A32" s="52">
        <v>45604</v>
      </c>
      <c r="B32" s="15" t="s">
        <v>164</v>
      </c>
      <c r="C32" s="53"/>
      <c r="D32" s="54">
        <v>10109.09</v>
      </c>
      <c r="E32" s="15" t="s">
        <v>123</v>
      </c>
      <c r="F32" s="15" t="s">
        <v>124</v>
      </c>
    </row>
    <row r="33" spans="1:6" ht="15.75" thickBot="1" x14ac:dyDescent="0.25">
      <c r="A33" s="52">
        <v>45604</v>
      </c>
      <c r="B33" s="15" t="s">
        <v>169</v>
      </c>
      <c r="C33" s="53"/>
      <c r="D33" s="54">
        <v>20218.189999999999</v>
      </c>
      <c r="E33" s="15" t="s">
        <v>123</v>
      </c>
      <c r="F33" s="15" t="s">
        <v>125</v>
      </c>
    </row>
    <row r="34" spans="1:6" ht="15.75" thickBot="1" x14ac:dyDescent="0.25">
      <c r="A34" s="52">
        <v>45607</v>
      </c>
      <c r="B34" s="15" t="s">
        <v>164</v>
      </c>
      <c r="C34" s="53"/>
      <c r="D34" s="54">
        <v>28.23</v>
      </c>
      <c r="E34" s="15" t="s">
        <v>123</v>
      </c>
      <c r="F34" s="15" t="s">
        <v>124</v>
      </c>
    </row>
    <row r="35" spans="1:6" ht="15.75" thickBot="1" x14ac:dyDescent="0.25">
      <c r="A35" s="52">
        <v>45607</v>
      </c>
      <c r="B35" s="15" t="s">
        <v>164</v>
      </c>
      <c r="C35" s="53"/>
      <c r="D35" s="54">
        <v>121.31</v>
      </c>
      <c r="E35" s="15" t="s">
        <v>123</v>
      </c>
      <c r="F35" s="15" t="s">
        <v>124</v>
      </c>
    </row>
    <row r="36" spans="1:6" ht="15.75" thickBot="1" x14ac:dyDescent="0.25">
      <c r="A36" s="52">
        <v>45608</v>
      </c>
      <c r="B36" s="15" t="s">
        <v>164</v>
      </c>
      <c r="C36" s="53"/>
      <c r="D36" s="54">
        <v>1084</v>
      </c>
      <c r="E36" s="15" t="s">
        <v>123</v>
      </c>
      <c r="F36" s="15" t="s">
        <v>124</v>
      </c>
    </row>
    <row r="37" spans="1:6" ht="15.75" thickBot="1" x14ac:dyDescent="0.25">
      <c r="A37" s="52">
        <v>45609</v>
      </c>
      <c r="B37" s="15" t="s">
        <v>164</v>
      </c>
      <c r="C37" s="53"/>
      <c r="D37" s="54">
        <v>25.97</v>
      </c>
      <c r="E37" s="15" t="s">
        <v>123</v>
      </c>
      <c r="F37" s="15" t="s">
        <v>124</v>
      </c>
    </row>
    <row r="38" spans="1:6" ht="15.75" thickBot="1" x14ac:dyDescent="0.25">
      <c r="A38" s="52">
        <v>45610</v>
      </c>
      <c r="B38" s="15" t="s">
        <v>164</v>
      </c>
      <c r="C38" s="53"/>
      <c r="D38" s="54">
        <v>210</v>
      </c>
      <c r="E38" s="15" t="s">
        <v>123</v>
      </c>
      <c r="F38" s="15" t="s">
        <v>124</v>
      </c>
    </row>
    <row r="39" spans="1:6" ht="15.75" thickBot="1" x14ac:dyDescent="0.25">
      <c r="A39" s="52">
        <v>45610</v>
      </c>
      <c r="B39" s="15" t="s">
        <v>169</v>
      </c>
      <c r="C39" s="53"/>
      <c r="D39" s="54">
        <v>420</v>
      </c>
      <c r="E39" s="15" t="s">
        <v>123</v>
      </c>
      <c r="F39" s="15" t="s">
        <v>125</v>
      </c>
    </row>
    <row r="40" spans="1:6" ht="15.75" thickBot="1" x14ac:dyDescent="0.25">
      <c r="A40" s="52">
        <v>45611</v>
      </c>
      <c r="B40" s="15" t="s">
        <v>164</v>
      </c>
      <c r="C40" s="53"/>
      <c r="D40" s="54">
        <v>2.52</v>
      </c>
      <c r="E40" s="15" t="s">
        <v>123</v>
      </c>
      <c r="F40" s="15" t="s">
        <v>124</v>
      </c>
    </row>
    <row r="41" spans="1:6" ht="15.75" thickBot="1" x14ac:dyDescent="0.25">
      <c r="A41" s="52">
        <v>45611</v>
      </c>
      <c r="B41" s="15" t="s">
        <v>164</v>
      </c>
      <c r="C41" s="53"/>
      <c r="D41" s="54">
        <v>6000</v>
      </c>
      <c r="E41" s="15" t="s">
        <v>123</v>
      </c>
      <c r="F41" s="15" t="s">
        <v>124</v>
      </c>
    </row>
    <row r="42" spans="1:6" ht="15.75" thickBot="1" x14ac:dyDescent="0.25">
      <c r="A42" s="52">
        <v>45611</v>
      </c>
      <c r="B42" s="15" t="s">
        <v>169</v>
      </c>
      <c r="C42" s="53"/>
      <c r="D42" s="54">
        <v>12000</v>
      </c>
      <c r="E42" s="15" t="s">
        <v>123</v>
      </c>
      <c r="F42" s="15" t="s">
        <v>125</v>
      </c>
    </row>
    <row r="43" spans="1:6" ht="15.75" thickBot="1" x14ac:dyDescent="0.25">
      <c r="A43" s="52">
        <v>45615</v>
      </c>
      <c r="B43" s="15" t="s">
        <v>164</v>
      </c>
      <c r="C43" s="53"/>
      <c r="D43" s="54">
        <v>51.34</v>
      </c>
      <c r="E43" s="15" t="s">
        <v>123</v>
      </c>
      <c r="F43" s="15" t="s">
        <v>124</v>
      </c>
    </row>
    <row r="44" spans="1:6" ht="15.75" thickBot="1" x14ac:dyDescent="0.25">
      <c r="A44" s="52">
        <v>45615</v>
      </c>
      <c r="B44" s="15" t="s">
        <v>164</v>
      </c>
      <c r="C44" s="53"/>
      <c r="D44" s="54">
        <v>72</v>
      </c>
      <c r="E44" s="15" t="s">
        <v>123</v>
      </c>
      <c r="F44" s="15" t="s">
        <v>124</v>
      </c>
    </row>
    <row r="45" spans="1:6" ht="15.75" thickBot="1" x14ac:dyDescent="0.25">
      <c r="A45" s="52">
        <v>45615</v>
      </c>
      <c r="B45" s="15" t="s">
        <v>164</v>
      </c>
      <c r="C45" s="53"/>
      <c r="D45" s="54">
        <v>598.22</v>
      </c>
      <c r="E45" s="15" t="s">
        <v>123</v>
      </c>
      <c r="F45" s="15" t="s">
        <v>124</v>
      </c>
    </row>
    <row r="46" spans="1:6" ht="15.75" thickBot="1" x14ac:dyDescent="0.25">
      <c r="A46" s="52">
        <v>45615</v>
      </c>
      <c r="B46" s="15" t="s">
        <v>164</v>
      </c>
      <c r="C46" s="53"/>
      <c r="D46" s="54">
        <v>1055.3499999999999</v>
      </c>
      <c r="E46" s="15" t="s">
        <v>123</v>
      </c>
      <c r="F46" s="15" t="s">
        <v>124</v>
      </c>
    </row>
    <row r="47" spans="1:6" ht="15.75" thickBot="1" x14ac:dyDescent="0.25">
      <c r="A47" s="52">
        <v>45615</v>
      </c>
      <c r="B47" s="15" t="s">
        <v>164</v>
      </c>
      <c r="C47" s="53"/>
      <c r="D47" s="54">
        <v>1089</v>
      </c>
      <c r="E47" s="15" t="s">
        <v>123</v>
      </c>
      <c r="F47" s="15" t="s">
        <v>124</v>
      </c>
    </row>
    <row r="48" spans="1:6" ht="15.75" thickBot="1" x14ac:dyDescent="0.25">
      <c r="A48" s="52">
        <v>45615</v>
      </c>
      <c r="B48" s="15" t="s">
        <v>164</v>
      </c>
      <c r="C48" s="53"/>
      <c r="D48" s="54">
        <v>1506.54</v>
      </c>
      <c r="E48" s="15" t="s">
        <v>123</v>
      </c>
      <c r="F48" s="15" t="s">
        <v>124</v>
      </c>
    </row>
    <row r="49" spans="1:6" ht="15.75" thickBot="1" x14ac:dyDescent="0.25">
      <c r="A49" s="52">
        <v>45615</v>
      </c>
      <c r="B49" s="15" t="s">
        <v>164</v>
      </c>
      <c r="C49" s="53"/>
      <c r="D49" s="54">
        <v>3000</v>
      </c>
      <c r="E49" s="15" t="s">
        <v>123</v>
      </c>
      <c r="F49" s="15" t="s">
        <v>124</v>
      </c>
    </row>
    <row r="50" spans="1:6" ht="15.75" thickBot="1" x14ac:dyDescent="0.25">
      <c r="A50" s="52">
        <v>45615</v>
      </c>
      <c r="B50" s="15" t="s">
        <v>164</v>
      </c>
      <c r="C50" s="53"/>
      <c r="D50" s="54">
        <v>3000</v>
      </c>
      <c r="E50" s="15" t="s">
        <v>123</v>
      </c>
      <c r="F50" s="15" t="s">
        <v>124</v>
      </c>
    </row>
    <row r="51" spans="1:6" ht="15.75" thickBot="1" x14ac:dyDescent="0.25">
      <c r="A51" s="52">
        <v>45615</v>
      </c>
      <c r="B51" s="15" t="s">
        <v>169</v>
      </c>
      <c r="C51" s="53"/>
      <c r="D51" s="54">
        <v>6000</v>
      </c>
      <c r="E51" s="15" t="s">
        <v>123</v>
      </c>
      <c r="F51" s="15" t="s">
        <v>125</v>
      </c>
    </row>
    <row r="52" spans="1:6" ht="15.75" thickBot="1" x14ac:dyDescent="0.25">
      <c r="A52" s="52">
        <v>45615</v>
      </c>
      <c r="B52" s="15" t="s">
        <v>169</v>
      </c>
      <c r="C52" s="53"/>
      <c r="D52" s="54">
        <v>6000</v>
      </c>
      <c r="E52" s="15" t="s">
        <v>123</v>
      </c>
      <c r="F52" s="15" t="s">
        <v>125</v>
      </c>
    </row>
    <row r="53" spans="1:6" ht="15.75" thickBot="1" x14ac:dyDescent="0.25">
      <c r="A53" s="52">
        <v>45616</v>
      </c>
      <c r="B53" s="15" t="s">
        <v>164</v>
      </c>
      <c r="C53" s="53"/>
      <c r="D53" s="54">
        <v>36</v>
      </c>
      <c r="E53" s="15" t="s">
        <v>123</v>
      </c>
      <c r="F53" s="15" t="s">
        <v>124</v>
      </c>
    </row>
    <row r="54" spans="1:6" ht="15.75" thickBot="1" x14ac:dyDescent="0.25">
      <c r="A54" s="52">
        <v>45616</v>
      </c>
      <c r="B54" s="15" t="s">
        <v>164</v>
      </c>
      <c r="C54" s="53"/>
      <c r="D54" s="54">
        <v>36</v>
      </c>
      <c r="E54" s="15" t="s">
        <v>123</v>
      </c>
      <c r="F54" s="15" t="s">
        <v>124</v>
      </c>
    </row>
    <row r="55" spans="1:6" ht="15.75" thickBot="1" x14ac:dyDescent="0.25">
      <c r="A55" s="52">
        <v>45618</v>
      </c>
      <c r="B55" s="15" t="s">
        <v>164</v>
      </c>
      <c r="C55" s="53"/>
      <c r="D55" s="54">
        <v>1200</v>
      </c>
      <c r="E55" s="15" t="s">
        <v>123</v>
      </c>
      <c r="F55" s="15" t="s">
        <v>124</v>
      </c>
    </row>
    <row r="56" spans="1:6" ht="15.75" thickBot="1" x14ac:dyDescent="0.25">
      <c r="A56" s="52">
        <v>45618</v>
      </c>
      <c r="B56" s="15" t="s">
        <v>164</v>
      </c>
      <c r="C56" s="53"/>
      <c r="D56" s="54">
        <v>5312.97</v>
      </c>
      <c r="E56" s="15" t="s">
        <v>123</v>
      </c>
      <c r="F56" s="15" t="s">
        <v>124</v>
      </c>
    </row>
    <row r="57" spans="1:6" ht="15.75" thickBot="1" x14ac:dyDescent="0.25">
      <c r="A57" s="52">
        <v>45618</v>
      </c>
      <c r="B57" s="15" t="s">
        <v>164</v>
      </c>
      <c r="C57" s="53"/>
      <c r="D57" s="54">
        <v>7840.8</v>
      </c>
      <c r="E57" s="15" t="s">
        <v>123</v>
      </c>
      <c r="F57" s="15" t="s">
        <v>124</v>
      </c>
    </row>
    <row r="58" spans="1:6" ht="15.75" thickBot="1" x14ac:dyDescent="0.25">
      <c r="A58" s="52">
        <v>45618</v>
      </c>
      <c r="B58" s="15" t="s">
        <v>169</v>
      </c>
      <c r="C58" s="53"/>
      <c r="D58" s="54">
        <v>15681.6</v>
      </c>
      <c r="E58" s="15" t="s">
        <v>123</v>
      </c>
      <c r="F58" s="15" t="s">
        <v>125</v>
      </c>
    </row>
    <row r="59" spans="1:6" ht="15.75" thickBot="1" x14ac:dyDescent="0.25">
      <c r="A59" s="52">
        <v>45621</v>
      </c>
      <c r="B59" s="15" t="s">
        <v>164</v>
      </c>
      <c r="C59" s="53"/>
      <c r="D59" s="54">
        <v>94.09</v>
      </c>
      <c r="E59" s="15" t="s">
        <v>123</v>
      </c>
      <c r="F59" s="15" t="s">
        <v>124</v>
      </c>
    </row>
    <row r="60" spans="1:6" ht="15.75" thickBot="1" x14ac:dyDescent="0.25">
      <c r="A60" s="52">
        <v>45622</v>
      </c>
      <c r="B60" s="15" t="s">
        <v>164</v>
      </c>
      <c r="C60" s="53"/>
      <c r="D60" s="54">
        <v>30.48</v>
      </c>
      <c r="E60" s="15" t="s">
        <v>123</v>
      </c>
      <c r="F60" s="15" t="s">
        <v>124</v>
      </c>
    </row>
    <row r="61" spans="1:6" ht="15.75" thickBot="1" x14ac:dyDescent="0.25">
      <c r="A61" s="52">
        <v>45622</v>
      </c>
      <c r="B61" s="15" t="s">
        <v>164</v>
      </c>
      <c r="C61" s="53"/>
      <c r="D61" s="54">
        <v>17348.16</v>
      </c>
      <c r="E61" s="15" t="s">
        <v>123</v>
      </c>
      <c r="F61" s="15" t="s">
        <v>124</v>
      </c>
    </row>
    <row r="62" spans="1:6" ht="15.75" thickBot="1" x14ac:dyDescent="0.25">
      <c r="A62" s="52">
        <v>45622</v>
      </c>
      <c r="B62" s="15" t="s">
        <v>169</v>
      </c>
      <c r="C62" s="53"/>
      <c r="D62" s="54">
        <v>34696.32</v>
      </c>
      <c r="E62" s="15" t="s">
        <v>123</v>
      </c>
      <c r="F62" s="15" t="s">
        <v>125</v>
      </c>
    </row>
    <row r="63" spans="1:6" ht="15.75" thickBot="1" x14ac:dyDescent="0.25">
      <c r="A63" s="52">
        <v>45623</v>
      </c>
      <c r="B63" s="15" t="s">
        <v>164</v>
      </c>
      <c r="C63" s="53"/>
      <c r="D63" s="54">
        <v>208.18</v>
      </c>
      <c r="E63" s="15" t="s">
        <v>123</v>
      </c>
      <c r="F63" s="15" t="s">
        <v>124</v>
      </c>
    </row>
    <row r="64" spans="1:6" ht="15.75" thickBot="1" x14ac:dyDescent="0.25">
      <c r="A64" s="52">
        <v>45623</v>
      </c>
      <c r="B64" s="15" t="s">
        <v>164</v>
      </c>
      <c r="C64" s="53"/>
      <c r="D64" s="54">
        <v>10776.56</v>
      </c>
      <c r="E64" s="15" t="s">
        <v>123</v>
      </c>
      <c r="F64" s="15" t="s">
        <v>124</v>
      </c>
    </row>
    <row r="65" spans="1:6" ht="15.75" thickBot="1" x14ac:dyDescent="0.25">
      <c r="A65" s="52">
        <v>45623</v>
      </c>
      <c r="B65" s="15" t="s">
        <v>169</v>
      </c>
      <c r="C65" s="53"/>
      <c r="D65" s="54">
        <v>21553.13</v>
      </c>
      <c r="E65" s="15" t="s">
        <v>123</v>
      </c>
      <c r="F65" s="15" t="s">
        <v>125</v>
      </c>
    </row>
    <row r="66" spans="1:6" ht="15.75" thickBot="1" x14ac:dyDescent="0.25">
      <c r="A66" s="52">
        <v>45624</v>
      </c>
      <c r="B66" s="15" t="s">
        <v>164</v>
      </c>
      <c r="C66" s="53"/>
      <c r="D66" s="54">
        <v>129.32</v>
      </c>
      <c r="E66" s="15" t="s">
        <v>123</v>
      </c>
      <c r="F66" s="15" t="s">
        <v>124</v>
      </c>
    </row>
    <row r="67" spans="1:6" ht="15.75" thickBot="1" x14ac:dyDescent="0.25">
      <c r="A67" s="52">
        <v>45624</v>
      </c>
      <c r="B67" s="15" t="s">
        <v>164</v>
      </c>
      <c r="C67" s="53"/>
      <c r="D67" s="54">
        <v>129240</v>
      </c>
      <c r="E67" s="15" t="s">
        <v>123</v>
      </c>
      <c r="F67" s="15" t="s">
        <v>124</v>
      </c>
    </row>
    <row r="68" spans="1:6" ht="15.75" thickBot="1" x14ac:dyDescent="0.25">
      <c r="A68" s="52">
        <v>45624</v>
      </c>
      <c r="B68" s="15" t="s">
        <v>192</v>
      </c>
      <c r="C68" s="53"/>
      <c r="D68" s="54">
        <v>78729.13</v>
      </c>
      <c r="E68" s="15" t="s">
        <v>123</v>
      </c>
      <c r="F68" s="15" t="s">
        <v>193</v>
      </c>
    </row>
    <row r="69" spans="1:6" ht="15.75" thickBot="1" x14ac:dyDescent="0.25">
      <c r="A69" s="52">
        <v>45624</v>
      </c>
      <c r="B69" s="15" t="s">
        <v>192</v>
      </c>
      <c r="C69" s="53"/>
      <c r="D69" s="54">
        <v>96709.39</v>
      </c>
      <c r="E69" s="15" t="s">
        <v>123</v>
      </c>
      <c r="F69" s="15" t="s">
        <v>194</v>
      </c>
    </row>
    <row r="70" spans="1:6" ht="15.75" thickBot="1" x14ac:dyDescent="0.25">
      <c r="A70" s="52">
        <v>45625</v>
      </c>
      <c r="B70" s="15" t="s">
        <v>201</v>
      </c>
      <c r="C70" s="53"/>
      <c r="D70" s="54">
        <v>940.57</v>
      </c>
      <c r="E70" s="15" t="s">
        <v>123</v>
      </c>
      <c r="F70" s="15" t="s">
        <v>202</v>
      </c>
    </row>
    <row r="71" spans="1:6" ht="15.75" thickBot="1" x14ac:dyDescent="0.25">
      <c r="A71" s="52">
        <v>45625</v>
      </c>
      <c r="B71" s="15" t="s">
        <v>201</v>
      </c>
      <c r="C71" s="53"/>
      <c r="D71" s="54">
        <v>6584</v>
      </c>
      <c r="E71" s="15" t="s">
        <v>123</v>
      </c>
      <c r="F71" s="15" t="s">
        <v>202</v>
      </c>
    </row>
    <row r="72" spans="1:6" ht="15.75" thickBot="1" x14ac:dyDescent="0.25">
      <c r="A72" s="52">
        <v>45625</v>
      </c>
      <c r="B72" s="15" t="s">
        <v>203</v>
      </c>
      <c r="C72" s="53"/>
      <c r="D72" s="54">
        <v>31352.400000000001</v>
      </c>
      <c r="E72" s="15" t="s">
        <v>123</v>
      </c>
      <c r="F72" s="15" t="s">
        <v>202</v>
      </c>
    </row>
    <row r="73" spans="1:6" ht="15.75" thickBot="1" x14ac:dyDescent="0.25">
      <c r="A73" s="52">
        <v>45625</v>
      </c>
      <c r="B73" s="15" t="s">
        <v>164</v>
      </c>
      <c r="C73" s="53"/>
      <c r="D73" s="54">
        <v>18.89</v>
      </c>
      <c r="E73" s="15" t="s">
        <v>123</v>
      </c>
      <c r="F73" s="15" t="s">
        <v>124</v>
      </c>
    </row>
    <row r="74" spans="1:6" ht="15.75" thickBot="1" x14ac:dyDescent="0.25">
      <c r="A74" s="52">
        <v>45625</v>
      </c>
      <c r="B74" s="15" t="s">
        <v>164</v>
      </c>
      <c r="C74" s="53"/>
      <c r="D74" s="54">
        <v>35.119999999999997</v>
      </c>
      <c r="E74" s="15" t="s">
        <v>123</v>
      </c>
      <c r="F74" s="15" t="s">
        <v>124</v>
      </c>
    </row>
    <row r="75" spans="1:6" ht="15.75" thickBot="1" x14ac:dyDescent="0.25">
      <c r="A75" s="52">
        <v>45625</v>
      </c>
      <c r="B75" s="15" t="s">
        <v>164</v>
      </c>
      <c r="C75" s="53"/>
      <c r="D75" s="54">
        <v>282.11</v>
      </c>
      <c r="E75" s="15" t="s">
        <v>123</v>
      </c>
      <c r="F75" s="15" t="s">
        <v>124</v>
      </c>
    </row>
    <row r="76" spans="1:6" ht="15.75" thickBot="1" x14ac:dyDescent="0.25">
      <c r="A76" s="52">
        <v>45625</v>
      </c>
      <c r="B76" s="15" t="s">
        <v>164</v>
      </c>
      <c r="C76" s="53"/>
      <c r="D76" s="54">
        <v>472.37</v>
      </c>
      <c r="E76" s="15" t="s">
        <v>123</v>
      </c>
      <c r="F76" s="15" t="s">
        <v>124</v>
      </c>
    </row>
    <row r="77" spans="1:6" ht="15.75" thickBot="1" x14ac:dyDescent="0.25">
      <c r="A77" s="52">
        <v>45625</v>
      </c>
      <c r="B77" s="15" t="s">
        <v>164</v>
      </c>
      <c r="C77" s="53"/>
      <c r="D77" s="54">
        <v>580.26</v>
      </c>
      <c r="E77" s="15" t="s">
        <v>123</v>
      </c>
      <c r="F77" s="15" t="s">
        <v>124</v>
      </c>
    </row>
    <row r="78" spans="1:6" ht="15.75" thickBot="1" x14ac:dyDescent="0.25">
      <c r="A78" s="52">
        <v>45625</v>
      </c>
      <c r="B78" s="15" t="s">
        <v>164</v>
      </c>
      <c r="C78" s="53"/>
      <c r="D78" s="54">
        <v>1968.76</v>
      </c>
      <c r="E78" s="15" t="s">
        <v>123</v>
      </c>
      <c r="F78" s="15" t="s">
        <v>124</v>
      </c>
    </row>
    <row r="79" spans="1:6" ht="15.75" thickBot="1" x14ac:dyDescent="0.25">
      <c r="A79" s="52">
        <v>45625</v>
      </c>
      <c r="B79" s="15" t="s">
        <v>164</v>
      </c>
      <c r="C79" s="53"/>
      <c r="D79" s="54">
        <v>2823.09</v>
      </c>
      <c r="E79" s="15" t="s">
        <v>123</v>
      </c>
      <c r="F79" s="15" t="s">
        <v>124</v>
      </c>
    </row>
    <row r="80" spans="1:6" ht="15.75" thickBot="1" x14ac:dyDescent="0.25">
      <c r="A80" s="52">
        <v>45625</v>
      </c>
      <c r="B80" s="15" t="s">
        <v>120</v>
      </c>
      <c r="C80" s="53"/>
      <c r="D80" s="54">
        <v>10563</v>
      </c>
      <c r="E80" s="15" t="s">
        <v>123</v>
      </c>
      <c r="F80" s="15" t="s">
        <v>120</v>
      </c>
    </row>
    <row r="81" spans="1:6" ht="15.75" thickBot="1" x14ac:dyDescent="0.25">
      <c r="A81" s="52">
        <v>45625</v>
      </c>
      <c r="B81" s="15" t="s">
        <v>210</v>
      </c>
      <c r="C81" s="53"/>
      <c r="D81" s="54">
        <v>1509</v>
      </c>
      <c r="E81" s="15" t="s">
        <v>123</v>
      </c>
      <c r="F81" s="15" t="s">
        <v>211</v>
      </c>
    </row>
    <row r="82" spans="1:6" ht="15.75" thickBot="1" x14ac:dyDescent="0.25">
      <c r="A82" s="52">
        <v>45625</v>
      </c>
      <c r="B82" s="15" t="s">
        <v>212</v>
      </c>
      <c r="C82" s="53"/>
      <c r="D82" s="54">
        <v>1509</v>
      </c>
      <c r="E82" s="15" t="s">
        <v>123</v>
      </c>
      <c r="F82" s="15" t="s">
        <v>213</v>
      </c>
    </row>
    <row r="83" spans="1:6" s="41" customFormat="1" ht="13.5" thickBot="1" x14ac:dyDescent="0.25">
      <c r="A83" s="42"/>
      <c r="B83" s="42" t="str">
        <f>+E82</f>
        <v>Impuestos</v>
      </c>
      <c r="C83" s="43"/>
      <c r="D83" s="44">
        <f>SUM(D10:D82)</f>
        <v>655923.38</v>
      </c>
      <c r="E83" s="45"/>
    </row>
    <row r="84" spans="1:6" ht="15.75" thickBot="1" x14ac:dyDescent="0.25">
      <c r="A84" s="52">
        <v>45597</v>
      </c>
      <c r="B84" s="15" t="s">
        <v>167</v>
      </c>
      <c r="C84" s="53"/>
      <c r="D84" s="54">
        <v>34422.800000000003</v>
      </c>
      <c r="E84" s="15" t="s">
        <v>121</v>
      </c>
      <c r="F84" s="15" t="s">
        <v>168</v>
      </c>
    </row>
    <row r="85" spans="1:6" ht="15.75" thickBot="1" x14ac:dyDescent="0.25">
      <c r="A85" s="52">
        <v>45601</v>
      </c>
      <c r="B85" s="15" t="s">
        <v>172</v>
      </c>
      <c r="C85" s="53"/>
      <c r="D85" s="54">
        <v>24431.64</v>
      </c>
      <c r="E85" s="15" t="s">
        <v>121</v>
      </c>
      <c r="F85" s="15" t="s">
        <v>173</v>
      </c>
    </row>
    <row r="86" spans="1:6" ht="15.75" thickBot="1" x14ac:dyDescent="0.25">
      <c r="A86" s="52">
        <v>45607</v>
      </c>
      <c r="B86" s="15" t="s">
        <v>174</v>
      </c>
      <c r="C86" s="53"/>
      <c r="D86" s="54">
        <v>180666.64</v>
      </c>
      <c r="E86" s="15" t="s">
        <v>121</v>
      </c>
      <c r="F86" s="55" t="s">
        <v>126</v>
      </c>
    </row>
    <row r="87" spans="1:6" ht="15.75" thickBot="1" x14ac:dyDescent="0.25">
      <c r="A87" s="52">
        <v>45611</v>
      </c>
      <c r="B87" s="15" t="s">
        <v>170</v>
      </c>
      <c r="C87" s="53"/>
      <c r="D87" s="54">
        <v>175891.17</v>
      </c>
      <c r="E87" s="15" t="s">
        <v>121</v>
      </c>
      <c r="F87" s="15" t="s">
        <v>177</v>
      </c>
    </row>
    <row r="88" spans="1:6" ht="15.75" thickBot="1" x14ac:dyDescent="0.25">
      <c r="A88" s="52">
        <v>45611</v>
      </c>
      <c r="B88" s="15" t="s">
        <v>170</v>
      </c>
      <c r="C88" s="53"/>
      <c r="D88" s="54">
        <v>251090</v>
      </c>
      <c r="E88" s="15" t="s">
        <v>121</v>
      </c>
      <c r="F88" s="15" t="s">
        <v>180</v>
      </c>
    </row>
    <row r="89" spans="1:6" ht="15.75" thickBot="1" x14ac:dyDescent="0.25">
      <c r="A89" s="52">
        <v>45611</v>
      </c>
      <c r="B89" s="15" t="s">
        <v>182</v>
      </c>
      <c r="C89" s="53"/>
      <c r="D89" s="54">
        <v>99704</v>
      </c>
      <c r="E89" s="15" t="s">
        <v>121</v>
      </c>
      <c r="F89" s="15" t="s">
        <v>183</v>
      </c>
    </row>
    <row r="90" spans="1:6" ht="15.75" thickBot="1" x14ac:dyDescent="0.25">
      <c r="A90" s="52">
        <v>45617</v>
      </c>
      <c r="B90" s="15" t="s">
        <v>170</v>
      </c>
      <c r="C90" s="53"/>
      <c r="D90" s="54">
        <v>200000</v>
      </c>
      <c r="E90" s="15" t="s">
        <v>121</v>
      </c>
      <c r="F90" s="15" t="s">
        <v>184</v>
      </c>
    </row>
    <row r="91" spans="1:6" ht="15.75" thickBot="1" x14ac:dyDescent="0.25">
      <c r="A91" s="52">
        <v>45624</v>
      </c>
      <c r="B91" s="15" t="s">
        <v>195</v>
      </c>
      <c r="C91" s="53"/>
      <c r="D91" s="54">
        <v>328127.34000000003</v>
      </c>
      <c r="E91" s="15" t="s">
        <v>121</v>
      </c>
      <c r="F91" s="15" t="s">
        <v>196</v>
      </c>
    </row>
    <row r="92" spans="1:6" ht="15.75" thickBot="1" x14ac:dyDescent="0.25">
      <c r="A92" s="56"/>
      <c r="B92" s="57" t="s">
        <v>214</v>
      </c>
      <c r="C92" s="53"/>
      <c r="D92" s="58">
        <v>800000</v>
      </c>
      <c r="E92" s="15" t="s">
        <v>121</v>
      </c>
      <c r="F92" s="57" t="s">
        <v>180</v>
      </c>
    </row>
    <row r="93" spans="1:6" ht="15.75" thickBot="1" x14ac:dyDescent="0.25">
      <c r="A93" s="56"/>
      <c r="B93" s="57" t="s">
        <v>215</v>
      </c>
      <c r="C93" s="53"/>
      <c r="D93" s="58">
        <v>64997</v>
      </c>
      <c r="E93" s="15" t="s">
        <v>121</v>
      </c>
      <c r="F93" s="57" t="s">
        <v>216</v>
      </c>
    </row>
    <row r="94" spans="1:6" ht="15.75" thickBot="1" x14ac:dyDescent="0.25">
      <c r="A94" s="59">
        <v>45976</v>
      </c>
      <c r="B94" s="57" t="s">
        <v>217</v>
      </c>
      <c r="C94" s="53"/>
      <c r="D94" s="58">
        <v>70000</v>
      </c>
      <c r="E94" s="15" t="s">
        <v>121</v>
      </c>
      <c r="F94" s="57" t="s">
        <v>180</v>
      </c>
    </row>
    <row r="95" spans="1:6" ht="15.75" thickBot="1" x14ac:dyDescent="0.25">
      <c r="A95" s="59">
        <v>45976</v>
      </c>
      <c r="B95" s="57" t="s">
        <v>218</v>
      </c>
      <c r="C95" s="53"/>
      <c r="D95" s="58">
        <v>22400</v>
      </c>
      <c r="E95" s="15" t="s">
        <v>121</v>
      </c>
      <c r="F95" s="57" t="s">
        <v>219</v>
      </c>
    </row>
    <row r="96" spans="1:6" ht="15.75" thickBot="1" x14ac:dyDescent="0.25">
      <c r="A96" s="59">
        <v>45980</v>
      </c>
      <c r="B96" s="57" t="s">
        <v>220</v>
      </c>
      <c r="C96" s="53"/>
      <c r="D96" s="58">
        <v>13500</v>
      </c>
      <c r="E96" s="15" t="s">
        <v>121</v>
      </c>
      <c r="F96" s="57" t="s">
        <v>221</v>
      </c>
    </row>
    <row r="97" spans="1:6" s="41" customFormat="1" ht="13.5" thickBot="1" x14ac:dyDescent="0.25">
      <c r="A97" s="42"/>
      <c r="B97" s="42" t="str">
        <f>+E96</f>
        <v>Local</v>
      </c>
      <c r="C97" s="43"/>
      <c r="D97" s="44">
        <f>SUM(D84:D96)</f>
        <v>2265230.59</v>
      </c>
      <c r="E97" s="45"/>
    </row>
    <row r="98" spans="1:6" ht="15.75" thickBot="1" x14ac:dyDescent="0.25">
      <c r="A98" s="52">
        <v>45624</v>
      </c>
      <c r="B98" s="15" t="s">
        <v>198</v>
      </c>
      <c r="C98" s="53"/>
      <c r="D98" s="54">
        <v>47019</v>
      </c>
      <c r="E98" s="15" t="s">
        <v>199</v>
      </c>
      <c r="F98" s="15" t="s">
        <v>200</v>
      </c>
    </row>
    <row r="99" spans="1:6" ht="15.75" thickBot="1" x14ac:dyDescent="0.25">
      <c r="A99" s="59">
        <v>45988</v>
      </c>
      <c r="B99" s="57" t="s">
        <v>222</v>
      </c>
      <c r="C99" s="53"/>
      <c r="D99" s="58">
        <v>41019</v>
      </c>
      <c r="E99" s="15" t="s">
        <v>199</v>
      </c>
      <c r="F99" s="57" t="s">
        <v>224</v>
      </c>
    </row>
    <row r="100" spans="1:6" s="41" customFormat="1" ht="13.5" thickBot="1" x14ac:dyDescent="0.25">
      <c r="A100" s="42"/>
      <c r="B100" s="42" t="str">
        <f>+E99</f>
        <v>Marketing</v>
      </c>
      <c r="C100" s="43"/>
      <c r="D100" s="44">
        <f>SUM(D98:D99)</f>
        <v>88038</v>
      </c>
      <c r="E100" s="45"/>
    </row>
    <row r="101" spans="1:6" ht="15.75" thickBot="1" x14ac:dyDescent="0.25">
      <c r="A101" s="52">
        <v>45597</v>
      </c>
      <c r="B101" s="57" t="s">
        <v>225</v>
      </c>
      <c r="C101" s="54"/>
      <c r="D101" s="60">
        <v>487737</v>
      </c>
      <c r="E101" s="15" t="s">
        <v>122</v>
      </c>
      <c r="F101" s="15" t="s">
        <v>122</v>
      </c>
    </row>
    <row r="102" spans="1:6" ht="15.75" thickBot="1" x14ac:dyDescent="0.25">
      <c r="A102" s="52">
        <v>45600</v>
      </c>
      <c r="B102" s="57" t="s">
        <v>226</v>
      </c>
      <c r="C102" s="53"/>
      <c r="D102" s="60">
        <v>487737</v>
      </c>
      <c r="E102" s="15" t="s">
        <v>122</v>
      </c>
      <c r="F102" s="15" t="s">
        <v>122</v>
      </c>
    </row>
    <row r="103" spans="1:6" ht="15.75" thickBot="1" x14ac:dyDescent="0.25">
      <c r="A103" s="52">
        <v>45608</v>
      </c>
      <c r="B103" s="15" t="s">
        <v>175</v>
      </c>
      <c r="C103" s="53"/>
      <c r="D103" s="54">
        <v>4327.78</v>
      </c>
      <c r="E103" s="15" t="s">
        <v>122</v>
      </c>
      <c r="F103" s="15" t="s">
        <v>176</v>
      </c>
    </row>
    <row r="104" spans="1:6" ht="15.75" thickBot="1" x14ac:dyDescent="0.25">
      <c r="A104" s="52">
        <v>45611</v>
      </c>
      <c r="B104" s="15" t="s">
        <v>181</v>
      </c>
      <c r="C104" s="53"/>
      <c r="D104" s="54">
        <v>8556.2000000000007</v>
      </c>
      <c r="E104" s="15" t="s">
        <v>122</v>
      </c>
      <c r="F104" s="15" t="s">
        <v>176</v>
      </c>
    </row>
    <row r="105" spans="1:6" ht="15.75" thickBot="1" x14ac:dyDescent="0.25">
      <c r="A105" s="52">
        <v>45624</v>
      </c>
      <c r="B105" s="15" t="s">
        <v>190</v>
      </c>
      <c r="C105" s="53"/>
      <c r="D105" s="54">
        <v>3148.09</v>
      </c>
      <c r="E105" s="15" t="s">
        <v>122</v>
      </c>
      <c r="F105" s="15" t="s">
        <v>191</v>
      </c>
    </row>
    <row r="106" spans="1:6" ht="15.75" thickBot="1" x14ac:dyDescent="0.25">
      <c r="A106" s="52">
        <v>45624</v>
      </c>
      <c r="B106" s="15" t="s">
        <v>190</v>
      </c>
      <c r="C106" s="53"/>
      <c r="D106" s="54">
        <v>5853.98</v>
      </c>
      <c r="E106" s="15" t="s">
        <v>122</v>
      </c>
      <c r="F106" s="15" t="s">
        <v>191</v>
      </c>
    </row>
    <row r="107" spans="1:6" ht="15.75" thickBot="1" x14ac:dyDescent="0.25">
      <c r="A107" s="52">
        <v>45624</v>
      </c>
      <c r="B107" s="15" t="s">
        <v>192</v>
      </c>
      <c r="C107" s="53"/>
      <c r="D107" s="54">
        <v>470515.74</v>
      </c>
      <c r="E107" s="15" t="s">
        <v>122</v>
      </c>
      <c r="F107" s="15" t="s">
        <v>197</v>
      </c>
    </row>
    <row r="108" spans="1:6" ht="15.75" thickBot="1" x14ac:dyDescent="0.25">
      <c r="A108" s="52">
        <v>45991</v>
      </c>
      <c r="B108" s="15" t="s">
        <v>225</v>
      </c>
      <c r="C108" s="53"/>
      <c r="D108" s="54">
        <v>250000</v>
      </c>
      <c r="E108" s="15" t="s">
        <v>122</v>
      </c>
      <c r="F108" s="15" t="s">
        <v>136</v>
      </c>
    </row>
    <row r="109" spans="1:6" ht="15.75" thickBot="1" x14ac:dyDescent="0.25">
      <c r="A109" s="52">
        <v>45991</v>
      </c>
      <c r="B109" s="15" t="s">
        <v>226</v>
      </c>
      <c r="C109" s="53"/>
      <c r="D109" s="54">
        <v>200000</v>
      </c>
      <c r="E109" s="15" t="s">
        <v>122</v>
      </c>
      <c r="F109" s="15" t="s">
        <v>136</v>
      </c>
    </row>
    <row r="110" spans="1:6" ht="13.5" thickBot="1" x14ac:dyDescent="0.25">
      <c r="B110" s="40" t="s">
        <v>240</v>
      </c>
      <c r="D110" s="54">
        <v>2335160</v>
      </c>
    </row>
    <row r="111" spans="1:6" s="41" customFormat="1" ht="13.5" thickBot="1" x14ac:dyDescent="0.25">
      <c r="A111" s="42"/>
      <c r="B111" s="42" t="str">
        <f>+E109</f>
        <v>Sueldos</v>
      </c>
      <c r="C111" s="44"/>
      <c r="D111" s="44">
        <f>SUM(D101:D110)</f>
        <v>4253035.79</v>
      </c>
      <c r="E111" s="45"/>
    </row>
    <row r="113" spans="1:6" ht="13.5" thickBot="1" x14ac:dyDescent="0.25"/>
    <row r="114" spans="1:6" ht="15.75" thickBot="1" x14ac:dyDescent="0.25">
      <c r="A114" s="52">
        <v>45617</v>
      </c>
      <c r="B114" s="15" t="s">
        <v>170</v>
      </c>
      <c r="C114" s="53"/>
      <c r="D114" s="54">
        <v>885495</v>
      </c>
      <c r="E114" s="15" t="s">
        <v>185</v>
      </c>
      <c r="F114" s="15" t="s">
        <v>186</v>
      </c>
    </row>
    <row r="115" spans="1:6" ht="15.75" thickBot="1" x14ac:dyDescent="0.25">
      <c r="A115" s="52">
        <v>45623</v>
      </c>
      <c r="B115" s="15" t="s">
        <v>188</v>
      </c>
      <c r="C115" s="53"/>
      <c r="D115" s="54">
        <v>21540000</v>
      </c>
      <c r="E115" s="15" t="s">
        <v>185</v>
      </c>
      <c r="F115" s="15" t="s">
        <v>189</v>
      </c>
    </row>
    <row r="116" spans="1:6" ht="15.75" thickBot="1" x14ac:dyDescent="0.25">
      <c r="A116" s="52">
        <v>45625</v>
      </c>
      <c r="B116" s="15" t="s">
        <v>204</v>
      </c>
      <c r="C116" s="53"/>
      <c r="D116" s="54">
        <v>314820</v>
      </c>
      <c r="E116" s="15" t="s">
        <v>185</v>
      </c>
      <c r="F116" s="15" t="s">
        <v>186</v>
      </c>
    </row>
    <row r="117" spans="1:6" s="41" customFormat="1" ht="13.5" thickBot="1" x14ac:dyDescent="0.25">
      <c r="A117" s="61"/>
      <c r="B117" s="61" t="str">
        <f>+E116</f>
        <v>Importaciones</v>
      </c>
      <c r="C117" s="62"/>
      <c r="D117" s="63">
        <f>SUM(D114:D116)</f>
        <v>22740315</v>
      </c>
      <c r="E117" s="47"/>
    </row>
    <row r="118" spans="1:6" ht="13.5" thickBot="1" x14ac:dyDescent="0.25"/>
    <row r="119" spans="1:6" ht="15.75" thickBot="1" x14ac:dyDescent="0.25">
      <c r="A119" s="52">
        <v>45625</v>
      </c>
      <c r="B119" s="15" t="s">
        <v>205</v>
      </c>
      <c r="C119" s="53"/>
      <c r="D119" s="54">
        <v>2578347.5099999998</v>
      </c>
      <c r="E119" s="15" t="s">
        <v>206</v>
      </c>
      <c r="F119" s="15" t="s">
        <v>207</v>
      </c>
    </row>
    <row r="120" spans="1:6" s="41" customFormat="1" ht="13.5" thickBot="1" x14ac:dyDescent="0.25">
      <c r="A120" s="61"/>
      <c r="B120" s="61" t="str">
        <f>+E119</f>
        <v>Inversión</v>
      </c>
      <c r="C120" s="62"/>
      <c r="D120" s="63">
        <f>SUM(D119)</f>
        <v>2578347.5099999998</v>
      </c>
      <c r="E120" s="47"/>
    </row>
    <row r="123" spans="1:6" x14ac:dyDescent="0.2">
      <c r="D123" s="51"/>
    </row>
  </sheetData>
  <autoFilter ref="A1:G1" xr:uid="{7D39FC09-67B1-4389-93ED-E9AE970AAC6E}"/>
  <sortState xmlns:xlrd2="http://schemas.microsoft.com/office/spreadsheetml/2017/richdata2" ref="A2:F111">
    <sortCondition ref="E2:E1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R1000"/>
  <sheetViews>
    <sheetView zoomScale="90" zoomScaleNormal="90" workbookViewId="0">
      <selection activeCell="P3" sqref="P3"/>
    </sheetView>
  </sheetViews>
  <sheetFormatPr baseColWidth="10" defaultRowHeight="12.75" x14ac:dyDescent="0.2"/>
  <cols>
    <col min="1" max="1" width="11.42578125" style="40"/>
    <col min="2" max="2" width="11" style="40" bestFit="1" customWidth="1"/>
    <col min="3" max="3" width="12.140625" style="40" bestFit="1" customWidth="1"/>
    <col min="4" max="4" width="11" style="40" bestFit="1" customWidth="1"/>
    <col min="5" max="5" width="11.140625" style="40" bestFit="1" customWidth="1"/>
    <col min="6" max="6" width="12.140625" style="40" bestFit="1" customWidth="1"/>
    <col min="7" max="7" width="6.28515625" style="40" customWidth="1"/>
    <col min="8" max="8" width="14.28515625" style="40" bestFit="1" customWidth="1"/>
    <col min="9" max="9" width="11.85546875" style="40" bestFit="1" customWidth="1"/>
    <col min="10" max="10" width="15" style="40" bestFit="1" customWidth="1"/>
    <col min="11" max="11" width="13.7109375" style="40" bestFit="1" customWidth="1"/>
    <col min="12" max="12" width="8.85546875" style="40" customWidth="1"/>
    <col min="13" max="13" width="14.140625" style="40" bestFit="1" customWidth="1"/>
    <col min="14" max="14" width="13.5703125" style="40" bestFit="1" customWidth="1"/>
    <col min="15" max="15" width="18" style="40" customWidth="1"/>
    <col min="16" max="16" width="14.5703125" style="40" bestFit="1" customWidth="1"/>
    <col min="17" max="16384" width="11.42578125" style="40"/>
  </cols>
  <sheetData>
    <row r="1" spans="1:18" ht="26.25" thickBot="1" x14ac:dyDescent="0.25">
      <c r="A1" s="64" t="s">
        <v>156</v>
      </c>
      <c r="B1" s="64" t="s">
        <v>141</v>
      </c>
      <c r="C1" s="64" t="s">
        <v>157</v>
      </c>
      <c r="D1" s="64" t="s">
        <v>158</v>
      </c>
      <c r="E1" s="64" t="s">
        <v>127</v>
      </c>
      <c r="F1" s="64" t="s">
        <v>128</v>
      </c>
      <c r="G1" s="64" t="s">
        <v>129</v>
      </c>
      <c r="H1" s="64" t="s">
        <v>159</v>
      </c>
      <c r="I1" s="64" t="s">
        <v>237</v>
      </c>
      <c r="J1" s="64" t="s">
        <v>160</v>
      </c>
      <c r="K1" s="64" t="s">
        <v>161</v>
      </c>
      <c r="L1" s="64" t="s">
        <v>130</v>
      </c>
      <c r="M1" s="64" t="s">
        <v>120</v>
      </c>
      <c r="N1" s="64" t="s">
        <v>162</v>
      </c>
      <c r="O1" s="64" t="s">
        <v>131</v>
      </c>
      <c r="P1" s="64" t="s">
        <v>132</v>
      </c>
      <c r="Q1" s="65"/>
      <c r="R1" s="14"/>
    </row>
    <row r="2" spans="1:18" ht="26.25" thickBot="1" x14ac:dyDescent="0.25">
      <c r="A2" s="66" t="s">
        <v>119</v>
      </c>
      <c r="B2" s="67">
        <v>45603</v>
      </c>
      <c r="C2" s="68" t="s">
        <v>229</v>
      </c>
      <c r="D2" s="68" t="s">
        <v>134</v>
      </c>
      <c r="E2" s="68" t="s">
        <v>233</v>
      </c>
      <c r="F2" s="68" t="s">
        <v>135</v>
      </c>
      <c r="G2" s="68">
        <v>1</v>
      </c>
      <c r="H2" s="69">
        <v>3210000</v>
      </c>
      <c r="I2" s="70">
        <v>0.05</v>
      </c>
      <c r="J2" s="71">
        <f>+H2-(H2*I2)</f>
        <v>3049500</v>
      </c>
      <c r="K2" s="69">
        <v>1524750</v>
      </c>
      <c r="L2" s="72">
        <v>0.105</v>
      </c>
      <c r="M2" s="71">
        <f>+K2*L2</f>
        <v>160098.75</v>
      </c>
      <c r="N2" s="71">
        <f>+K2+M2</f>
        <v>1684848.75</v>
      </c>
      <c r="O2" s="71">
        <f>+J2+M2</f>
        <v>3209598.75</v>
      </c>
      <c r="P2" s="71">
        <f>1056.16*1033.5</f>
        <v>1091541.3600000001</v>
      </c>
      <c r="Q2" s="65"/>
      <c r="R2" s="14"/>
    </row>
    <row r="3" spans="1:18" ht="51.75" thickBot="1" x14ac:dyDescent="0.25">
      <c r="A3" s="66" t="s">
        <v>133</v>
      </c>
      <c r="B3" s="67">
        <v>45610</v>
      </c>
      <c r="C3" s="68" t="s">
        <v>230</v>
      </c>
      <c r="D3" s="68" t="s">
        <v>234</v>
      </c>
      <c r="E3" s="73" t="s">
        <v>235</v>
      </c>
      <c r="F3" s="73" t="s">
        <v>135</v>
      </c>
      <c r="G3" s="68">
        <v>1</v>
      </c>
      <c r="H3" s="69">
        <f>3125000+91000</f>
        <v>3216000</v>
      </c>
      <c r="I3" s="70">
        <v>0</v>
      </c>
      <c r="J3" s="71">
        <f t="shared" ref="J3:J5" si="0">+H3-(H3*I3)</f>
        <v>3216000</v>
      </c>
      <c r="K3" s="69">
        <v>3216000</v>
      </c>
      <c r="L3" s="72">
        <v>0.21</v>
      </c>
      <c r="M3" s="71">
        <f t="shared" ref="M3:M5" si="1">+K3*L3</f>
        <v>675360</v>
      </c>
      <c r="N3" s="71">
        <f t="shared" ref="N3:N5" si="2">+K3+M3</f>
        <v>3891360</v>
      </c>
      <c r="O3" s="71">
        <f t="shared" ref="O3:O5" si="3">+J3+M3</f>
        <v>3891360</v>
      </c>
      <c r="P3" s="71">
        <f>(716.03+28.64)*1033.5</f>
        <v>769616.44499999995</v>
      </c>
      <c r="Q3" s="65"/>
      <c r="R3" s="14"/>
    </row>
    <row r="4" spans="1:18" ht="39" thickBot="1" x14ac:dyDescent="0.25">
      <c r="A4" s="66" t="s">
        <v>119</v>
      </c>
      <c r="B4" s="74">
        <v>45597</v>
      </c>
      <c r="C4" s="73" t="s">
        <v>231</v>
      </c>
      <c r="D4" s="73" t="s">
        <v>1</v>
      </c>
      <c r="E4" s="73">
        <v>202410312</v>
      </c>
      <c r="F4" s="73" t="s">
        <v>135</v>
      </c>
      <c r="G4" s="68">
        <v>1</v>
      </c>
      <c r="H4" s="69">
        <v>1080000</v>
      </c>
      <c r="I4" s="70">
        <v>0</v>
      </c>
      <c r="J4" s="71">
        <f t="shared" si="0"/>
        <v>1080000</v>
      </c>
      <c r="K4" s="69">
        <v>1080000</v>
      </c>
      <c r="L4" s="72">
        <v>0.21</v>
      </c>
      <c r="M4" s="71">
        <f t="shared" si="1"/>
        <v>226800</v>
      </c>
      <c r="N4" s="71">
        <f t="shared" si="2"/>
        <v>1306800</v>
      </c>
      <c r="O4" s="71">
        <f t="shared" si="3"/>
        <v>1306800</v>
      </c>
      <c r="P4" s="71">
        <f>247.06*1033.5</f>
        <v>255336.51</v>
      </c>
      <c r="Q4" s="65"/>
      <c r="R4" s="14"/>
    </row>
    <row r="5" spans="1:18" ht="26.25" thickBot="1" x14ac:dyDescent="0.25">
      <c r="A5" s="66" t="s">
        <v>118</v>
      </c>
      <c r="B5" s="74">
        <v>45597</v>
      </c>
      <c r="C5" s="68" t="s">
        <v>232</v>
      </c>
      <c r="D5" s="73" t="s">
        <v>134</v>
      </c>
      <c r="E5" s="73" t="s">
        <v>236</v>
      </c>
      <c r="F5" s="73" t="s">
        <v>135</v>
      </c>
      <c r="G5" s="68">
        <v>1</v>
      </c>
      <c r="H5" s="69">
        <v>3210000</v>
      </c>
      <c r="I5" s="70">
        <v>0.1</v>
      </c>
      <c r="J5" s="71">
        <f t="shared" si="0"/>
        <v>2889000</v>
      </c>
      <c r="K5" s="69">
        <v>2889000</v>
      </c>
      <c r="L5" s="72">
        <v>0.105</v>
      </c>
      <c r="M5" s="71">
        <f t="shared" si="1"/>
        <v>303345</v>
      </c>
      <c r="N5" s="71">
        <f t="shared" si="2"/>
        <v>3192345</v>
      </c>
      <c r="O5" s="71">
        <f t="shared" si="3"/>
        <v>3192345</v>
      </c>
      <c r="P5" s="71">
        <f>1056.16*1033.5</f>
        <v>1091541.3600000001</v>
      </c>
      <c r="Q5" s="65"/>
      <c r="R5" s="14"/>
    </row>
    <row r="6" spans="1:18" ht="21.75" customHeight="1" thickBot="1" x14ac:dyDescent="0.25">
      <c r="A6" s="75"/>
      <c r="B6" s="75"/>
      <c r="C6" s="75"/>
      <c r="D6" s="75"/>
      <c r="E6" s="75"/>
      <c r="F6" s="75"/>
      <c r="G6" s="75"/>
      <c r="H6" s="76">
        <f>SUM(H2:H5)</f>
        <v>10716000</v>
      </c>
      <c r="I6" s="76">
        <f>+H6-J6</f>
        <v>481500</v>
      </c>
      <c r="J6" s="76">
        <f>SUM(J2:J5)</f>
        <v>10234500</v>
      </c>
      <c r="K6" s="75"/>
      <c r="L6" s="75"/>
      <c r="M6" s="75"/>
      <c r="N6" s="75"/>
      <c r="O6" s="75"/>
      <c r="P6" s="76">
        <f>SUM(P2:P5)</f>
        <v>3208035.6750000007</v>
      </c>
      <c r="Q6" s="14"/>
      <c r="R6" s="14"/>
    </row>
    <row r="7" spans="1:18" ht="13.5" thickBot="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13.5" thickBo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 ht="13.5" thickBo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ht="13.5" thickBo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 ht="13.5" thickBo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ht="13.5" thickBo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ht="13.5" thickBo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ht="13.5" thickBo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13.5" thickBo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ht="13.5" thickBo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3.5" thickBo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13.5" thickBo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ht="13.5" thickBo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ht="13.5" thickBo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ht="13.5" thickBo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13.5" thickBo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 ht="13.5" thickBot="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ht="13.5" thickBo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ht="13.5" thickBot="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 ht="13.5" thickBo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 ht="13.5" thickBo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 ht="13.5" thickBo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 ht="13.5" thickBo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1:18" ht="13.5" thickBo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18" ht="13.5" thickBo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18" ht="13.5" thickBo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1:18" ht="13.5" thickBo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1:18" ht="13.5" thickBo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1:18" ht="13.5" thickBo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1:18" ht="13.5" thickBo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1:18" ht="13.5" thickBo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1:18" ht="13.5" thickBo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spans="1:18" ht="13.5" thickBo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1:18" ht="13.5" thickBo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1:18" ht="13.5" thickBo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1:18" ht="13.5" thickBo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spans="1:18" ht="13.5" thickBo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spans="1:18" ht="13.5" thickBo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1:18" ht="13.5" thickBo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1:18" ht="13.5" thickBo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8" ht="13.5" thickBo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8" ht="13.5" thickBo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 ht="13.5" thickBo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1:18" ht="13.5" thickBo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1:18" ht="13.5" thickBo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1:18" ht="13.5" thickBo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1:18" ht="13.5" thickBo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1:18" ht="13.5" thickBo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spans="1:18" ht="13.5" thickBo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spans="1:18" ht="13.5" thickBo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spans="1:18" ht="13.5" thickBo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1:18" ht="13.5" thickBo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spans="1:18" ht="13.5" thickBo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spans="1:18" ht="13.5" thickBo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spans="1:18" ht="13.5" thickBo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1:18" ht="13.5" thickBo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spans="1:18" ht="13.5" thickBo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spans="1:18" ht="13.5" thickBo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spans="1:18" ht="13.5" thickBo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spans="1:18" ht="13.5" thickBo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spans="1:18" ht="13.5" thickBo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spans="1:18" ht="13.5" thickBo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1:18" ht="13.5" thickBo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spans="1:18" ht="13.5" thickBo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spans="1:18" ht="13.5" thickBo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spans="1:18" ht="13.5" thickBo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spans="1:18" ht="13.5" thickBo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spans="1:18" ht="13.5" thickBo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spans="1:18" ht="13.5" thickBo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spans="1:18" ht="13.5" thickBo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pans="1:18" ht="13.5" thickBo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spans="1:18" ht="13.5" thickBo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spans="1:18" ht="13.5" thickBo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spans="1:18" ht="13.5" thickBo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spans="1:18" ht="13.5" thickBo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spans="1:18" ht="13.5" thickBo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spans="1:18" ht="13.5" thickBo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spans="1:18" ht="13.5" thickBo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spans="1:18" ht="13.5" thickBo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spans="1:18" ht="13.5" thickBo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spans="1:18" ht="13.5" thickBo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spans="1:18" ht="13.5" thickBo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spans="1:18" ht="13.5" thickBo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1:18" ht="13.5" thickBo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spans="1:18" ht="13.5" thickBo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spans="1:18" ht="13.5" thickBo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spans="1:18" ht="13.5" thickBo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spans="1:18" ht="13.5" thickBo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spans="1:18" ht="13.5" thickBo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spans="1:18" ht="13.5" thickBo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spans="1:18" ht="13.5" thickBo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spans="1:18" ht="13.5" thickBo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spans="1:18" ht="13.5" thickBo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spans="1:18" ht="13.5" thickBo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spans="1:18" ht="13.5" thickBo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spans="1:18" ht="13.5" thickBo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spans="1:18" ht="13.5" thickBo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spans="1:18" ht="13.5" thickBo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spans="1:18" ht="13.5" thickBo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spans="1:18" ht="13.5" thickBo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spans="1:18" ht="13.5" thickBo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spans="1:18" ht="13.5" thickBo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spans="1:18" ht="13.5" thickBo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spans="1:18" ht="13.5" thickBo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spans="1:18" ht="13.5" thickBo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spans="1:18" ht="13.5" thickBo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spans="1:18" ht="13.5" thickBo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spans="1:18" ht="13.5" thickBo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spans="1:18" ht="13.5" thickBo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spans="1:18" ht="13.5" thickBo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spans="1:18" ht="13.5" thickBo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spans="1:18" ht="13.5" thickBo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spans="1:18" ht="13.5" thickBo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spans="1:18" ht="13.5" thickBo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spans="1:18" ht="13.5" thickBo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spans="1:18" ht="13.5" thickBo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spans="1:18" ht="13.5" thickBo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spans="1:18" ht="13.5" thickBo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spans="1:18" ht="13.5" thickBo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spans="1:18" ht="13.5" thickBo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spans="1:18" ht="13.5" thickBo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spans="1:18" ht="13.5" thickBo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spans="1:18" ht="13.5" thickBo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spans="1:18" ht="13.5" thickBo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spans="1:18" ht="13.5" thickBo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spans="1:18" ht="13.5" thickBo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spans="1:18" ht="13.5" thickBo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spans="1:18" ht="13.5" thickBo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spans="1:18" ht="13.5" thickBo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spans="1:18" ht="13.5" thickBo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spans="1:18" ht="13.5" thickBo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spans="1:18" ht="13.5" thickBo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spans="1:18" ht="13.5" thickBo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spans="1:18" ht="13.5" thickBo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spans="1:18" ht="13.5" thickBo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spans="1:18" ht="13.5" thickBo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spans="1:18" ht="13.5" thickBo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spans="1:18" ht="13.5" thickBo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spans="1:18" ht="13.5" thickBo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spans="1:18" ht="13.5" thickBo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spans="1:18" ht="13.5" thickBo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1:18" ht="13.5" thickBo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spans="1:18" ht="13.5" thickBo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spans="1:18" ht="13.5" thickBo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spans="1:18" ht="13.5" thickBo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1:18" ht="13.5" thickBo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spans="1:18" ht="13.5" thickBo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spans="1:18" ht="13.5" thickBo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spans="1:18" ht="13.5" thickBo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1:18" ht="13.5" thickBo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spans="1:18" ht="13.5" thickBo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spans="1:18" ht="13.5" thickBo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spans="1:18" ht="13.5" thickBo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spans="1:18" ht="13.5" thickBo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spans="1:18" ht="13.5" thickBo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spans="1:18" ht="13.5" thickBo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spans="1:18" ht="13.5" thickBo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spans="1:18" ht="13.5" thickBo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spans="1:18" ht="13.5" thickBo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spans="1:18" ht="13.5" thickBo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spans="1:18" ht="13.5" thickBo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1:18" ht="13.5" thickBo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spans="1:18" ht="13.5" thickBo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spans="1:18" ht="13.5" thickBo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spans="1:18" ht="13.5" thickBo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1:18" ht="13.5" thickBo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spans="1:18" ht="13.5" thickBo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spans="1:18" ht="13.5" thickBo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spans="1:18" ht="13.5" thickBo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1:18" ht="13.5" thickBo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spans="1:18" ht="13.5" thickBo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spans="1:18" ht="13.5" thickBo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spans="1:18" ht="13.5" thickBo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1:18" ht="13.5" thickBo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spans="1:18" ht="13.5" thickBo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spans="1:18" ht="13.5" thickBo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spans="1:18" ht="13.5" thickBo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1:18" ht="13.5" thickBo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spans="1:18" ht="13.5" thickBo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spans="1:18" ht="13.5" thickBo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spans="1:18" ht="13.5" thickBo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1:18" ht="13.5" thickBo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spans="1:18" ht="13.5" thickBo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spans="1:18" ht="13.5" thickBo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spans="1:18" ht="13.5" thickBo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1:18" ht="13.5" thickBo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spans="1:18" ht="13.5" thickBo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spans="1:18" ht="13.5" thickBo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spans="1:18" ht="13.5" thickBo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1:18" ht="13.5" thickBo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spans="1:18" ht="13.5" thickBo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spans="1:18" ht="13.5" thickBo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spans="1:18" ht="13.5" thickBo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1:18" ht="13.5" thickBo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spans="1:18" ht="13.5" thickBo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spans="1:18" ht="13.5" thickBo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spans="1:18" ht="13.5" thickBo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1:18" ht="13.5" thickBo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spans="1:18" ht="13.5" thickBo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spans="1:18" ht="13.5" thickBo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spans="1:18" ht="13.5" thickBo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1:18" ht="13.5" thickBo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spans="1:18" ht="13.5" thickBo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spans="1:18" ht="13.5" thickBo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spans="1:18" ht="13.5" thickBo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1:18" ht="13.5" thickBo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spans="1:18" ht="13.5" thickBo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spans="1:18" ht="13.5" thickBo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spans="1:18" ht="13.5" thickBo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1:18" ht="13.5" thickBo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spans="1:18" ht="13.5" thickBo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spans="1:18" ht="13.5" thickBo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spans="1:18" ht="13.5" thickBo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1:18" ht="13.5" thickBo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spans="1:18" ht="13.5" thickBo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spans="1:18" ht="13.5" thickBo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spans="1:18" ht="13.5" thickBo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1:18" ht="13.5" thickBo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spans="1:18" ht="13.5" thickBo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spans="1:18" ht="13.5" thickBo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spans="1:18" ht="13.5" thickBo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1:18" ht="13.5" thickBo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spans="1:18" ht="13.5" thickBo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 spans="1:18" ht="13.5" thickBo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 spans="1:18" ht="13.5" thickBo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1:18" ht="13.5" thickBo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 spans="1:18" ht="13.5" thickBo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spans="1:18" ht="13.5" thickBo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spans="1:18" ht="13.5" thickBo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1:18" ht="13.5" thickBo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 spans="1:18" ht="13.5" thickBo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spans="1:18" ht="13.5" thickBo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 spans="1:18" ht="13.5" thickBo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1:18" ht="13.5" thickBo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 spans="1:18" ht="13.5" thickBo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 spans="1:18" ht="13.5" thickBo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 spans="1:18" ht="13.5" thickBo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1:18" ht="13.5" thickBo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 spans="1:18" ht="13.5" thickBo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spans="1:18" ht="13.5" thickBo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 spans="1:18" ht="13.5" thickBo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1:18" ht="13.5" thickBo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 spans="1:18" ht="13.5" thickBo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 spans="1:18" ht="13.5" thickBo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 spans="1:18" ht="13.5" thickBo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1:18" ht="13.5" thickBo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 spans="1:18" ht="13.5" thickBo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 spans="1:18" ht="13.5" thickBo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 spans="1:18" ht="13.5" thickBo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1:18" ht="13.5" thickBo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 spans="1:18" ht="13.5" thickBo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spans="1:18" ht="13.5" thickBo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 spans="1:18" ht="13.5" thickBo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1:18" ht="13.5" thickBo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 spans="1:18" ht="13.5" thickBo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 spans="1:18" ht="13.5" thickBo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 spans="1:18" ht="13.5" thickBo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1:18" ht="13.5" thickBo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spans="1:18" ht="13.5" thickBo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 spans="1:18" ht="13.5" thickBo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 spans="1:18" ht="13.5" thickBo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1:18" ht="13.5" thickBo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 spans="1:18" ht="13.5" thickBo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 spans="1:18" ht="13.5" thickBo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 spans="1:18" ht="13.5" thickBo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1:18" ht="13.5" thickBo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 spans="1:18" ht="13.5" thickBo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 spans="1:18" ht="13.5" thickBo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spans="1:18" ht="13.5" thickBo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1:18" ht="13.5" thickBo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 spans="1:18" ht="13.5" thickBo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 spans="1:18" ht="13.5" thickBo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 spans="1:18" ht="13.5" thickBo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1:18" ht="13.5" thickBo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 spans="1:18" ht="13.5" thickBo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 spans="1:18" ht="13.5" thickBo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spans="1:18" ht="13.5" thickBo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1:18" ht="13.5" thickBo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 spans="1:18" ht="13.5" thickBo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 spans="1:18" ht="13.5" thickBo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 spans="1:18" ht="13.5" thickBo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1:18" ht="13.5" thickBo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 spans="1:18" ht="13.5" thickBo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 spans="1:18" ht="13.5" thickBo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 spans="1:18" ht="13.5" thickBo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1:18" ht="13.5" thickBo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 spans="1:18" ht="13.5" thickBo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 spans="1:18" ht="13.5" thickBo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spans="1:18" ht="13.5" thickBo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1:18" ht="13.5" thickBo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 spans="1:18" ht="13.5" thickBo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spans="1:18" ht="13.5" thickBo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 spans="1:18" ht="13.5" thickBo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1:18" ht="13.5" thickBo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spans="1:18" ht="13.5" thickBo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spans="1:18" ht="13.5" thickBo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 spans="1:18" ht="13.5" thickBo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1:18" ht="13.5" thickBo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 spans="1:18" ht="13.5" thickBo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 spans="1:18" ht="13.5" thickBo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 spans="1:18" ht="13.5" thickBo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1:18" ht="13.5" thickBo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 spans="1:18" ht="13.5" thickBo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 spans="1:18" ht="13.5" thickBo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 spans="1:18" ht="13.5" thickBo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1:18" ht="13.5" thickBo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spans="1:18" ht="13.5" thickBo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 spans="1:18" ht="13.5" thickBo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 spans="1:18" ht="13.5" thickBo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1:18" ht="13.5" thickBo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 spans="1:18" ht="13.5" thickBo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 spans="1:18" ht="13.5" thickBo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spans="1:18" ht="13.5" thickBo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1:18" ht="13.5" thickBo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 spans="1:18" ht="13.5" thickBo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 spans="1:18" ht="13.5" thickBo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spans="1:18" ht="13.5" thickBo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1:18" ht="13.5" thickBo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spans="1:18" ht="13.5" thickBo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spans="1:18" ht="13.5" thickBo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spans="1:18" ht="13.5" thickBo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1:18" ht="13.5" thickBo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spans="1:18" ht="13.5" thickBo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spans="1:18" ht="13.5" thickBo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spans="1:18" ht="13.5" thickBo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1:18" ht="13.5" thickBo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spans="1:18" ht="13.5" thickBo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spans="1:18" ht="13.5" thickBo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spans="1:18" ht="13.5" thickBo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1:18" ht="13.5" thickBo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spans="1:18" ht="13.5" thickBo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spans="1:18" ht="13.5" thickBo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spans="1:18" ht="13.5" thickBo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1:18" ht="13.5" thickBo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spans="1:18" ht="13.5" thickBo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 spans="1:18" ht="13.5" thickBo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spans="1:18" ht="13.5" thickBo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1:18" ht="13.5" thickBo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spans="1:18" ht="13.5" thickBo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 spans="1:18" ht="13.5" thickBo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 spans="1:18" ht="13.5" thickBo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1:18" ht="13.5" thickBo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 spans="1:18" ht="13.5" thickBo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 spans="1:18" ht="13.5" thickBo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 spans="1:18" ht="13.5" thickBo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1:18" ht="13.5" thickBo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 spans="1:18" ht="13.5" thickBo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 spans="1:18" ht="13.5" thickBo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 spans="1:18" ht="13.5" thickBo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1:18" ht="13.5" thickBo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 spans="1:18" ht="13.5" thickBo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 spans="1:18" ht="13.5" thickBo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spans="1:18" ht="13.5" thickBo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1:18" ht="13.5" thickBo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spans="1:18" ht="13.5" thickBo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 spans="1:18" ht="13.5" thickBo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 spans="1:18" ht="13.5" thickBo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1:18" ht="13.5" thickBo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spans="1:18" ht="13.5" thickBo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 spans="1:18" ht="13.5" thickBo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 spans="1:18" ht="13.5" thickBo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1:18" ht="13.5" thickBo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spans="1:18" ht="13.5" thickBo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 spans="1:18" ht="13.5" thickBo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 spans="1:18" ht="13.5" thickBo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1:18" ht="13.5" thickBo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 spans="1:18" ht="13.5" thickBo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 spans="1:18" ht="13.5" thickBo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 spans="1:18" ht="13.5" thickBo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1:18" ht="13.5" thickBo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 spans="1:18" ht="13.5" thickBo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 spans="1:18" ht="13.5" thickBo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 spans="1:18" ht="13.5" thickBo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1:18" ht="13.5" thickBo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 spans="1:18" ht="13.5" thickBo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 spans="1:18" ht="13.5" thickBo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 spans="1:18" ht="13.5" thickBo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1:18" ht="13.5" thickBo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 spans="1:18" ht="13.5" thickBo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 spans="1:18" ht="13.5" thickBo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 spans="1:18" ht="13.5" thickBo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1:18" ht="13.5" thickBo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 spans="1:18" ht="13.5" thickBo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 spans="1:18" ht="13.5" thickBo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 spans="1:18" ht="13.5" thickBo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1:18" ht="13.5" thickBo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 spans="1:18" ht="13.5" thickBo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 spans="1:18" ht="13.5" thickBo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 spans="1:18" ht="13.5" thickBo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1:18" ht="13.5" thickBo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 spans="1:18" ht="13.5" thickBo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 spans="1:18" ht="13.5" thickBo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 spans="1:18" ht="13.5" thickBo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1:18" ht="13.5" thickBo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 spans="1:18" ht="13.5" thickBo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 spans="1:18" ht="13.5" thickBo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 spans="1:18" ht="13.5" thickBo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1:18" ht="13.5" thickBo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 spans="1:18" ht="13.5" thickBo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 spans="1:18" ht="13.5" thickBo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 spans="1:18" ht="13.5" thickBo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1:18" ht="13.5" thickBo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 spans="1:18" ht="13.5" thickBo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 spans="1:18" ht="13.5" thickBo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 spans="1:18" ht="13.5" thickBo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1:18" ht="13.5" thickBo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 spans="1:18" ht="13.5" thickBo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spans="1:18" ht="13.5" thickBo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 spans="1:18" ht="13.5" thickBo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1:18" ht="13.5" thickBo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 spans="1:18" ht="13.5" thickBo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 spans="1:18" ht="13.5" thickBo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 spans="1:18" ht="13.5" thickBo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1:18" ht="13.5" thickBo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 spans="1:18" ht="13.5" thickBo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 spans="1:18" ht="13.5" thickBo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 spans="1:18" ht="13.5" thickBo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1:18" ht="13.5" thickBo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 spans="1:18" ht="13.5" thickBo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 spans="1:18" ht="13.5" thickBo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 spans="1:18" ht="13.5" thickBo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1:18" ht="13.5" thickBo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 spans="1:18" ht="13.5" thickBo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 spans="1:18" ht="13.5" thickBo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 spans="1:18" ht="13.5" thickBo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1:18" ht="13.5" thickBo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 spans="1:18" ht="13.5" thickBo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 spans="1:18" ht="13.5" thickBo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 spans="1:18" ht="13.5" thickBo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1:18" ht="13.5" thickBo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 spans="1:18" ht="13.5" thickBo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 spans="1:18" ht="13.5" thickBo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 spans="1:18" ht="13.5" thickBo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1:18" ht="13.5" thickBo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 spans="1:18" ht="13.5" thickBo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 spans="1:18" ht="13.5" thickBo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 spans="1:18" ht="13.5" thickBo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1:18" ht="13.5" thickBo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 spans="1:18" ht="13.5" thickBo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 spans="1:18" ht="13.5" thickBo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 spans="1:18" ht="13.5" thickBo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1:18" ht="13.5" thickBo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 spans="1:18" ht="13.5" thickBo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 spans="1:18" ht="13.5" thickBo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 spans="1:18" ht="13.5" thickBo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1:18" ht="13.5" thickBo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</row>
    <row r="453" spans="1:18" ht="13.5" thickBo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</row>
    <row r="454" spans="1:18" ht="13.5" thickBo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</row>
    <row r="455" spans="1:18" ht="13.5" thickBo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1:18" ht="13.5" thickBo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</row>
    <row r="457" spans="1:18" ht="13.5" thickBo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</row>
    <row r="458" spans="1:18" ht="13.5" thickBo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</row>
    <row r="459" spans="1:18" ht="13.5" thickBo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1:18" ht="13.5" thickBo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</row>
    <row r="461" spans="1:18" ht="13.5" thickBo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</row>
    <row r="462" spans="1:18" ht="13.5" thickBo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</row>
    <row r="463" spans="1:18" ht="13.5" thickBo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1:18" ht="13.5" thickBo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</row>
    <row r="465" spans="1:18" ht="13.5" thickBo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</row>
    <row r="466" spans="1:18" ht="13.5" thickBo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</row>
    <row r="467" spans="1:18" ht="13.5" thickBo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1:18" ht="13.5" thickBo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</row>
    <row r="469" spans="1:18" ht="13.5" thickBo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</row>
    <row r="470" spans="1:18" ht="13.5" thickBo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</row>
    <row r="471" spans="1:18" ht="13.5" thickBo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1:18" ht="13.5" thickBo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 spans="1:18" ht="13.5" thickBo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</row>
    <row r="474" spans="1:18" ht="13.5" thickBo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</row>
    <row r="475" spans="1:18" ht="13.5" thickBo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1:18" ht="13.5" thickBo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</row>
    <row r="477" spans="1:18" ht="13.5" thickBo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</row>
    <row r="478" spans="1:18" ht="13.5" thickBo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</row>
    <row r="479" spans="1:18" ht="13.5" thickBo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1:18" ht="13.5" thickBo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</row>
    <row r="481" spans="1:18" ht="13.5" thickBo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</row>
    <row r="482" spans="1:18" ht="13.5" thickBo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</row>
    <row r="483" spans="1:18" ht="13.5" thickBo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</row>
    <row r="484" spans="1:18" ht="13.5" thickBo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</row>
    <row r="485" spans="1:18" ht="13.5" thickBo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</row>
    <row r="486" spans="1:18" ht="13.5" thickBo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</row>
    <row r="487" spans="1:18" ht="13.5" thickBo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</row>
    <row r="488" spans="1:18" ht="13.5" thickBo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</row>
    <row r="489" spans="1:18" ht="13.5" thickBo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</row>
    <row r="490" spans="1:18" ht="13.5" thickBo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</row>
    <row r="491" spans="1:18" ht="13.5" thickBo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</row>
    <row r="492" spans="1:18" ht="13.5" thickBo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</row>
    <row r="493" spans="1:18" ht="13.5" thickBo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</row>
    <row r="494" spans="1:18" ht="13.5" thickBo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</row>
    <row r="495" spans="1:18" ht="13.5" thickBo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</row>
    <row r="496" spans="1:18" ht="13.5" thickBo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</row>
    <row r="497" spans="1:18" ht="13.5" thickBo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</row>
    <row r="498" spans="1:18" ht="13.5" thickBo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</row>
    <row r="499" spans="1:18" ht="13.5" thickBo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</row>
    <row r="500" spans="1:18" ht="13.5" thickBo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</row>
    <row r="501" spans="1:18" ht="13.5" thickBo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</row>
    <row r="502" spans="1:18" ht="13.5" thickBo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</row>
    <row r="503" spans="1:18" ht="13.5" thickBo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</row>
    <row r="504" spans="1:18" ht="13.5" thickBo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</row>
    <row r="505" spans="1:18" ht="13.5" thickBo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</row>
    <row r="506" spans="1:18" ht="13.5" thickBo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</row>
    <row r="507" spans="1:18" ht="13.5" thickBo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</row>
    <row r="508" spans="1:18" ht="13.5" thickBo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</row>
    <row r="509" spans="1:18" ht="13.5" thickBo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</row>
    <row r="510" spans="1:18" ht="13.5" thickBo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</row>
    <row r="511" spans="1:18" ht="13.5" thickBo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</row>
    <row r="512" spans="1:18" ht="13.5" thickBo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</row>
    <row r="513" spans="1:18" ht="13.5" thickBo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</row>
    <row r="514" spans="1:18" ht="13.5" thickBo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</row>
    <row r="515" spans="1:18" ht="13.5" thickBo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</row>
    <row r="516" spans="1:18" ht="13.5" thickBo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</row>
    <row r="517" spans="1:18" ht="13.5" thickBo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</row>
    <row r="518" spans="1:18" ht="13.5" thickBo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</row>
    <row r="519" spans="1:18" ht="13.5" thickBo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</row>
    <row r="520" spans="1:18" ht="13.5" thickBo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</row>
    <row r="521" spans="1:18" ht="13.5" thickBo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</row>
    <row r="522" spans="1:18" ht="13.5" thickBo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</row>
    <row r="523" spans="1:18" ht="13.5" thickBo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</row>
    <row r="524" spans="1:18" ht="13.5" thickBo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</row>
    <row r="525" spans="1:18" ht="13.5" thickBo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</row>
    <row r="526" spans="1:18" ht="13.5" thickBo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</row>
    <row r="527" spans="1:18" ht="13.5" thickBo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</row>
    <row r="528" spans="1:18" ht="13.5" thickBo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</row>
    <row r="529" spans="1:18" ht="13.5" thickBo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</row>
    <row r="530" spans="1:18" ht="13.5" thickBo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</row>
    <row r="531" spans="1:18" ht="13.5" thickBo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</row>
    <row r="532" spans="1:18" ht="13.5" thickBo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</row>
    <row r="533" spans="1:18" ht="13.5" thickBo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</row>
    <row r="534" spans="1:18" ht="13.5" thickBo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</row>
    <row r="535" spans="1:18" ht="13.5" thickBo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</row>
    <row r="536" spans="1:18" ht="13.5" thickBo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</row>
    <row r="537" spans="1:18" ht="13.5" thickBo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</row>
    <row r="538" spans="1:18" ht="13.5" thickBo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</row>
    <row r="539" spans="1:18" ht="13.5" thickBo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</row>
    <row r="540" spans="1:18" ht="13.5" thickBo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</row>
    <row r="541" spans="1:18" ht="13.5" thickBo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</row>
    <row r="542" spans="1:18" ht="13.5" thickBo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</row>
    <row r="543" spans="1:18" ht="13.5" thickBo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</row>
    <row r="544" spans="1:18" ht="13.5" thickBo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</row>
    <row r="545" spans="1:18" ht="13.5" thickBo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</row>
    <row r="546" spans="1:18" ht="13.5" thickBo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</row>
    <row r="547" spans="1:18" ht="13.5" thickBo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</row>
    <row r="548" spans="1:18" ht="13.5" thickBo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</row>
    <row r="549" spans="1:18" ht="13.5" thickBo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</row>
    <row r="550" spans="1:18" ht="13.5" thickBo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</row>
    <row r="551" spans="1:18" ht="13.5" thickBo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</row>
    <row r="552" spans="1:18" ht="13.5" thickBo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</row>
    <row r="553" spans="1:18" ht="13.5" thickBo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</row>
    <row r="554" spans="1:18" ht="13.5" thickBo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</row>
    <row r="555" spans="1:18" ht="13.5" thickBo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</row>
    <row r="556" spans="1:18" ht="13.5" thickBo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</row>
    <row r="557" spans="1:18" ht="13.5" thickBo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</row>
    <row r="558" spans="1:18" ht="13.5" thickBo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</row>
    <row r="559" spans="1:18" ht="13.5" thickBo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</row>
    <row r="560" spans="1:18" ht="13.5" thickBo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</row>
    <row r="561" spans="1:18" ht="13.5" thickBo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</row>
    <row r="562" spans="1:18" ht="13.5" thickBo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</row>
    <row r="563" spans="1:18" ht="13.5" thickBo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</row>
    <row r="564" spans="1:18" ht="13.5" thickBo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</row>
    <row r="565" spans="1:18" ht="13.5" thickBo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</row>
    <row r="566" spans="1:18" ht="13.5" thickBo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</row>
    <row r="567" spans="1:18" ht="13.5" thickBo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</row>
    <row r="568" spans="1:18" ht="13.5" thickBo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</row>
    <row r="569" spans="1:18" ht="13.5" thickBo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</row>
    <row r="570" spans="1:18" ht="13.5" thickBo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</row>
    <row r="571" spans="1:18" ht="13.5" thickBo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</row>
    <row r="572" spans="1:18" ht="13.5" thickBo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</row>
    <row r="573" spans="1:18" ht="13.5" thickBo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</row>
    <row r="574" spans="1:18" ht="13.5" thickBo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</row>
    <row r="575" spans="1:18" ht="13.5" thickBo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</row>
    <row r="576" spans="1:18" ht="13.5" thickBo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</row>
    <row r="577" spans="1:18" ht="13.5" thickBo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</row>
    <row r="578" spans="1:18" ht="13.5" thickBo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</row>
    <row r="579" spans="1:18" ht="13.5" thickBo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</row>
    <row r="580" spans="1:18" ht="13.5" thickBo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</row>
    <row r="581" spans="1:18" ht="13.5" thickBo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</row>
    <row r="582" spans="1:18" ht="13.5" thickBo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</row>
    <row r="583" spans="1:18" ht="13.5" thickBo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 spans="1:18" ht="13.5" thickBo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</row>
    <row r="585" spans="1:18" ht="13.5" thickBo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</row>
    <row r="586" spans="1:18" ht="13.5" thickBo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</row>
    <row r="587" spans="1:18" ht="13.5" thickBo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</row>
    <row r="588" spans="1:18" ht="13.5" thickBo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</row>
    <row r="589" spans="1:18" ht="13.5" thickBo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</row>
    <row r="590" spans="1:18" ht="13.5" thickBo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</row>
    <row r="591" spans="1:18" ht="13.5" thickBo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</row>
    <row r="592" spans="1:18" ht="13.5" thickBo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</row>
    <row r="593" spans="1:18" ht="13.5" thickBo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</row>
    <row r="594" spans="1:18" ht="13.5" thickBo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</row>
    <row r="595" spans="1:18" ht="13.5" thickBo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</row>
    <row r="596" spans="1:18" ht="13.5" thickBo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</row>
    <row r="597" spans="1:18" ht="13.5" thickBo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</row>
    <row r="598" spans="1:18" ht="13.5" thickBo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</row>
    <row r="599" spans="1:18" ht="13.5" thickBo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</row>
    <row r="600" spans="1:18" ht="13.5" thickBo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spans="1:18" ht="13.5" thickBo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spans="1:18" ht="13.5" thickBo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</row>
    <row r="603" spans="1:18" ht="13.5" thickBo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</row>
    <row r="604" spans="1:18" ht="13.5" thickBo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spans="1:18" ht="13.5" thickBo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</row>
    <row r="606" spans="1:18" ht="13.5" thickBo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</row>
    <row r="607" spans="1:18" ht="13.5" thickBo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</row>
    <row r="608" spans="1:18" ht="13.5" thickBo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spans="1:18" ht="13.5" thickBo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spans="1:18" ht="13.5" thickBo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spans="1:18" ht="13.5" thickBo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spans="1:18" ht="13.5" thickBo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spans="1:18" ht="13.5" thickBo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spans="1:18" ht="13.5" thickBo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</row>
    <row r="615" spans="1:18" ht="13.5" thickBo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</row>
    <row r="616" spans="1:18" ht="13.5" thickBo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</row>
    <row r="617" spans="1:18" ht="13.5" thickBo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</row>
    <row r="618" spans="1:18" ht="13.5" thickBo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</row>
    <row r="619" spans="1:18" ht="13.5" thickBo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</row>
    <row r="620" spans="1:18" ht="13.5" thickBo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</row>
    <row r="621" spans="1:18" ht="13.5" thickBo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</row>
    <row r="622" spans="1:18" ht="13.5" thickBo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</row>
    <row r="623" spans="1:18" ht="13.5" thickBo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</row>
    <row r="624" spans="1:18" ht="13.5" thickBo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</row>
    <row r="625" spans="1:18" ht="13.5" thickBo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</row>
    <row r="626" spans="1:18" ht="13.5" thickBo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</row>
    <row r="627" spans="1:18" ht="13.5" thickBo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</row>
    <row r="628" spans="1:18" ht="13.5" thickBo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</row>
    <row r="629" spans="1:18" ht="13.5" thickBo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</row>
    <row r="630" spans="1:18" ht="13.5" thickBo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</row>
    <row r="631" spans="1:18" ht="13.5" thickBo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</row>
    <row r="632" spans="1:18" ht="13.5" thickBo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</row>
    <row r="633" spans="1:18" ht="13.5" thickBo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</row>
    <row r="634" spans="1:18" ht="13.5" thickBo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</row>
    <row r="635" spans="1:18" ht="13.5" thickBo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</row>
    <row r="636" spans="1:18" ht="13.5" thickBo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</row>
    <row r="637" spans="1:18" ht="13.5" thickBo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</row>
    <row r="638" spans="1:18" ht="13.5" thickBo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</row>
    <row r="639" spans="1:18" ht="13.5" thickBo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</row>
    <row r="640" spans="1:18" ht="13.5" thickBo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</row>
    <row r="641" spans="1:18" ht="13.5" thickBo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</row>
    <row r="642" spans="1:18" ht="13.5" thickBo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</row>
    <row r="643" spans="1:18" ht="13.5" thickBo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</row>
    <row r="644" spans="1:18" ht="13.5" thickBo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</row>
    <row r="645" spans="1:18" ht="13.5" thickBo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</row>
    <row r="646" spans="1:18" ht="13.5" thickBo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</row>
    <row r="647" spans="1:18" ht="13.5" thickBo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</row>
    <row r="648" spans="1:18" ht="13.5" thickBo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 spans="1:18" ht="13.5" thickBo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 spans="1:18" ht="13.5" thickBo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 spans="1:18" ht="13.5" thickBo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 spans="1:18" ht="13.5" thickBo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 spans="1:18" ht="13.5" thickBo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 spans="1:18" ht="13.5" thickBo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 spans="1:18" ht="13.5" thickBo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 spans="1:18" ht="13.5" thickBo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 spans="1:18" ht="13.5" thickBo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 spans="1:18" ht="13.5" thickBo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 spans="1:18" ht="13.5" thickBo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 spans="1:18" ht="13.5" thickBo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 spans="1:18" ht="13.5" thickBo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 spans="1:18" ht="13.5" thickBo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 spans="1:18" ht="13.5" thickBo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 spans="1:18" ht="13.5" thickBo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 spans="1:18" ht="13.5" thickBo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 spans="1:18" ht="13.5" thickBo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 spans="1:18" ht="13.5" thickBo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 spans="1:18" ht="13.5" thickBo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 spans="1:18" ht="13.5" thickBo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 spans="1:18" ht="13.5" thickBo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 spans="1:18" ht="13.5" thickBo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 spans="1:18" ht="13.5" thickBo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 spans="1:18" ht="13.5" thickBo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 spans="1:18" ht="13.5" thickBo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 spans="1:18" ht="13.5" thickBo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 spans="1:18" ht="13.5" thickBo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 spans="1:18" ht="13.5" thickBo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 spans="1:18" ht="13.5" thickBo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 spans="1:18" ht="13.5" thickBo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 spans="1:18" ht="13.5" thickBo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 spans="1:18" ht="13.5" thickBo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 spans="1:18" ht="13.5" thickBo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 spans="1:18" ht="13.5" thickBo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 spans="1:18" ht="13.5" thickBo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 spans="1:18" ht="13.5" thickBo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 spans="1:18" ht="13.5" thickBo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 spans="1:18" ht="13.5" thickBo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 spans="1:18" ht="13.5" thickBo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 spans="1:18" ht="13.5" thickBo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 spans="1:18" ht="13.5" thickBo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 spans="1:18" ht="13.5" thickBo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 spans="1:18" ht="13.5" thickBo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 spans="1:18" ht="13.5" thickBo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 spans="1:18" ht="13.5" thickBo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 spans="1:18" ht="13.5" thickBo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 spans="1:18" ht="13.5" thickBo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 spans="1:18" ht="13.5" thickBo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 spans="1:18" ht="13.5" thickBo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 spans="1:18" ht="13.5" thickBo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 spans="1:18" ht="13.5" thickBo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 spans="1:18" ht="13.5" thickBo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 spans="1:18" ht="13.5" thickBo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 spans="1:18" ht="13.5" thickBo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 spans="1:18" ht="13.5" thickBo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 spans="1:18" ht="13.5" thickBo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 spans="1:18" ht="13.5" thickBo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 spans="1:18" ht="13.5" thickBo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 spans="1:18" ht="13.5" thickBo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 spans="1:18" ht="13.5" thickBo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 spans="1:18" ht="13.5" thickBo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 spans="1:18" ht="13.5" thickBo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 spans="1:18" ht="13.5" thickBo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 spans="1:18" ht="13.5" thickBo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 spans="1:18" ht="13.5" thickBo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 spans="1:18" ht="13.5" thickBo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 spans="1:18" ht="13.5" thickBo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 spans="1:18" ht="13.5" thickBo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 spans="1:18" ht="13.5" thickBo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 spans="1:18" ht="13.5" thickBo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 spans="1:18" ht="13.5" thickBo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 spans="1:18" ht="13.5" thickBo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 spans="1:18" ht="13.5" thickBo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 spans="1:18" ht="13.5" thickBo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 spans="1:18" ht="13.5" thickBo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 spans="1:18" ht="13.5" thickBo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 spans="1:18" ht="13.5" thickBo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 spans="1:18" ht="13.5" thickBo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 spans="1:18" ht="13.5" thickBo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 spans="1:18" ht="13.5" thickBo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 spans="1:18" ht="13.5" thickBo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 spans="1:18" ht="13.5" thickBo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  <row r="732" spans="1:18" ht="13.5" thickBo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</row>
    <row r="733" spans="1:18" ht="13.5" thickBo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</row>
    <row r="734" spans="1:18" ht="13.5" thickBo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</row>
    <row r="735" spans="1:18" ht="13.5" thickBo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</row>
    <row r="736" spans="1:18" ht="13.5" thickBo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</row>
    <row r="737" spans="1:18" ht="13.5" thickBo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</row>
    <row r="738" spans="1:18" ht="13.5" thickBo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</row>
    <row r="739" spans="1:18" ht="13.5" thickBo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</row>
    <row r="740" spans="1:18" ht="13.5" thickBo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</row>
    <row r="741" spans="1:18" ht="13.5" thickBo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</row>
    <row r="742" spans="1:18" ht="13.5" thickBo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</row>
    <row r="743" spans="1:18" ht="13.5" thickBo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</row>
    <row r="744" spans="1:18" ht="13.5" thickBo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</row>
    <row r="745" spans="1:18" ht="13.5" thickBo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</row>
    <row r="746" spans="1:18" ht="13.5" thickBo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</row>
    <row r="747" spans="1:18" ht="13.5" thickBo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</row>
    <row r="748" spans="1:18" ht="13.5" thickBo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</row>
    <row r="749" spans="1:18" ht="13.5" thickBo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</row>
    <row r="750" spans="1:18" ht="13.5" thickBo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</row>
    <row r="751" spans="1:18" ht="13.5" thickBo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</row>
    <row r="752" spans="1:18" ht="13.5" thickBo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</row>
    <row r="753" spans="1:18" ht="13.5" thickBo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</row>
    <row r="754" spans="1:18" ht="13.5" thickBo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</row>
    <row r="755" spans="1:18" ht="13.5" thickBo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</row>
    <row r="756" spans="1:18" ht="13.5" thickBo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</row>
    <row r="757" spans="1:18" ht="13.5" thickBo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</row>
    <row r="758" spans="1:18" ht="13.5" thickBo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</row>
    <row r="759" spans="1:18" ht="13.5" thickBo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</row>
    <row r="760" spans="1:18" ht="13.5" thickBo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</row>
    <row r="761" spans="1:18" ht="13.5" thickBo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</row>
    <row r="762" spans="1:18" ht="13.5" thickBo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</row>
    <row r="763" spans="1:18" ht="13.5" thickBo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</row>
    <row r="764" spans="1:18" ht="13.5" thickBo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</row>
    <row r="765" spans="1:18" ht="13.5" thickBo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</row>
    <row r="766" spans="1:18" ht="13.5" thickBo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</row>
    <row r="767" spans="1:18" ht="13.5" thickBo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</row>
    <row r="768" spans="1:18" ht="13.5" thickBo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</row>
    <row r="769" spans="1:18" ht="13.5" thickBo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</row>
    <row r="770" spans="1:18" ht="13.5" thickBo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</row>
    <row r="771" spans="1:18" ht="13.5" thickBo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</row>
    <row r="772" spans="1:18" ht="13.5" thickBo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</row>
    <row r="773" spans="1:18" ht="13.5" thickBo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</row>
    <row r="774" spans="1:18" ht="13.5" thickBo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</row>
    <row r="775" spans="1:18" ht="13.5" thickBo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</row>
    <row r="776" spans="1:18" ht="13.5" thickBo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</row>
    <row r="777" spans="1:18" ht="13.5" thickBo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</row>
    <row r="778" spans="1:18" ht="13.5" thickBo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</row>
    <row r="779" spans="1:18" ht="13.5" thickBo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</row>
    <row r="780" spans="1:18" ht="13.5" thickBo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</row>
    <row r="781" spans="1:18" ht="13.5" thickBo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</row>
    <row r="782" spans="1:18" ht="13.5" thickBo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</row>
    <row r="783" spans="1:18" ht="13.5" thickBo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</row>
    <row r="784" spans="1:18" ht="13.5" thickBo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</row>
    <row r="785" spans="1:18" ht="13.5" thickBo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</row>
    <row r="786" spans="1:18" ht="13.5" thickBo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</row>
    <row r="787" spans="1:18" ht="13.5" thickBo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</row>
    <row r="788" spans="1:18" ht="13.5" thickBo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</row>
    <row r="789" spans="1:18" ht="13.5" thickBo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</row>
    <row r="790" spans="1:18" ht="13.5" thickBo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</row>
    <row r="791" spans="1:18" ht="13.5" thickBo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</row>
    <row r="792" spans="1:18" ht="13.5" thickBo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</row>
    <row r="793" spans="1:18" ht="13.5" thickBo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</row>
    <row r="794" spans="1:18" ht="13.5" thickBo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</row>
    <row r="795" spans="1:18" ht="13.5" thickBo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</row>
    <row r="796" spans="1:18" ht="13.5" thickBo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</row>
    <row r="797" spans="1:18" ht="13.5" thickBo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</row>
    <row r="798" spans="1:18" ht="13.5" thickBo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</row>
    <row r="799" spans="1:18" ht="13.5" thickBo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</row>
    <row r="800" spans="1:18" ht="13.5" thickBo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</row>
    <row r="801" spans="1:18" ht="13.5" thickBo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</row>
    <row r="802" spans="1:18" ht="13.5" thickBo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</row>
    <row r="803" spans="1:18" ht="13.5" thickBo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</row>
    <row r="804" spans="1:18" ht="13.5" thickBo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</row>
    <row r="805" spans="1:18" ht="13.5" thickBo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</row>
    <row r="806" spans="1:18" ht="13.5" thickBo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</row>
    <row r="807" spans="1:18" ht="13.5" thickBo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</row>
    <row r="808" spans="1:18" ht="13.5" thickBo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</row>
    <row r="809" spans="1:18" ht="13.5" thickBo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</row>
    <row r="810" spans="1:18" ht="13.5" thickBo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</row>
    <row r="811" spans="1:18" ht="13.5" thickBo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</row>
    <row r="812" spans="1:18" ht="13.5" thickBo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</row>
    <row r="813" spans="1:18" ht="13.5" thickBo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</row>
    <row r="814" spans="1:18" ht="13.5" thickBo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</row>
    <row r="815" spans="1:18" ht="13.5" thickBo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</row>
    <row r="816" spans="1:18" ht="13.5" thickBo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</row>
    <row r="817" spans="1:18" ht="13.5" thickBo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</row>
    <row r="818" spans="1:18" ht="13.5" thickBo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</row>
    <row r="819" spans="1:18" ht="13.5" thickBo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</row>
    <row r="820" spans="1:18" ht="13.5" thickBo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</row>
    <row r="821" spans="1:18" ht="13.5" thickBo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</row>
    <row r="822" spans="1:18" ht="13.5" thickBo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</row>
    <row r="823" spans="1:18" ht="13.5" thickBo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</row>
    <row r="824" spans="1:18" ht="13.5" thickBo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</row>
    <row r="825" spans="1:18" ht="13.5" thickBo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</row>
    <row r="826" spans="1:18" ht="13.5" thickBo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</row>
    <row r="827" spans="1:18" ht="13.5" thickBo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</row>
    <row r="828" spans="1:18" ht="13.5" thickBo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</row>
    <row r="829" spans="1:18" ht="13.5" thickBo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</row>
    <row r="830" spans="1:18" ht="13.5" thickBo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</row>
    <row r="831" spans="1:18" ht="13.5" thickBo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</row>
    <row r="832" spans="1:18" ht="13.5" thickBo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</row>
    <row r="833" spans="1:18" ht="13.5" thickBo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</row>
    <row r="834" spans="1:18" ht="13.5" thickBo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</row>
    <row r="835" spans="1:18" ht="13.5" thickBo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</row>
    <row r="836" spans="1:18" ht="13.5" thickBo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</row>
    <row r="837" spans="1:18" ht="13.5" thickBo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</row>
    <row r="838" spans="1:18" ht="13.5" thickBo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</row>
    <row r="839" spans="1:18" ht="13.5" thickBo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</row>
    <row r="840" spans="1:18" ht="13.5" thickBo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</row>
    <row r="841" spans="1:18" ht="13.5" thickBo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</row>
    <row r="842" spans="1:18" ht="13.5" thickBo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</row>
    <row r="843" spans="1:18" ht="13.5" thickBo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</row>
    <row r="844" spans="1:18" ht="13.5" thickBo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</row>
    <row r="845" spans="1:18" ht="13.5" thickBo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</row>
    <row r="846" spans="1:18" ht="13.5" thickBo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</row>
    <row r="847" spans="1:18" ht="13.5" thickBo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</row>
    <row r="848" spans="1:18" ht="13.5" thickBo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</row>
    <row r="849" spans="1:18" ht="13.5" thickBo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</row>
    <row r="850" spans="1:18" ht="13.5" thickBo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</row>
    <row r="851" spans="1:18" ht="13.5" thickBo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</row>
    <row r="852" spans="1:18" ht="13.5" thickBo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</row>
    <row r="853" spans="1:18" ht="13.5" thickBo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</row>
    <row r="854" spans="1:18" ht="13.5" thickBo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</row>
    <row r="855" spans="1:18" ht="13.5" thickBo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</row>
    <row r="856" spans="1:18" ht="13.5" thickBo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</row>
    <row r="857" spans="1:18" ht="13.5" thickBo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</row>
    <row r="858" spans="1:18" ht="13.5" thickBo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</row>
    <row r="859" spans="1:18" ht="13.5" thickBo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</row>
    <row r="860" spans="1:18" ht="13.5" thickBo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</row>
    <row r="861" spans="1:18" ht="13.5" thickBo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</row>
    <row r="862" spans="1:18" ht="13.5" thickBo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</row>
    <row r="863" spans="1:18" ht="13.5" thickBo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</row>
    <row r="864" spans="1:18" ht="13.5" thickBo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</row>
    <row r="865" spans="1:18" ht="13.5" thickBo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</row>
    <row r="866" spans="1:18" ht="13.5" thickBo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</row>
    <row r="867" spans="1:18" ht="13.5" thickBo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</row>
    <row r="868" spans="1:18" ht="13.5" thickBo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</row>
    <row r="869" spans="1:18" ht="13.5" thickBo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</row>
    <row r="870" spans="1:18" ht="13.5" thickBo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</row>
    <row r="871" spans="1:18" ht="13.5" thickBo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</row>
    <row r="872" spans="1:18" ht="13.5" thickBo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</row>
    <row r="873" spans="1:18" ht="13.5" thickBo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</row>
    <row r="874" spans="1:18" ht="13.5" thickBo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</row>
    <row r="875" spans="1:18" ht="13.5" thickBo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</row>
    <row r="876" spans="1:18" ht="13.5" thickBo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</row>
    <row r="877" spans="1:18" ht="13.5" thickBo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</row>
    <row r="878" spans="1:18" ht="13.5" thickBo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</row>
    <row r="879" spans="1:18" ht="13.5" thickBo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</row>
    <row r="880" spans="1:18" ht="13.5" thickBo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</row>
    <row r="881" spans="1:18" ht="13.5" thickBo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</row>
    <row r="882" spans="1:18" ht="13.5" thickBo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</row>
    <row r="883" spans="1:18" ht="13.5" thickBo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</row>
    <row r="884" spans="1:18" ht="13.5" thickBo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</row>
    <row r="885" spans="1:18" ht="13.5" thickBo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</row>
    <row r="886" spans="1:18" ht="13.5" thickBo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</row>
    <row r="887" spans="1:18" ht="13.5" thickBo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</row>
    <row r="888" spans="1:18" ht="13.5" thickBo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</row>
    <row r="889" spans="1:18" ht="13.5" thickBo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</row>
    <row r="890" spans="1:18" ht="13.5" thickBo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</row>
    <row r="891" spans="1:18" ht="13.5" thickBo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</row>
    <row r="892" spans="1:18" ht="13.5" thickBo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 spans="1:18" ht="13.5" thickBo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</row>
    <row r="894" spans="1:18" ht="13.5" thickBo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</row>
    <row r="895" spans="1:18" ht="13.5" thickBo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</row>
    <row r="896" spans="1:18" ht="13.5" thickBo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</row>
    <row r="897" spans="1:18" ht="13.5" thickBo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</row>
    <row r="898" spans="1:18" ht="13.5" thickBo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</row>
    <row r="899" spans="1:18" ht="13.5" thickBo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</row>
    <row r="900" spans="1:18" ht="13.5" thickBo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</row>
    <row r="901" spans="1:18" ht="13.5" thickBo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</row>
    <row r="902" spans="1:18" ht="13.5" thickBo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</row>
    <row r="903" spans="1:18" ht="13.5" thickBo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</row>
    <row r="904" spans="1:18" ht="13.5" thickBo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</row>
    <row r="905" spans="1:18" ht="13.5" thickBo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</row>
    <row r="906" spans="1:18" ht="13.5" thickBo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</row>
    <row r="907" spans="1:18" ht="13.5" thickBo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</row>
    <row r="908" spans="1:18" ht="13.5" thickBo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</row>
    <row r="909" spans="1:18" ht="13.5" thickBo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</row>
    <row r="910" spans="1:18" ht="13.5" thickBo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</row>
    <row r="911" spans="1:18" ht="13.5" thickBo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</row>
    <row r="912" spans="1:18" ht="13.5" thickBo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</row>
    <row r="913" spans="1:18" ht="13.5" thickBo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</row>
    <row r="914" spans="1:18" ht="13.5" thickBo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</row>
    <row r="915" spans="1:18" ht="13.5" thickBo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</row>
    <row r="916" spans="1:18" ht="13.5" thickBo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</row>
    <row r="917" spans="1:18" ht="13.5" thickBo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</row>
    <row r="918" spans="1:18" ht="13.5" thickBo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</row>
    <row r="919" spans="1:18" ht="13.5" thickBo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</row>
    <row r="920" spans="1:18" ht="13.5" thickBo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</row>
    <row r="921" spans="1:18" ht="13.5" thickBo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</row>
    <row r="922" spans="1:18" ht="13.5" thickBo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</row>
    <row r="923" spans="1:18" ht="13.5" thickBo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</row>
    <row r="924" spans="1:18" ht="13.5" thickBo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</row>
    <row r="925" spans="1:18" ht="13.5" thickBo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</row>
    <row r="926" spans="1:18" ht="13.5" thickBo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</row>
    <row r="927" spans="1:18" ht="13.5" thickBo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</row>
    <row r="928" spans="1:18" ht="13.5" thickBo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</row>
    <row r="929" spans="1:18" ht="13.5" thickBo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</row>
    <row r="930" spans="1:18" ht="13.5" thickBo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</row>
    <row r="931" spans="1:18" ht="13.5" thickBo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</row>
    <row r="932" spans="1:18" ht="13.5" thickBo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</row>
    <row r="933" spans="1:18" ht="13.5" thickBo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</row>
    <row r="934" spans="1:18" ht="13.5" thickBo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</row>
    <row r="935" spans="1:18" ht="13.5" thickBo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</row>
    <row r="936" spans="1:18" ht="13.5" thickBo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</row>
    <row r="937" spans="1:18" ht="13.5" thickBo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</row>
    <row r="938" spans="1:18" ht="13.5" thickBo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</row>
    <row r="939" spans="1:18" ht="13.5" thickBo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</row>
    <row r="940" spans="1:18" ht="13.5" thickBo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</row>
    <row r="941" spans="1:18" ht="13.5" thickBo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</row>
    <row r="942" spans="1:18" ht="13.5" thickBo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</row>
    <row r="943" spans="1:18" ht="13.5" thickBo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</row>
    <row r="944" spans="1:18" ht="13.5" thickBo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</row>
    <row r="945" spans="1:18" ht="13.5" thickBo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</row>
    <row r="946" spans="1:18" ht="13.5" thickBo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</row>
    <row r="947" spans="1:18" ht="13.5" thickBo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</row>
    <row r="948" spans="1:18" ht="13.5" thickBo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</row>
    <row r="949" spans="1:18" ht="13.5" thickBo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</row>
    <row r="950" spans="1:18" ht="13.5" thickBo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</row>
    <row r="951" spans="1:18" ht="13.5" thickBo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</row>
    <row r="952" spans="1:18" ht="13.5" thickBo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</row>
    <row r="953" spans="1:18" ht="13.5" thickBo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</row>
    <row r="954" spans="1:18" ht="13.5" thickBo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</row>
    <row r="955" spans="1:18" ht="13.5" thickBo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</row>
    <row r="956" spans="1:18" ht="13.5" thickBo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</row>
    <row r="957" spans="1:18" ht="13.5" thickBo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</row>
    <row r="958" spans="1:18" ht="13.5" thickBo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</row>
    <row r="959" spans="1:18" ht="13.5" thickBo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</row>
    <row r="960" spans="1:18" ht="13.5" thickBo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</row>
    <row r="961" spans="1:18" ht="13.5" thickBo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</row>
    <row r="962" spans="1:18" ht="13.5" thickBo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</row>
    <row r="963" spans="1:18" ht="13.5" thickBo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</row>
    <row r="964" spans="1:18" ht="13.5" thickBo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</row>
    <row r="965" spans="1:18" ht="13.5" thickBo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</row>
    <row r="966" spans="1:18" ht="13.5" thickBo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</row>
    <row r="967" spans="1:18" ht="13.5" thickBo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</row>
    <row r="968" spans="1:18" ht="13.5" thickBo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</row>
    <row r="969" spans="1:18" ht="13.5" thickBo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</row>
    <row r="970" spans="1:18" ht="13.5" thickBo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</row>
    <row r="971" spans="1:18" ht="13.5" thickBo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</row>
    <row r="972" spans="1:18" ht="13.5" thickBo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</row>
    <row r="973" spans="1:18" ht="13.5" thickBo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</row>
    <row r="974" spans="1:18" ht="13.5" thickBo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</row>
    <row r="975" spans="1:18" ht="13.5" thickBo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</row>
    <row r="976" spans="1:18" ht="13.5" thickBo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</row>
    <row r="977" spans="1:18" ht="13.5" thickBo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</row>
    <row r="978" spans="1:18" ht="13.5" thickBo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</row>
    <row r="979" spans="1:18" ht="13.5" thickBo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</row>
    <row r="980" spans="1:18" ht="13.5" thickBo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</row>
    <row r="981" spans="1:18" ht="13.5" thickBo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</row>
    <row r="982" spans="1:18" ht="13.5" thickBo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</row>
    <row r="983" spans="1:18" ht="13.5" thickBo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</row>
    <row r="984" spans="1:18" ht="13.5" thickBo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</row>
    <row r="985" spans="1:18" ht="13.5" thickBo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</row>
    <row r="986" spans="1:18" ht="13.5" thickBo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</row>
    <row r="987" spans="1:18" ht="13.5" thickBo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</row>
    <row r="988" spans="1:18" ht="13.5" thickBo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</row>
    <row r="989" spans="1:18" ht="13.5" thickBo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</row>
    <row r="990" spans="1:18" ht="13.5" thickBo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</row>
    <row r="991" spans="1:18" ht="13.5" thickBo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</row>
    <row r="992" spans="1:18" ht="13.5" thickBo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</row>
    <row r="993" spans="1:17" ht="13.5" thickBo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</row>
    <row r="994" spans="1:17" ht="13.5" thickBo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</row>
    <row r="995" spans="1:17" ht="13.5" thickBo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</row>
    <row r="996" spans="1:17" ht="13.5" thickBo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</row>
    <row r="997" spans="1:17" ht="13.5" thickBo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</row>
    <row r="998" spans="1:17" ht="13.5" thickBo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</row>
    <row r="999" spans="1:17" ht="13.5" thickBo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</row>
    <row r="1000" spans="1:17" ht="13.5" thickBo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3</v>
      </c>
      <c r="B1" t="s">
        <v>4</v>
      </c>
    </row>
    <row r="2" spans="1:2" ht="15.75" x14ac:dyDescent="0.25">
      <c r="A2" s="3" t="s">
        <v>30</v>
      </c>
      <c r="B2" t="s">
        <v>82</v>
      </c>
    </row>
    <row r="3" spans="1:2" x14ac:dyDescent="0.25">
      <c r="A3" s="1" t="s">
        <v>32</v>
      </c>
      <c r="B3" s="4" t="s">
        <v>31</v>
      </c>
    </row>
    <row r="4" spans="1:2" x14ac:dyDescent="0.25">
      <c r="A4" s="1" t="s">
        <v>11</v>
      </c>
      <c r="B4" s="4" t="s">
        <v>76</v>
      </c>
    </row>
    <row r="5" spans="1:2" ht="16.5" x14ac:dyDescent="0.3">
      <c r="A5" s="5" t="s">
        <v>17</v>
      </c>
      <c r="B5" s="4" t="s">
        <v>45</v>
      </c>
    </row>
    <row r="6" spans="1:2" ht="16.5" x14ac:dyDescent="0.3">
      <c r="A6" s="5" t="s">
        <v>54</v>
      </c>
      <c r="B6" s="4" t="s">
        <v>81</v>
      </c>
    </row>
    <row r="7" spans="1:2" ht="16.5" x14ac:dyDescent="0.3">
      <c r="A7" s="5" t="s">
        <v>83</v>
      </c>
      <c r="B7" s="6" t="s">
        <v>10</v>
      </c>
    </row>
    <row r="8" spans="1:2" ht="16.5" x14ac:dyDescent="0.3">
      <c r="A8" s="5" t="s">
        <v>64</v>
      </c>
      <c r="B8" s="6" t="s">
        <v>18</v>
      </c>
    </row>
    <row r="9" spans="1:2" ht="16.5" x14ac:dyDescent="0.3">
      <c r="A9" s="5" t="s">
        <v>66</v>
      </c>
      <c r="B9" s="4" t="s">
        <v>19</v>
      </c>
    </row>
    <row r="10" spans="1:2" ht="16.5" x14ac:dyDescent="0.3">
      <c r="A10" s="5" t="s">
        <v>21</v>
      </c>
      <c r="B10" s="4" t="s">
        <v>24</v>
      </c>
    </row>
    <row r="11" spans="1:2" ht="16.5" x14ac:dyDescent="0.3">
      <c r="A11" s="5" t="s">
        <v>76</v>
      </c>
      <c r="B11" s="4" t="s">
        <v>13</v>
      </c>
    </row>
    <row r="12" spans="1:2" ht="16.5" x14ac:dyDescent="0.3">
      <c r="A12" s="5" t="s">
        <v>77</v>
      </c>
      <c r="B12" s="4" t="s">
        <v>44</v>
      </c>
    </row>
    <row r="13" spans="1:2" ht="17.25" x14ac:dyDescent="0.3">
      <c r="A13" s="7" t="s">
        <v>78</v>
      </c>
      <c r="B13" s="4" t="s">
        <v>0</v>
      </c>
    </row>
    <row r="14" spans="1:2" ht="16.5" x14ac:dyDescent="0.3">
      <c r="A14" s="5" t="s">
        <v>84</v>
      </c>
      <c r="B14" s="4" t="s">
        <v>55</v>
      </c>
    </row>
    <row r="15" spans="1:2" ht="16.5" x14ac:dyDescent="0.3">
      <c r="A15" s="5" t="s">
        <v>23</v>
      </c>
      <c r="B15" s="4" t="s">
        <v>56</v>
      </c>
    </row>
    <row r="16" spans="1:2" ht="16.5" x14ac:dyDescent="0.3">
      <c r="A16" s="5" t="s">
        <v>7</v>
      </c>
      <c r="B16" s="4" t="s">
        <v>69</v>
      </c>
    </row>
    <row r="17" spans="2:2" x14ac:dyDescent="0.25">
      <c r="B17" s="6" t="s">
        <v>40</v>
      </c>
    </row>
    <row r="18" spans="2:2" x14ac:dyDescent="0.25">
      <c r="B18" s="4" t="s">
        <v>68</v>
      </c>
    </row>
    <row r="19" spans="2:2" x14ac:dyDescent="0.25">
      <c r="B19" s="4" t="s">
        <v>85</v>
      </c>
    </row>
    <row r="20" spans="2:2" x14ac:dyDescent="0.25">
      <c r="B20" s="4" t="s">
        <v>34</v>
      </c>
    </row>
    <row r="21" spans="2:2" x14ac:dyDescent="0.25">
      <c r="B21" s="6" t="s">
        <v>35</v>
      </c>
    </row>
    <row r="22" spans="2:2" x14ac:dyDescent="0.25">
      <c r="B22" s="4" t="s">
        <v>8</v>
      </c>
    </row>
    <row r="23" spans="2:2" x14ac:dyDescent="0.25">
      <c r="B23" s="4" t="s">
        <v>36</v>
      </c>
    </row>
    <row r="24" spans="2:2" x14ac:dyDescent="0.25">
      <c r="B24" s="4" t="s">
        <v>71</v>
      </c>
    </row>
    <row r="25" spans="2:2" x14ac:dyDescent="0.25">
      <c r="B25" s="6" t="s">
        <v>50</v>
      </c>
    </row>
    <row r="26" spans="2:2" x14ac:dyDescent="0.25">
      <c r="B26" s="6" t="s">
        <v>37</v>
      </c>
    </row>
    <row r="27" spans="2:2" x14ac:dyDescent="0.25">
      <c r="B27" s="6" t="s">
        <v>52</v>
      </c>
    </row>
    <row r="28" spans="2:2" x14ac:dyDescent="0.25">
      <c r="B28" s="6" t="s">
        <v>53</v>
      </c>
    </row>
    <row r="29" spans="2:2" x14ac:dyDescent="0.25">
      <c r="B29" s="4" t="s">
        <v>86</v>
      </c>
    </row>
    <row r="30" spans="2:2" x14ac:dyDescent="0.25">
      <c r="B30" s="6" t="s">
        <v>87</v>
      </c>
    </row>
    <row r="31" spans="2:2" x14ac:dyDescent="0.25">
      <c r="B31" s="4" t="s">
        <v>41</v>
      </c>
    </row>
    <row r="32" spans="2:2" x14ac:dyDescent="0.25">
      <c r="B32" s="4" t="s">
        <v>88</v>
      </c>
    </row>
    <row r="33" spans="2:2" x14ac:dyDescent="0.25">
      <c r="B33" s="4" t="s">
        <v>15</v>
      </c>
    </row>
    <row r="34" spans="2:2" x14ac:dyDescent="0.25">
      <c r="B34" s="4" t="s">
        <v>89</v>
      </c>
    </row>
    <row r="35" spans="2:2" x14ac:dyDescent="0.25">
      <c r="B35" s="4" t="s">
        <v>90</v>
      </c>
    </row>
    <row r="36" spans="2:2" x14ac:dyDescent="0.25">
      <c r="B36" s="4" t="s">
        <v>62</v>
      </c>
    </row>
    <row r="37" spans="2:2" x14ac:dyDescent="0.25">
      <c r="B37" s="6" t="s">
        <v>63</v>
      </c>
    </row>
    <row r="38" spans="2:2" x14ac:dyDescent="0.25">
      <c r="B38" s="6" t="s">
        <v>91</v>
      </c>
    </row>
    <row r="39" spans="2:2" x14ac:dyDescent="0.25">
      <c r="B39" s="6" t="s">
        <v>92</v>
      </c>
    </row>
    <row r="40" spans="2:2" x14ac:dyDescent="0.25">
      <c r="B40" s="6" t="s">
        <v>42</v>
      </c>
    </row>
    <row r="41" spans="2:2" x14ac:dyDescent="0.25">
      <c r="B41" s="6" t="s">
        <v>79</v>
      </c>
    </row>
    <row r="42" spans="2:2" x14ac:dyDescent="0.25">
      <c r="B42" s="6" t="s">
        <v>93</v>
      </c>
    </row>
    <row r="43" spans="2:2" x14ac:dyDescent="0.25">
      <c r="B43" s="6" t="s">
        <v>14</v>
      </c>
    </row>
    <row r="44" spans="2:2" x14ac:dyDescent="0.25">
      <c r="B44" s="6" t="s">
        <v>94</v>
      </c>
    </row>
    <row r="45" spans="2:2" x14ac:dyDescent="0.25">
      <c r="B45" s="6" t="s">
        <v>95</v>
      </c>
    </row>
    <row r="46" spans="2:2" x14ac:dyDescent="0.25">
      <c r="B46" s="4" t="s">
        <v>9</v>
      </c>
    </row>
    <row r="47" spans="2:2" x14ac:dyDescent="0.25">
      <c r="B47" s="4" t="s">
        <v>57</v>
      </c>
    </row>
    <row r="48" spans="2:2" x14ac:dyDescent="0.25">
      <c r="B48" s="4" t="s">
        <v>73</v>
      </c>
    </row>
    <row r="49" spans="2:2" x14ac:dyDescent="0.25">
      <c r="B49" s="4" t="s">
        <v>96</v>
      </c>
    </row>
    <row r="50" spans="2:2" x14ac:dyDescent="0.25">
      <c r="B50" s="4" t="s">
        <v>97</v>
      </c>
    </row>
    <row r="51" spans="2:2" x14ac:dyDescent="0.25">
      <c r="B51" s="4" t="s">
        <v>43</v>
      </c>
    </row>
    <row r="52" spans="2:2" x14ac:dyDescent="0.25">
      <c r="B52" s="4" t="s">
        <v>12</v>
      </c>
    </row>
    <row r="53" spans="2:2" x14ac:dyDescent="0.25">
      <c r="B53" s="4" t="s">
        <v>98</v>
      </c>
    </row>
    <row r="54" spans="2:2" x14ac:dyDescent="0.25">
      <c r="B54" s="4" t="s">
        <v>99</v>
      </c>
    </row>
    <row r="55" spans="2:2" x14ac:dyDescent="0.25">
      <c r="B55" s="4" t="s">
        <v>33</v>
      </c>
    </row>
    <row r="56" spans="2:2" x14ac:dyDescent="0.25">
      <c r="B56" s="4" t="s">
        <v>60</v>
      </c>
    </row>
    <row r="57" spans="2:2" x14ac:dyDescent="0.25">
      <c r="B57" s="8" t="s">
        <v>47</v>
      </c>
    </row>
    <row r="58" spans="2:2" x14ac:dyDescent="0.25">
      <c r="B58" s="4" t="s">
        <v>100</v>
      </c>
    </row>
    <row r="59" spans="2:2" x14ac:dyDescent="0.25">
      <c r="B59" s="4" t="s">
        <v>74</v>
      </c>
    </row>
    <row r="60" spans="2:2" x14ac:dyDescent="0.25">
      <c r="B60" s="4" t="s">
        <v>48</v>
      </c>
    </row>
    <row r="61" spans="2:2" x14ac:dyDescent="0.25">
      <c r="B61" s="8" t="s">
        <v>49</v>
      </c>
    </row>
    <row r="62" spans="2:2" x14ac:dyDescent="0.25">
      <c r="B62" s="4" t="s">
        <v>2</v>
      </c>
    </row>
    <row r="63" spans="2:2" x14ac:dyDescent="0.25">
      <c r="B63" s="4" t="s">
        <v>51</v>
      </c>
    </row>
    <row r="64" spans="2:2" x14ac:dyDescent="0.25">
      <c r="B64" s="4" t="s">
        <v>101</v>
      </c>
    </row>
    <row r="65" spans="2:2" x14ac:dyDescent="0.25">
      <c r="B65" s="4" t="s">
        <v>102</v>
      </c>
    </row>
    <row r="66" spans="2:2" x14ac:dyDescent="0.25">
      <c r="B66" s="4" t="s">
        <v>75</v>
      </c>
    </row>
    <row r="67" spans="2:2" x14ac:dyDescent="0.25">
      <c r="B67" s="6" t="s">
        <v>58</v>
      </c>
    </row>
    <row r="68" spans="2:2" x14ac:dyDescent="0.25">
      <c r="B68" s="6" t="s">
        <v>46</v>
      </c>
    </row>
    <row r="69" spans="2:2" x14ac:dyDescent="0.25">
      <c r="B69" s="9" t="s">
        <v>103</v>
      </c>
    </row>
    <row r="70" spans="2:2" x14ac:dyDescent="0.25">
      <c r="B70" s="4" t="s">
        <v>65</v>
      </c>
    </row>
    <row r="71" spans="2:2" x14ac:dyDescent="0.25">
      <c r="B71" s="6" t="s">
        <v>104</v>
      </c>
    </row>
    <row r="72" spans="2:2" x14ac:dyDescent="0.25">
      <c r="B72" t="s">
        <v>5</v>
      </c>
    </row>
    <row r="73" spans="2:2" x14ac:dyDescent="0.25">
      <c r="B73" s="6" t="s">
        <v>70</v>
      </c>
    </row>
    <row r="74" spans="2:2" x14ac:dyDescent="0.25">
      <c r="B74" s="6" t="s">
        <v>105</v>
      </c>
    </row>
    <row r="75" spans="2:2" x14ac:dyDescent="0.25">
      <c r="B75" s="6" t="s">
        <v>106</v>
      </c>
    </row>
    <row r="76" spans="2:2" x14ac:dyDescent="0.25">
      <c r="B76" s="6" t="s">
        <v>67</v>
      </c>
    </row>
    <row r="77" spans="2:2" x14ac:dyDescent="0.25">
      <c r="B77" s="6" t="s">
        <v>22</v>
      </c>
    </row>
    <row r="78" spans="2:2" x14ac:dyDescent="0.25">
      <c r="B78" s="6" t="s">
        <v>115</v>
      </c>
    </row>
    <row r="79" spans="2:2" x14ac:dyDescent="0.25">
      <c r="B79" s="6" t="s">
        <v>107</v>
      </c>
    </row>
    <row r="80" spans="2:2" x14ac:dyDescent="0.25">
      <c r="B80" s="6" t="s">
        <v>68</v>
      </c>
    </row>
    <row r="81" spans="2:2" x14ac:dyDescent="0.25">
      <c r="B81" s="6" t="s">
        <v>61</v>
      </c>
    </row>
    <row r="82" spans="2:2" x14ac:dyDescent="0.25">
      <c r="B82" s="6" t="s">
        <v>59</v>
      </c>
    </row>
    <row r="83" spans="2:2" x14ac:dyDescent="0.25">
      <c r="B83" s="6" t="s">
        <v>16</v>
      </c>
    </row>
    <row r="84" spans="2:2" x14ac:dyDescent="0.25">
      <c r="B84" s="6" t="s">
        <v>108</v>
      </c>
    </row>
    <row r="85" spans="2:2" x14ac:dyDescent="0.25">
      <c r="B85" s="6" t="s">
        <v>72</v>
      </c>
    </row>
    <row r="86" spans="2:2" x14ac:dyDescent="0.25">
      <c r="B86" s="6" t="s">
        <v>109</v>
      </c>
    </row>
    <row r="87" spans="2:2" x14ac:dyDescent="0.25">
      <c r="B87" s="6" t="s">
        <v>38</v>
      </c>
    </row>
    <row r="88" spans="2:2" x14ac:dyDescent="0.25">
      <c r="B88" s="6" t="s">
        <v>39</v>
      </c>
    </row>
    <row r="89" spans="2:2" x14ac:dyDescent="0.25">
      <c r="B89" s="6" t="s">
        <v>20</v>
      </c>
    </row>
    <row r="90" spans="2:2" x14ac:dyDescent="0.25">
      <c r="B90" s="10" t="s">
        <v>110</v>
      </c>
    </row>
    <row r="91" spans="2:2" x14ac:dyDescent="0.25">
      <c r="B91" s="6" t="s">
        <v>6</v>
      </c>
    </row>
    <row r="92" spans="2:2" x14ac:dyDescent="0.25">
      <c r="B92" s="6" t="s">
        <v>111</v>
      </c>
    </row>
    <row r="93" spans="2:2" x14ac:dyDescent="0.25">
      <c r="B93" s="6" t="s">
        <v>116</v>
      </c>
    </row>
    <row r="94" spans="2:2" x14ac:dyDescent="0.25">
      <c r="B94" t="s">
        <v>112</v>
      </c>
    </row>
    <row r="95" spans="2:2" x14ac:dyDescent="0.25">
      <c r="B95" s="6" t="s">
        <v>113</v>
      </c>
    </row>
    <row r="96" spans="2:2" x14ac:dyDescent="0.25">
      <c r="B96" s="6" t="s">
        <v>114</v>
      </c>
    </row>
    <row r="97" spans="2:2" x14ac:dyDescent="0.25">
      <c r="B97" s="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Nov'24</vt:lpstr>
      <vt:lpstr>Gastos</vt:lpstr>
      <vt:lpstr>Ventas Nov´24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2025-03-06T14:58:41Z</dcterms:modified>
</cp:coreProperties>
</file>