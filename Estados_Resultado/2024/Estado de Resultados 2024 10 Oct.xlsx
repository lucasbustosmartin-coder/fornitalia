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4e5a63a034435029/Escritorio/FN/Estado de Resultados/"/>
    </mc:Choice>
  </mc:AlternateContent>
  <xr:revisionPtr revIDLastSave="3" documentId="8_{542909A2-68F1-4D53-BD3C-2C5C65A8F22E}" xr6:coauthVersionLast="47" xr6:coauthVersionMax="47" xr10:uidLastSave="{07E0DADC-4F49-4098-9DEE-E4903905917F}"/>
  <bookViews>
    <workbookView xWindow="-120" yWindow="-120" windowWidth="20730" windowHeight="11040" tabRatio="599" xr2:uid="{30A6164E-A0D3-4996-9EF3-92045D51F006}"/>
  </bookViews>
  <sheets>
    <sheet name="Oct'24" sheetId="23" r:id="rId1"/>
    <sheet name="Gastos" sheetId="24" r:id="rId2"/>
    <sheet name="Ventas Oct´24" sheetId="18" r:id="rId3"/>
    <sheet name="LISTA CONCEPTOS" sheetId="15" state="hidden" r:id="rId4"/>
  </sheets>
  <definedNames>
    <definedName name="_xlnm._FilterDatabase" localSheetId="1" hidden="1">Gastos!$A$1:$F$1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23" l="1"/>
  <c r="B4" i="23"/>
  <c r="B3" i="23"/>
  <c r="V9" i="18"/>
  <c r="V8" i="18"/>
  <c r="V7" i="18"/>
  <c r="V6" i="18"/>
  <c r="V5" i="18"/>
  <c r="V4" i="18"/>
  <c r="V3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2" i="18"/>
  <c r="G10" i="18"/>
  <c r="I3" i="18"/>
  <c r="I4" i="18"/>
  <c r="I5" i="18"/>
  <c r="I6" i="18"/>
  <c r="I7" i="18"/>
  <c r="I8" i="18"/>
  <c r="I9" i="18"/>
  <c r="I2" i="18"/>
  <c r="I10" i="18" s="1"/>
  <c r="C8" i="24"/>
  <c r="B14" i="23" s="1"/>
  <c r="C5" i="24"/>
  <c r="B11" i="23" s="1"/>
  <c r="V10" i="18" l="1"/>
  <c r="H10" i="18"/>
  <c r="C86" i="24"/>
  <c r="B24" i="23" s="1"/>
  <c r="B86" i="24" l="1"/>
  <c r="C79" i="24"/>
  <c r="B20" i="23" s="1"/>
  <c r="B79" i="24"/>
  <c r="C75" i="24"/>
  <c r="B18" i="23" s="1"/>
  <c r="B75" i="24"/>
  <c r="C71" i="24"/>
  <c r="B23" i="23" s="1"/>
  <c r="C91" i="24"/>
  <c r="B31" i="23" s="1"/>
  <c r="B71" i="24"/>
  <c r="B91" i="24"/>
  <c r="C59" i="24"/>
  <c r="B17" i="23" s="1"/>
  <c r="B59" i="24"/>
  <c r="C12" i="24"/>
  <c r="B16" i="23" s="1"/>
  <c r="B12" i="24"/>
  <c r="C10" i="24"/>
  <c r="B15" i="23" s="1"/>
  <c r="B10" i="24"/>
  <c r="B8" i="24"/>
  <c r="B5" i="24"/>
  <c r="B10" i="23" l="1"/>
  <c r="B5" i="23"/>
  <c r="C20" i="23" s="1"/>
  <c r="C4" i="23"/>
  <c r="C13" i="23" l="1"/>
  <c r="C14" i="23"/>
  <c r="C15" i="23"/>
  <c r="C16" i="23"/>
  <c r="C17" i="23"/>
  <c r="C18" i="23"/>
  <c r="C10" i="23"/>
  <c r="C23" i="23"/>
  <c r="C19" i="23"/>
  <c r="C11" i="23"/>
  <c r="C12" i="23"/>
  <c r="B7" i="23"/>
  <c r="C7" i="23" s="1"/>
  <c r="B22" i="23" l="1"/>
  <c r="C22" i="23" s="1"/>
  <c r="B26" i="23" l="1"/>
  <c r="B28" i="23"/>
  <c r="C28" i="23" s="1"/>
  <c r="C24" i="23"/>
</calcChain>
</file>

<file path=xl/sharedStrings.xml><?xml version="1.0" encoding="utf-8"?>
<sst xmlns="http://schemas.openxmlformats.org/spreadsheetml/2006/main" count="453" uniqueCount="257">
  <si>
    <t>CRM</t>
  </si>
  <si>
    <t>SERVICIOS CONTABLES</t>
  </si>
  <si>
    <t>CUENTA</t>
  </si>
  <si>
    <t>SUBCUENTA</t>
  </si>
  <si>
    <t>CAJA CHICA RICARDO $3000 (LOS DA FABIO) Y VIATICOS</t>
  </si>
  <si>
    <t>LUZ BODEGA</t>
  </si>
  <si>
    <t xml:space="preserve">Gastos de Viaje y Transportacion </t>
  </si>
  <si>
    <t>GASTOS VARIOS</t>
  </si>
  <si>
    <t>PAPELERIA</t>
  </si>
  <si>
    <t>CASETAS</t>
  </si>
  <si>
    <t>Gastos de venta</t>
  </si>
  <si>
    <t>PUBLICIDAD GOOGLE Y FACEBOOK</t>
  </si>
  <si>
    <t>COMISIONES VENDEDORES</t>
  </si>
  <si>
    <t>NOMINA ITALMEXY</t>
  </si>
  <si>
    <t>LUZ</t>
  </si>
  <si>
    <t>PLAYO</t>
  </si>
  <si>
    <t>Gastos financieros</t>
  </si>
  <si>
    <t>COMISIONES BANCARIAS</t>
  </si>
  <si>
    <t>COMISIONES EUROFORNO</t>
  </si>
  <si>
    <t>PUBLICIDAD IMPRESA (FOLLETOS, ORDENES DE COMPRA,TARJETAS DE PRESENTACION)</t>
  </si>
  <si>
    <t>Otros gastos operativos</t>
  </si>
  <si>
    <t xml:space="preserve">GASOLINA   </t>
  </si>
  <si>
    <t>FONDO FIJO TOLUCA</t>
  </si>
  <si>
    <t>COMISIONES SOBRE VENTAS</t>
  </si>
  <si>
    <t>Concepto</t>
  </si>
  <si>
    <t>Ventas Netas</t>
  </si>
  <si>
    <t>Total Ingresos</t>
  </si>
  <si>
    <t>Costo total</t>
  </si>
  <si>
    <t>Utilidad Marginal</t>
  </si>
  <si>
    <t>Gasto de nómina</t>
  </si>
  <si>
    <t>ALMACEN IFULL</t>
  </si>
  <si>
    <t>Gastos por servicios</t>
  </si>
  <si>
    <t>RECARGA LINEA TELEFONICA</t>
  </si>
  <si>
    <t>FERRETERIA Y HERRAMIENTAS PARA BODEGA TOLUCA</t>
  </si>
  <si>
    <t>GASOLINA FABIO</t>
  </si>
  <si>
    <t>GASTOS VARIOS (FABIO)</t>
  </si>
  <si>
    <t>IMPUESTOS FEDERALES</t>
  </si>
  <si>
    <t>CONSULTORIA   SCALELLA, ARMANDO</t>
  </si>
  <si>
    <t>CONSULTORIA MERCADO LIBRE</t>
  </si>
  <si>
    <t>EQUIPO PARA VENDEDORES (CARGADOR, USB,PILAS)</t>
  </si>
  <si>
    <t>LIMPIEZA ALMACEN TOLUCA</t>
  </si>
  <si>
    <t>MERCADOTECNIA (PABLO- QUITO)</t>
  </si>
  <si>
    <t>PUBLICIDAD DACTILAR</t>
  </si>
  <si>
    <t>CONSULTORIA ANA GPT</t>
  </si>
  <si>
    <t>ASOCIACION NACIONAL DE TIENDAS DE AUTOSERVICIO Y DEPARTAMENTALES</t>
  </si>
  <si>
    <t>UBM MEXICO EXPOSICIONES</t>
  </si>
  <si>
    <t>REMODELACION ALMACEN TOLUCA</t>
  </si>
  <si>
    <t>SERVICIO DE SOPORTE TECNICO (SISTEMAS)</t>
  </si>
  <si>
    <t>SERVICIO TECNICO (REPARACION DE HORNO)</t>
  </si>
  <si>
    <t>IMPUESTOS ANUALES</t>
  </si>
  <si>
    <t>SERVICIOS DE RECLUTAMIENTO (GRUPO REDA)</t>
  </si>
  <si>
    <t>IMPUESTOS ISR RET</t>
  </si>
  <si>
    <t>IMPUESTOS IVA RET</t>
  </si>
  <si>
    <t>Gasto logistica</t>
  </si>
  <si>
    <t>ENVIO DE MERCANCIA NORDIN</t>
  </si>
  <si>
    <t>ENVIOS A CLIENTES (PAQUETERÍA)</t>
  </si>
  <si>
    <t>PAQUETERIA POR COBRAR</t>
  </si>
  <si>
    <t>TRANSPORTE(TAXIS Y UBER)</t>
  </si>
  <si>
    <t>CATERING PARA CURSO</t>
  </si>
  <si>
    <t>REFACCIONES Y HERRAMIENTA</t>
  </si>
  <si>
    <t>GARRAFONES DE AGUA</t>
  </si>
  <si>
    <t>MANTENIMIENTO ALMACEN TOLUCA</t>
  </si>
  <si>
    <t>MATERIA PRIMA PARA CURSOS</t>
  </si>
  <si>
    <t>Gastos de almacenaje</t>
  </si>
  <si>
    <t>VIATICOS EXPO GDL</t>
  </si>
  <si>
    <t xml:space="preserve">Viaticos Expo Pan WTC </t>
  </si>
  <si>
    <t>COMIDAS</t>
  </si>
  <si>
    <t>ESTACIONAMIENTOS</t>
  </si>
  <si>
    <t>EQUIPO DE PROTECCION PERSONAL</t>
  </si>
  <si>
    <t>GAS PARA DEMOSTRACIONES</t>
  </si>
  <si>
    <t>HERRERIA BODEGA TOLUCA</t>
  </si>
  <si>
    <t>INSUMOS PARA CURSO (MANDILES, TABLAS, FILIPINAS)</t>
  </si>
  <si>
    <t>PERSONAL (MOVIMIENTOS ALMACEN)</t>
  </si>
  <si>
    <t>SEÑALAMIENTOS EMPAQUE Y EMBALAJE</t>
  </si>
  <si>
    <t>TALLER MECANICO</t>
  </si>
  <si>
    <t>ANTICIPO A PROVEEDORES</t>
  </si>
  <si>
    <t>CARGOS NO RECONOCIDOS BBVA</t>
  </si>
  <si>
    <t>Gastos extraordinarios</t>
  </si>
  <si>
    <t>MOBILIARIO Y EQUIPO</t>
  </si>
  <si>
    <t>UTILIDAD NETA</t>
  </si>
  <si>
    <t>CARGO NO IDENTIFICADO</t>
  </si>
  <si>
    <t>ADQUISICION DE MERCANCIAS</t>
  </si>
  <si>
    <t xml:space="preserve">Reembolsos </t>
  </si>
  <si>
    <t xml:space="preserve">Prestamos Bendita Diversificacion </t>
  </si>
  <si>
    <t>EXPO FOOD SERVICE DE MEXICO</t>
  </si>
  <si>
    <t>INTERNET IZZI NEGOCIOS</t>
  </si>
  <si>
    <t>KIT DE INSTALACION DE SISTEMA DE CIRCUITO CERRADO DE TV</t>
  </si>
  <si>
    <t>LIQUIDACION DE TRABAJADORES</t>
  </si>
  <si>
    <t>MANIOBRAS DE DESCARGA</t>
  </si>
  <si>
    <t xml:space="preserve">MANIOBRAS DE DESCARGA (HORNOS) </t>
  </si>
  <si>
    <t>MATERIAL DE EMPAQUE</t>
  </si>
  <si>
    <t>MERCADOTECNIA (CARLOS-BOGOTA)</t>
  </si>
  <si>
    <t>MONTAJE EXPO GDL</t>
  </si>
  <si>
    <t>OPERADOR (TIEMPO EXTRA)</t>
  </si>
  <si>
    <t>PAGO PARCIAL DE PRESTAMO</t>
  </si>
  <si>
    <t>PIPA DE AGUA</t>
  </si>
  <si>
    <t>PIZZA EXPO</t>
  </si>
  <si>
    <t>PUBLICIDAD IMPRESA EXPO MTY</t>
  </si>
  <si>
    <t>PUBLICIDAD Y MARKETING</t>
  </si>
  <si>
    <t>RENTA BODEGA TOLUCA</t>
  </si>
  <si>
    <t>SISTEMA CONTPAQ ANUAL</t>
  </si>
  <si>
    <t>STAND ABASTUR</t>
  </si>
  <si>
    <t>VIATICOS CHINA (FABIO)</t>
  </si>
  <si>
    <t xml:space="preserve">VIATICOS Y GASTOS DE VIAJE (RICARDO CINTERMEX MTY) </t>
  </si>
  <si>
    <t xml:space="preserve">PUBLICIDAD IMPRESA CURSOS </t>
  </si>
  <si>
    <t>HOTEL</t>
  </si>
  <si>
    <t xml:space="preserve">INSUMOS </t>
  </si>
  <si>
    <t xml:space="preserve">VUELOS </t>
  </si>
  <si>
    <t xml:space="preserve">PROTOTIPOS </t>
  </si>
  <si>
    <t>EXPO GASTRONOMICA WTC</t>
  </si>
  <si>
    <t>PRESTAMOS BENDITA DIVERSIFICACION</t>
  </si>
  <si>
    <t>GARANTIA DE LOS EQUIPOS AT&amp;T</t>
  </si>
  <si>
    <t>HORAS EXTRA</t>
  </si>
  <si>
    <t>FINIQUITO</t>
  </si>
  <si>
    <t>EXPO PAN WTC JUNIO</t>
  </si>
  <si>
    <t>COMISIONES JUNIO</t>
  </si>
  <si>
    <t>PUBLICIDAD DIGITAL MANTTO PAG. INTERNET-QUITO, ECUADOR</t>
  </si>
  <si>
    <t>Javier</t>
  </si>
  <si>
    <t>Cynthia</t>
  </si>
  <si>
    <t>IVA</t>
  </si>
  <si>
    <t>Local</t>
  </si>
  <si>
    <t>Sueldos</t>
  </si>
  <si>
    <t>Impuestos</t>
  </si>
  <si>
    <t>Ley 25.413</t>
  </si>
  <si>
    <t>Tipo de IVA</t>
  </si>
  <si>
    <t>MONTO TOTAL</t>
  </si>
  <si>
    <t>Costo Contable</t>
  </si>
  <si>
    <t>PRO GAS 106</t>
  </si>
  <si>
    <t>24 001 IC04 0985888 X</t>
  </si>
  <si>
    <t>SUELDOS</t>
  </si>
  <si>
    <t>LOCAL</t>
  </si>
  <si>
    <t>IMPUESTOS</t>
  </si>
  <si>
    <t>EXTRAORDINARIOS</t>
  </si>
  <si>
    <t>COMISIONES VENTAS</t>
  </si>
  <si>
    <t>Fecha</t>
  </si>
  <si>
    <t>Descripción</t>
  </si>
  <si>
    <t>Retiros Débito</t>
  </si>
  <si>
    <t>FLETES</t>
  </si>
  <si>
    <t>Comisiones Bancarias</t>
  </si>
  <si>
    <t xml:space="preserve">Descuentos Realizados </t>
  </si>
  <si>
    <t>INVERSIONES (Certificaciones)</t>
  </si>
  <si>
    <t>COMISIONES DISTRIBUIDORES</t>
  </si>
  <si>
    <t>GASTOS VARIABLES</t>
  </si>
  <si>
    <t>GASTOS FIJOS</t>
  </si>
  <si>
    <t>GASTOS TOTALES</t>
  </si>
  <si>
    <t>Categoría</t>
  </si>
  <si>
    <t>SubCategoría</t>
  </si>
  <si>
    <t>PUESTA EN MARCHA</t>
  </si>
  <si>
    <t>%</t>
  </si>
  <si>
    <t>IMP. LEY 25.413</t>
  </si>
  <si>
    <t>TARJ.CRED.(AJUSTE COM)</t>
  </si>
  <si>
    <t>INSTRUCCION DE PAGO</t>
  </si>
  <si>
    <t>DEBITO AUTOMATICO</t>
  </si>
  <si>
    <t>ALQUILER</t>
  </si>
  <si>
    <t>FAECYS</t>
  </si>
  <si>
    <t>CM Ingresos Brutos</t>
  </si>
  <si>
    <t>Cargas Sociales | F931</t>
  </si>
  <si>
    <t>Marketing</t>
  </si>
  <si>
    <t>Inversión</t>
  </si>
  <si>
    <t>COMISION MANT.CTA</t>
  </si>
  <si>
    <t>IVA PERCEPCION</t>
  </si>
  <si>
    <t>MARKETING</t>
  </si>
  <si>
    <t>Estafa</t>
  </si>
  <si>
    <t>ESTAFA | PAYWAY</t>
  </si>
  <si>
    <t>Estado de Resultados 2024</t>
  </si>
  <si>
    <t>OPERADOR</t>
  </si>
  <si>
    <t>FECHA</t>
  </si>
  <si>
    <t>PRODUCTO</t>
  </si>
  <si>
    <t>nº de serie</t>
  </si>
  <si>
    <t>DESPACHO N°</t>
  </si>
  <si>
    <t>CLIENTE</t>
  </si>
  <si>
    <t>MONTO NETO</t>
  </si>
  <si>
    <t>Valor TOTAL Cotización CON IVA</t>
  </si>
  <si>
    <t>HSBC</t>
  </si>
  <si>
    <t>efectivo / morva</t>
  </si>
  <si>
    <t>total pagado</t>
  </si>
  <si>
    <t>por cobrar</t>
  </si>
  <si>
    <t>FACTURADO</t>
  </si>
  <si>
    <t>CUIT</t>
  </si>
  <si>
    <t>Forma de Pago</t>
  </si>
  <si>
    <t>FN2 PRO</t>
  </si>
  <si>
    <t>Javier Morano/Soface 3,10</t>
  </si>
  <si>
    <t>Factura A -32</t>
  </si>
  <si>
    <t>30-6566-1936-4</t>
  </si>
  <si>
    <t>Efectivo</t>
  </si>
  <si>
    <t>PRO HOUSE</t>
  </si>
  <si>
    <t>Javier Morano/Black Iron</t>
  </si>
  <si>
    <t>30-71852393-8</t>
  </si>
  <si>
    <t>Transferencia</t>
  </si>
  <si>
    <t>Pala</t>
  </si>
  <si>
    <t>Rodríguez y Parise, SRL.</t>
  </si>
  <si>
    <t>Factura A -33</t>
  </si>
  <si>
    <t>30-71081767-3</t>
  </si>
  <si>
    <t>Hsbc</t>
  </si>
  <si>
    <t>G24038032010</t>
  </si>
  <si>
    <t>VICTOR CENDRA</t>
  </si>
  <si>
    <t>No pide factura</t>
  </si>
  <si>
    <t>20-26865743-7</t>
  </si>
  <si>
    <t>G24038032014</t>
  </si>
  <si>
    <t>TRICAN S.A.S. / LEO LOPEZ</t>
  </si>
  <si>
    <t>Factura A -35</t>
  </si>
  <si>
    <t>30-71696818-5</t>
  </si>
  <si>
    <t>Mantecadora</t>
  </si>
  <si>
    <t>No tiene número de serie</t>
  </si>
  <si>
    <t>Alejandro Martin Lemmo</t>
  </si>
  <si>
    <t>20-29125198-7</t>
  </si>
  <si>
    <t>Hsbc/Morva</t>
  </si>
  <si>
    <t>Pro gas 90</t>
  </si>
  <si>
    <t>GS24038032008</t>
  </si>
  <si>
    <t>Marcelo Marino</t>
  </si>
  <si>
    <t>Factura A-36</t>
  </si>
  <si>
    <t>20-22994203-5</t>
  </si>
  <si>
    <t>Hsbc/Morva/Efectivo</t>
  </si>
  <si>
    <t>TOTALES</t>
  </si>
  <si>
    <t>PROSEGUR PROS ALAR FACT 1201775879</t>
  </si>
  <si>
    <t>Alarma Local</t>
  </si>
  <si>
    <t>Teléfonos</t>
  </si>
  <si>
    <t>Tarjetas Personales</t>
  </si>
  <si>
    <t>SIN IDENTIFICAR</t>
  </si>
  <si>
    <t>Alquiler</t>
  </si>
  <si>
    <t>SOLUCIONES ONLINE SA</t>
  </si>
  <si>
    <t>Sistema Gestión | Xubio</t>
  </si>
  <si>
    <t>Certificaciones</t>
  </si>
  <si>
    <t>Payway</t>
  </si>
  <si>
    <t>COM.TRANS.INTERNET</t>
  </si>
  <si>
    <t>TRASNF. ELECTRONICA</t>
  </si>
  <si>
    <t>Flete</t>
  </si>
  <si>
    <t>PAGO SERVICIOS UEBO</t>
  </si>
  <si>
    <t>PAGO SERVICIOS SEA</t>
  </si>
  <si>
    <t>PAGO SERVICIOS ENOR</t>
  </si>
  <si>
    <t>Edenor</t>
  </si>
  <si>
    <t>Honorarios Contables</t>
  </si>
  <si>
    <t>Notebook Local</t>
  </si>
  <si>
    <t>Extraordinarios</t>
  </si>
  <si>
    <t>Enchufe</t>
  </si>
  <si>
    <t>TRANSF.ELECTRONICA</t>
  </si>
  <si>
    <t>IVA Percepción</t>
  </si>
  <si>
    <t>INGR.BRUTOS</t>
  </si>
  <si>
    <t>Ingresos Brutos</t>
  </si>
  <si>
    <t>imprenta gigantografias</t>
  </si>
  <si>
    <t>GIGANTOGRAFIAS</t>
  </si>
  <si>
    <t>ALQUILER OCT</t>
  </si>
  <si>
    <t>reposición caja chica</t>
  </si>
  <si>
    <t>CAJA CHICA</t>
  </si>
  <si>
    <t>desasolve cloaca</t>
  </si>
  <si>
    <t>DESTAPACION CLOCA</t>
  </si>
  <si>
    <t>pago reclutamiento Lelia</t>
  </si>
  <si>
    <t>RECLUTAMIENTO</t>
  </si>
  <si>
    <t>anticipo macetas</t>
  </si>
  <si>
    <t>MANTENIMIENTO</t>
  </si>
  <si>
    <t>carpintero</t>
  </si>
  <si>
    <t>sueldo Cynthia</t>
  </si>
  <si>
    <t>TRANSF. ELECTRONICA | Cynthia</t>
  </si>
  <si>
    <t>Sueldo Diego | Sep´24</t>
  </si>
  <si>
    <t>Valor Lista</t>
  </si>
  <si>
    <t>Dto.%</t>
  </si>
  <si>
    <t>Valor Cotizado               sin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</si>
</sst>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\ #,##0.00;[Red]\-&quot;$&quot;\ #,##0.00"/>
    <numFmt numFmtId="43" formatCode="_-* #,##0.00_-;\-* #,##0.00_-;_-* &quot;-&quot;??_-;_-@_-"/>
    <numFmt numFmtId="164" formatCode="&quot;$&quot;#,##0.00;[Red]\-&quot;$&quot;#,##0.00"/>
    <numFmt numFmtId="165" formatCode="_-&quot;$&quot;* #,##0.00_-;\-&quot;$&quot;* #,##0.00_-;_-&quot;$&quot;* &quot;-&quot;??_-;_-@_-"/>
    <numFmt numFmtId="166" formatCode="&quot;$&quot;\ 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Segoe UI"/>
      <family val="2"/>
    </font>
    <font>
      <b/>
      <sz val="12"/>
      <name val="Segoe UI"/>
      <family val="2"/>
    </font>
    <font>
      <b/>
      <sz val="16"/>
      <color theme="1" tint="4.9989318521683403E-2"/>
      <name val="Segoe UI"/>
      <family val="2"/>
    </font>
    <font>
      <b/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0"/>
      <name val="Segoe U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Arial"/>
      <family val="2"/>
    </font>
    <font>
      <sz val="10"/>
      <color rgb="FF1F1F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C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6" fillId="2" borderId="0" xfId="0" applyFont="1" applyFill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/>
    </xf>
    <xf numFmtId="164" fontId="4" fillId="2" borderId="0" xfId="0" applyNumberFormat="1" applyFont="1" applyFill="1"/>
    <xf numFmtId="0" fontId="3" fillId="0" borderId="0" xfId="0" applyFont="1"/>
    <xf numFmtId="164" fontId="5" fillId="2" borderId="0" xfId="0" applyNumberFormat="1" applyFont="1" applyFill="1"/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0" fillId="0" borderId="0" xfId="0" quotePrefix="1" applyAlignment="1">
      <alignment horizontal="left"/>
    </xf>
    <xf numFmtId="0" fontId="6" fillId="2" borderId="0" xfId="0" applyFont="1" applyFill="1" applyAlignment="1">
      <alignment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166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3" fontId="0" fillId="0" borderId="0" xfId="1" applyFont="1" applyAlignment="1">
      <alignment vertical="center"/>
    </xf>
    <xf numFmtId="9" fontId="0" fillId="0" borderId="0" xfId="0" applyNumberFormat="1" applyAlignment="1">
      <alignment horizontal="center" vertical="center"/>
    </xf>
    <xf numFmtId="43" fontId="2" fillId="0" borderId="0" xfId="1" applyFont="1" applyAlignment="1">
      <alignment vertical="center"/>
    </xf>
    <xf numFmtId="9" fontId="0" fillId="0" borderId="0" xfId="3" applyFont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3" borderId="0" xfId="0" applyFont="1" applyFill="1" applyAlignment="1">
      <alignment vertical="center"/>
    </xf>
    <xf numFmtId="8" fontId="2" fillId="3" borderId="0" xfId="1" applyNumberFormat="1" applyFont="1" applyFill="1" applyAlignment="1">
      <alignment vertical="center"/>
    </xf>
    <xf numFmtId="9" fontId="2" fillId="0" borderId="0" xfId="3" applyFont="1" applyAlignment="1">
      <alignment horizontal="center" vertic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8" fontId="0" fillId="0" borderId="0" xfId="1" applyNumberFormat="1" applyFont="1" applyAlignment="1">
      <alignment vertical="center"/>
    </xf>
    <xf numFmtId="0" fontId="11" fillId="4" borderId="0" xfId="0" applyFont="1" applyFill="1" applyAlignment="1">
      <alignment vertical="center"/>
    </xf>
    <xf numFmtId="43" fontId="2" fillId="4" borderId="0" xfId="1" applyFont="1" applyFill="1" applyAlignment="1">
      <alignment vertical="center"/>
    </xf>
    <xf numFmtId="9" fontId="2" fillId="4" borderId="0" xfId="3" applyFont="1" applyFill="1" applyAlignment="1">
      <alignment horizontal="center" vertical="center"/>
    </xf>
    <xf numFmtId="0" fontId="0" fillId="6" borderId="0" xfId="0" applyFill="1" applyAlignment="1">
      <alignment vertical="center"/>
    </xf>
    <xf numFmtId="8" fontId="1" fillId="6" borderId="0" xfId="1" applyNumberFormat="1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8" fontId="1" fillId="3" borderId="0" xfId="1" applyNumberFormat="1" applyFont="1" applyFill="1" applyAlignment="1">
      <alignment vertical="center"/>
    </xf>
    <xf numFmtId="0" fontId="9" fillId="0" borderId="0" xfId="0" applyFont="1"/>
    <xf numFmtId="0" fontId="8" fillId="0" borderId="0" xfId="0" applyFont="1"/>
    <xf numFmtId="0" fontId="8" fillId="3" borderId="5" xfId="0" applyFont="1" applyFill="1" applyBorder="1" applyAlignment="1">
      <alignment vertical="center" wrapText="1"/>
    </xf>
    <xf numFmtId="8" fontId="8" fillId="3" borderId="5" xfId="0" applyNumberFormat="1" applyFont="1" applyFill="1" applyBorder="1" applyAlignment="1">
      <alignment horizontal="right" vertical="center" wrapText="1"/>
    </xf>
    <xf numFmtId="43" fontId="1" fillId="0" borderId="2" xfId="1" applyFont="1" applyBorder="1" applyAlignment="1">
      <alignment vertical="center"/>
    </xf>
    <xf numFmtId="0" fontId="14" fillId="7" borderId="0" xfId="0" applyFont="1" applyFill="1" applyAlignment="1">
      <alignment horizontal="center" vertical="center"/>
    </xf>
    <xf numFmtId="17" fontId="14" fillId="7" borderId="0" xfId="1" applyNumberFormat="1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8" fontId="9" fillId="0" borderId="0" xfId="0" applyNumberFormat="1" applyFont="1"/>
    <xf numFmtId="15" fontId="9" fillId="0" borderId="5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8" fontId="9" fillId="0" borderId="5" xfId="0" applyNumberFormat="1" applyFont="1" applyBorder="1" applyAlignment="1">
      <alignment horizontal="right" vertical="center" wrapText="1"/>
    </xf>
    <xf numFmtId="4" fontId="9" fillId="9" borderId="5" xfId="0" applyNumberFormat="1" applyFont="1" applyFill="1" applyBorder="1" applyAlignment="1">
      <alignment horizontal="right" vertical="center" wrapText="1"/>
    </xf>
    <xf numFmtId="0" fontId="9" fillId="9" borderId="5" xfId="0" applyFont="1" applyFill="1" applyBorder="1" applyAlignment="1">
      <alignment vertical="center" wrapText="1"/>
    </xf>
    <xf numFmtId="0" fontId="8" fillId="6" borderId="5" xfId="0" applyFont="1" applyFill="1" applyBorder="1" applyAlignment="1">
      <alignment vertical="center" wrapText="1"/>
    </xf>
    <xf numFmtId="8" fontId="8" fillId="6" borderId="5" xfId="0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8" fillId="12" borderId="6" xfId="0" applyFont="1" applyFill="1" applyBorder="1" applyAlignment="1">
      <alignment horizontal="center" vertical="center" wrapText="1"/>
    </xf>
    <xf numFmtId="0" fontId="9" fillId="12" borderId="6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right" vertical="center" wrapText="1"/>
    </xf>
    <xf numFmtId="14" fontId="16" fillId="0" borderId="6" xfId="0" applyNumberFormat="1" applyFont="1" applyBorder="1" applyAlignment="1">
      <alignment horizontal="right" vertical="center" wrapText="1"/>
    </xf>
    <xf numFmtId="0" fontId="16" fillId="0" borderId="6" xfId="0" applyFont="1" applyBorder="1" applyAlignment="1">
      <alignment vertical="center" wrapText="1"/>
    </xf>
    <xf numFmtId="4" fontId="16" fillId="0" borderId="6" xfId="0" applyNumberFormat="1" applyFont="1" applyBorder="1" applyAlignment="1">
      <alignment horizontal="right" vertical="center" wrapText="1"/>
    </xf>
    <xf numFmtId="9" fontId="16" fillId="0" borderId="6" xfId="0" applyNumberFormat="1" applyFont="1" applyBorder="1" applyAlignment="1">
      <alignment horizontal="right" vertical="center" wrapText="1"/>
    </xf>
    <xf numFmtId="4" fontId="16" fillId="10" borderId="6" xfId="0" applyNumberFormat="1" applyFont="1" applyFill="1" applyBorder="1" applyAlignment="1">
      <alignment horizontal="right" vertical="center" wrapText="1"/>
    </xf>
    <xf numFmtId="0" fontId="9" fillId="0" borderId="6" xfId="0" applyFont="1" applyBorder="1" applyAlignment="1">
      <alignment vertical="center" wrapText="1"/>
    </xf>
    <xf numFmtId="4" fontId="9" fillId="0" borderId="6" xfId="0" applyNumberFormat="1" applyFont="1" applyBorder="1" applyAlignment="1">
      <alignment horizontal="right" vertical="center" wrapText="1"/>
    </xf>
    <xf numFmtId="4" fontId="16" fillId="3" borderId="6" xfId="0" applyNumberFormat="1" applyFont="1" applyFill="1" applyBorder="1" applyAlignment="1">
      <alignment horizontal="right" vertical="center" wrapText="1"/>
    </xf>
    <xf numFmtId="0" fontId="15" fillId="0" borderId="6" xfId="0" applyFont="1" applyBorder="1" applyAlignment="1">
      <alignment vertical="center" wrapText="1"/>
    </xf>
    <xf numFmtId="10" fontId="9" fillId="0" borderId="6" xfId="0" applyNumberFormat="1" applyFont="1" applyBorder="1" applyAlignment="1">
      <alignment horizontal="right" vertical="center" wrapText="1"/>
    </xf>
    <xf numFmtId="0" fontId="16" fillId="3" borderId="6" xfId="0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right" vertical="center" wrapText="1"/>
    </xf>
    <xf numFmtId="14" fontId="9" fillId="0" borderId="6" xfId="0" applyNumberFormat="1" applyFont="1" applyBorder="1" applyAlignment="1">
      <alignment horizontal="right" vertical="center" wrapText="1"/>
    </xf>
    <xf numFmtId="9" fontId="9" fillId="0" borderId="6" xfId="0" applyNumberFormat="1" applyFont="1" applyBorder="1" applyAlignment="1">
      <alignment horizontal="right" vertical="center" wrapText="1"/>
    </xf>
    <xf numFmtId="0" fontId="17" fillId="11" borderId="6" xfId="0" applyFont="1" applyFill="1" applyBorder="1" applyAlignment="1">
      <alignment vertical="center" wrapText="1"/>
    </xf>
    <xf numFmtId="8" fontId="9" fillId="9" borderId="5" xfId="0" applyNumberFormat="1" applyFont="1" applyFill="1" applyBorder="1" applyAlignment="1">
      <alignment horizontal="right" vertical="center" wrapText="1"/>
    </xf>
    <xf numFmtId="0" fontId="18" fillId="0" borderId="5" xfId="0" applyFont="1" applyBorder="1" applyAlignment="1">
      <alignment vertical="center" wrapText="1"/>
    </xf>
    <xf numFmtId="15" fontId="8" fillId="3" borderId="5" xfId="0" applyNumberFormat="1" applyFont="1" applyFill="1" applyBorder="1" applyAlignment="1">
      <alignment horizontal="center" vertical="center" wrapText="1"/>
    </xf>
    <xf numFmtId="15" fontId="8" fillId="6" borderId="5" xfId="0" applyNumberFormat="1" applyFont="1" applyFill="1" applyBorder="1" applyAlignment="1">
      <alignment horizontal="center" vertical="center" wrapText="1"/>
    </xf>
    <xf numFmtId="10" fontId="16" fillId="0" borderId="6" xfId="0" applyNumberFormat="1" applyFont="1" applyBorder="1" applyAlignment="1">
      <alignment horizontal="right" vertical="center" wrapText="1"/>
    </xf>
    <xf numFmtId="0" fontId="8" fillId="11" borderId="6" xfId="0" applyFont="1" applyFill="1" applyBorder="1" applyAlignment="1">
      <alignment vertical="center" wrapText="1"/>
    </xf>
    <xf numFmtId="4" fontId="8" fillId="11" borderId="6" xfId="0" applyNumberFormat="1" applyFont="1" applyFill="1" applyBorder="1" applyAlignment="1">
      <alignment vertical="center" wrapText="1"/>
    </xf>
    <xf numFmtId="0" fontId="8" fillId="0" borderId="0" xfId="0" applyFont="1" applyAlignment="1">
      <alignment vertical="center"/>
    </xf>
  </cellXfs>
  <cellStyles count="6">
    <cellStyle name="Millares" xfId="1" builtinId="3"/>
    <cellStyle name="Millares 2" xfId="5" xr:uid="{6055B29B-3539-473A-AE1E-B53434AF2097}"/>
    <cellStyle name="Moneda 2" xfId="2" xr:uid="{2B19F461-3CE7-49C6-8833-F2A9B7C29E43}"/>
    <cellStyle name="Moneda 3" xfId="4" xr:uid="{D431B3F6-F0AC-4B22-A2EF-B5778D33F5AF}"/>
    <cellStyle name="Normal" xfId="0" builtinId="0"/>
    <cellStyle name="Porcentaje" xfId="3" builtinId="5"/>
  </cellStyles>
  <dxfs count="0"/>
  <tableStyles count="1" defaultTableStyle="TableStyleMedium2" defaultPivotStyle="PivotStyleLight16">
    <tableStyle name="Invisible" pivot="0" table="0" count="0" xr9:uid="{F4DB1592-7028-4E40-86B2-18A0E6CF15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517737</xdr:colOff>
      <xdr:row>0</xdr:row>
      <xdr:rowOff>19050</xdr:rowOff>
    </xdr:from>
    <xdr:to>
      <xdr:col>2</xdr:col>
      <xdr:colOff>246436</xdr:colOff>
      <xdr:row>0</xdr:row>
      <xdr:rowOff>811712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6BAEB90-3B90-43B5-9BC0-C8B8B6116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70000"/>
        </a:blip>
        <a:stretch>
          <a:fillRect/>
        </a:stretch>
      </xdr:blipFill>
      <xdr:spPr>
        <a:xfrm>
          <a:off x="4965912" y="19050"/>
          <a:ext cx="671674" cy="792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70940-2D71-456F-A991-0C16E51095FC}">
  <dimension ref="A1:E31"/>
  <sheetViews>
    <sheetView tabSelected="1" zoomScaleNormal="100" workbookViewId="0">
      <selection activeCell="B7" sqref="B7"/>
    </sheetView>
  </sheetViews>
  <sheetFormatPr baseColWidth="10" defaultRowHeight="15" x14ac:dyDescent="0.25"/>
  <cols>
    <col min="1" max="1" width="66.7109375" style="16" customWidth="1"/>
    <col min="2" max="2" width="14.140625" style="18" bestFit="1" customWidth="1"/>
    <col min="3" max="3" width="11.42578125" style="17"/>
    <col min="4" max="4" width="14.28515625" style="15" bestFit="1" customWidth="1"/>
    <col min="5" max="16384" width="11.42578125" style="16"/>
  </cols>
  <sheetData>
    <row r="1" spans="1:5" ht="66.75" customHeight="1" x14ac:dyDescent="0.25">
      <c r="A1" s="2" t="s">
        <v>164</v>
      </c>
      <c r="B1" s="11"/>
      <c r="C1" s="2"/>
    </row>
    <row r="2" spans="1:5" ht="20.25" x14ac:dyDescent="0.25">
      <c r="A2" s="44" t="s">
        <v>24</v>
      </c>
      <c r="B2" s="45">
        <v>45566</v>
      </c>
      <c r="C2" s="46" t="s">
        <v>148</v>
      </c>
    </row>
    <row r="3" spans="1:5" x14ac:dyDescent="0.25">
      <c r="A3" s="16" t="s">
        <v>25</v>
      </c>
      <c r="B3" s="18">
        <f>+'Ventas Oct´24'!G10</f>
        <v>20077000</v>
      </c>
      <c r="C3" s="19">
        <v>1</v>
      </c>
    </row>
    <row r="4" spans="1:5" x14ac:dyDescent="0.25">
      <c r="A4" s="16" t="s">
        <v>139</v>
      </c>
      <c r="B4" s="43">
        <f>+'Ventas Oct´24'!H10</f>
        <v>1576600</v>
      </c>
      <c r="C4" s="21">
        <f>(B4*C3)/B3</f>
        <v>7.8527668476365997E-2</v>
      </c>
    </row>
    <row r="5" spans="1:5" x14ac:dyDescent="0.25">
      <c r="A5" s="22" t="s">
        <v>26</v>
      </c>
      <c r="B5" s="20">
        <f>B3-B4</f>
        <v>18500400</v>
      </c>
      <c r="C5" s="19">
        <v>1</v>
      </c>
    </row>
    <row r="6" spans="1:5" x14ac:dyDescent="0.25">
      <c r="A6" s="23" t="s">
        <v>27</v>
      </c>
      <c r="B6" s="18">
        <f>+'Ventas Oct´24'!V10</f>
        <v>6789547.2450000001</v>
      </c>
      <c r="C6" s="21">
        <v>0.33</v>
      </c>
    </row>
    <row r="7" spans="1:5" x14ac:dyDescent="0.25">
      <c r="A7" s="23" t="s">
        <v>28</v>
      </c>
      <c r="B7" s="20">
        <f>B5-B6</f>
        <v>11710852.754999999</v>
      </c>
      <c r="C7" s="21">
        <f>(B7*C5)/B5</f>
        <v>0.63300538123500028</v>
      </c>
    </row>
    <row r="10" spans="1:5" s="29" customFormat="1" x14ac:dyDescent="0.25">
      <c r="A10" s="24" t="s">
        <v>142</v>
      </c>
      <c r="B10" s="38">
        <f>SUM(B11:B20)</f>
        <v>7955875.2799999993</v>
      </c>
      <c r="C10" s="26">
        <f>(B10*$C5)/$B5</f>
        <v>0.43003801431320399</v>
      </c>
      <c r="D10" s="27"/>
      <c r="E10" s="28"/>
    </row>
    <row r="11" spans="1:5" x14ac:dyDescent="0.25">
      <c r="A11" s="30" t="s">
        <v>17</v>
      </c>
      <c r="B11" s="31">
        <f>+Gastos!C5</f>
        <v>54116.27</v>
      </c>
      <c r="C11" s="21">
        <f>(B11*$C$5)/$B$5</f>
        <v>2.9251405375018916E-3</v>
      </c>
    </row>
    <row r="12" spans="1:5" x14ac:dyDescent="0.25">
      <c r="A12" s="30" t="s">
        <v>141</v>
      </c>
      <c r="B12" s="31">
        <v>0</v>
      </c>
      <c r="C12" s="21">
        <f>(B12*$C$5)/$B$5</f>
        <v>0</v>
      </c>
    </row>
    <row r="13" spans="1:5" x14ac:dyDescent="0.25">
      <c r="A13" s="30" t="s">
        <v>133</v>
      </c>
      <c r="B13" s="31">
        <v>0</v>
      </c>
      <c r="C13" s="21">
        <f t="shared" ref="C13:C17" si="0">(B13*$C$5)/$B$5</f>
        <v>0</v>
      </c>
    </row>
    <row r="14" spans="1:5" x14ac:dyDescent="0.25">
      <c r="A14" s="30" t="s">
        <v>163</v>
      </c>
      <c r="B14" s="31">
        <f>+Gastos!C8</f>
        <v>6385235.2799999993</v>
      </c>
      <c r="C14" s="21">
        <f t="shared" si="0"/>
        <v>0.34514039047804368</v>
      </c>
    </row>
    <row r="15" spans="1:5" x14ac:dyDescent="0.25">
      <c r="A15" s="30" t="s">
        <v>132</v>
      </c>
      <c r="B15" s="31">
        <f>+Gastos!C10</f>
        <v>39023</v>
      </c>
      <c r="C15" s="21">
        <f t="shared" si="0"/>
        <v>2.1093057447406542E-3</v>
      </c>
    </row>
    <row r="16" spans="1:5" x14ac:dyDescent="0.25">
      <c r="A16" s="30" t="s">
        <v>137</v>
      </c>
      <c r="B16" s="31">
        <f>+Gastos!C12</f>
        <v>164000</v>
      </c>
      <c r="C16" s="21">
        <f t="shared" si="0"/>
        <v>8.8646731962552169E-3</v>
      </c>
    </row>
    <row r="17" spans="1:3" x14ac:dyDescent="0.25">
      <c r="A17" s="30" t="s">
        <v>131</v>
      </c>
      <c r="B17" s="31">
        <f>+Gastos!C59</f>
        <v>546012.87000000011</v>
      </c>
      <c r="C17" s="21">
        <f t="shared" si="0"/>
        <v>2.9513571057923078E-2</v>
      </c>
    </row>
    <row r="18" spans="1:3" x14ac:dyDescent="0.25">
      <c r="A18" s="30" t="s">
        <v>161</v>
      </c>
      <c r="B18" s="31">
        <f>+Gastos!C75</f>
        <v>168057</v>
      </c>
      <c r="C18" s="21">
        <f t="shared" ref="C18:C20" si="1">(B18*$C$5)/$B$5</f>
        <v>9.0839657520918465E-3</v>
      </c>
    </row>
    <row r="19" spans="1:3" x14ac:dyDescent="0.25">
      <c r="A19" s="30" t="s">
        <v>147</v>
      </c>
      <c r="B19" s="31">
        <v>0</v>
      </c>
      <c r="C19" s="21">
        <f t="shared" si="1"/>
        <v>0</v>
      </c>
    </row>
    <row r="20" spans="1:3" x14ac:dyDescent="0.25">
      <c r="A20" s="30" t="s">
        <v>218</v>
      </c>
      <c r="B20" s="31">
        <f>+Gastos!C79</f>
        <v>599430.86</v>
      </c>
      <c r="C20" s="21">
        <f t="shared" si="1"/>
        <v>3.240096754664764E-2</v>
      </c>
    </row>
    <row r="22" spans="1:3" x14ac:dyDescent="0.25">
      <c r="A22" s="24" t="s">
        <v>143</v>
      </c>
      <c r="B22" s="38">
        <f>SUM(B23:B24)</f>
        <v>7014037.4700000007</v>
      </c>
      <c r="C22" s="26">
        <f>(B22*$C5)/$B5</f>
        <v>0.3791289631575534</v>
      </c>
    </row>
    <row r="23" spans="1:3" x14ac:dyDescent="0.25">
      <c r="A23" s="30" t="s">
        <v>130</v>
      </c>
      <c r="B23" s="31">
        <f>+Gastos!C71</f>
        <v>2955232.69</v>
      </c>
      <c r="C23" s="21">
        <f>(B23*$C$5)/$B$5</f>
        <v>0.15973885375451341</v>
      </c>
    </row>
    <row r="24" spans="1:3" x14ac:dyDescent="0.25">
      <c r="A24" s="30" t="s">
        <v>129</v>
      </c>
      <c r="B24" s="31">
        <f>+Gastos!C86</f>
        <v>4058804.7800000003</v>
      </c>
      <c r="C24" s="21">
        <f>(B24*$C$5)/$B$5</f>
        <v>0.21939010940303993</v>
      </c>
    </row>
    <row r="25" spans="1:3" x14ac:dyDescent="0.25">
      <c r="A25" s="30"/>
      <c r="C25" s="21"/>
    </row>
    <row r="26" spans="1:3" x14ac:dyDescent="0.25">
      <c r="A26" s="24" t="s">
        <v>144</v>
      </c>
      <c r="B26" s="25">
        <f>+B10+B22</f>
        <v>14969912.75</v>
      </c>
      <c r="C26" s="21"/>
    </row>
    <row r="27" spans="1:3" x14ac:dyDescent="0.25">
      <c r="A27" s="30"/>
      <c r="C27" s="21"/>
    </row>
    <row r="28" spans="1:3" x14ac:dyDescent="0.25">
      <c r="A28" s="32" t="s">
        <v>79</v>
      </c>
      <c r="B28" s="33">
        <f>B7-B10-B22</f>
        <v>-3259059.995000001</v>
      </c>
      <c r="C28" s="34">
        <f>(B28*C5)/B5</f>
        <v>-0.17616159623575711</v>
      </c>
    </row>
    <row r="31" spans="1:3" x14ac:dyDescent="0.25">
      <c r="A31" s="35" t="s">
        <v>140</v>
      </c>
      <c r="B31" s="36">
        <f>+Gastos!C91</f>
        <v>2410800</v>
      </c>
      <c r="C31" s="37"/>
    </row>
  </sheetData>
  <sortState xmlns:xlrd2="http://schemas.microsoft.com/office/spreadsheetml/2017/richdata2" ref="A11:A21">
    <sortCondition ref="A11:A21"/>
  </sortState>
  <conditionalFormatting sqref="C4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{6397F301-6E0A-4C63-9156-0ED55F88C46F}</x14:id>
        </ext>
      </extLst>
    </cfRule>
  </conditionalFormatting>
  <conditionalFormatting sqref="C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{B6E65CD6-6FD3-4A79-87B0-900DE5079DDD}</x14:id>
        </ext>
      </extLst>
    </cfRule>
  </conditionalFormatting>
  <conditionalFormatting sqref="C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{D401EFC2-9A04-4644-9A6E-8EEADD4051B3}</x14:id>
        </ext>
      </extLst>
    </cfRule>
  </conditionalFormatting>
  <conditionalFormatting sqref="C2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{CD91A6A2-A73A-4991-99F4-9614C8CA4B25}</x14:id>
        </ext>
      </extLst>
    </cfRule>
  </conditionalFormatting>
  <conditionalFormatting sqref="C23:C27 C11:C20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{92D1E6DA-572C-4746-A276-58750D0395FF}</x14:id>
        </ext>
      </extLst>
    </cfRule>
  </conditionalFormatting>
  <conditionalFormatting sqref="C2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{529CD9D6-5682-44D9-ABF4-5EDE95DEFAD7}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97F301-6E0A-4C63-9156-0ED55F88C4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</xm:sqref>
        </x14:conditionalFormatting>
        <x14:conditionalFormatting xmlns:xm="http://schemas.microsoft.com/office/excel/2006/main">
          <x14:cfRule type="dataBar" id="{B6E65CD6-6FD3-4A79-87B0-900DE5079D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  <x14:conditionalFormatting xmlns:xm="http://schemas.microsoft.com/office/excel/2006/main">
          <x14:cfRule type="dataBar" id="{D401EFC2-9A04-4644-9A6E-8EEADD405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C10</xm:sqref>
        </x14:conditionalFormatting>
        <x14:conditionalFormatting xmlns:xm="http://schemas.microsoft.com/office/excel/2006/main">
          <x14:cfRule type="dataBar" id="{CD91A6A2-A73A-4991-99F4-9614C8CA4B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C22</xm:sqref>
        </x14:conditionalFormatting>
        <x14:conditionalFormatting xmlns:xm="http://schemas.microsoft.com/office/excel/2006/main">
          <x14:cfRule type="dataBar" id="{92D1E6DA-572C-4746-A276-58750D039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C23:C27 C11:C20</xm:sqref>
        </x14:conditionalFormatting>
        <x14:conditionalFormatting xmlns:xm="http://schemas.microsoft.com/office/excel/2006/main">
          <x14:cfRule type="dataBar" id="{529CD9D6-5682-44D9-ABF4-5EDE95DEFA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FC09-67B1-4389-93ED-E9AE970AAC6E}">
  <dimension ref="A1:E95"/>
  <sheetViews>
    <sheetView zoomScale="90" zoomScaleNormal="90" workbookViewId="0">
      <selection activeCell="C1" sqref="C1:C1048576"/>
    </sheetView>
  </sheetViews>
  <sheetFormatPr baseColWidth="10" defaultRowHeight="12.75" x14ac:dyDescent="0.2"/>
  <cols>
    <col min="1" max="1" width="11.28515625" style="39" bestFit="1" customWidth="1"/>
    <col min="2" max="2" width="67.28515625" style="39" bestFit="1" customWidth="1"/>
    <col min="3" max="3" width="21.85546875" style="39" customWidth="1"/>
    <col min="4" max="4" width="27.42578125" style="39" bestFit="1" customWidth="1"/>
    <col min="5" max="5" width="34.28515625" style="39" bestFit="1" customWidth="1"/>
    <col min="6" max="16384" width="11.42578125" style="39"/>
  </cols>
  <sheetData>
    <row r="1" spans="1:5" ht="14.25" thickTop="1" thickBot="1" x14ac:dyDescent="0.25">
      <c r="A1" s="12" t="s">
        <v>134</v>
      </c>
      <c r="B1" s="13" t="s">
        <v>135</v>
      </c>
      <c r="C1" s="13" t="s">
        <v>136</v>
      </c>
      <c r="D1" s="13" t="s">
        <v>145</v>
      </c>
      <c r="E1" s="13" t="s">
        <v>146</v>
      </c>
    </row>
    <row r="2" spans="1:5" ht="14.25" thickTop="1" thickBot="1" x14ac:dyDescent="0.25">
      <c r="A2" s="48">
        <v>45581</v>
      </c>
      <c r="B2" s="52" t="s">
        <v>224</v>
      </c>
      <c r="C2" s="76">
        <v>3810</v>
      </c>
      <c r="D2" s="14" t="s">
        <v>138</v>
      </c>
      <c r="E2" s="14" t="s">
        <v>138</v>
      </c>
    </row>
    <row r="3" spans="1:5" ht="13.5" thickBot="1" x14ac:dyDescent="0.25">
      <c r="A3" s="48">
        <v>45594</v>
      </c>
      <c r="B3" s="14" t="s">
        <v>150</v>
      </c>
      <c r="C3" s="50">
        <v>6.27</v>
      </c>
      <c r="D3" s="14" t="s">
        <v>138</v>
      </c>
      <c r="E3" s="14" t="s">
        <v>138</v>
      </c>
    </row>
    <row r="4" spans="1:5" ht="13.5" thickBot="1" x14ac:dyDescent="0.25">
      <c r="A4" s="48">
        <v>45596</v>
      </c>
      <c r="B4" s="14" t="s">
        <v>159</v>
      </c>
      <c r="C4" s="50">
        <v>50300</v>
      </c>
      <c r="D4" s="14" t="s">
        <v>138</v>
      </c>
      <c r="E4" s="14" t="s">
        <v>138</v>
      </c>
    </row>
    <row r="5" spans="1:5" s="40" customFormat="1" ht="13.5" thickBot="1" x14ac:dyDescent="0.25">
      <c r="A5" s="78"/>
      <c r="B5" s="41" t="str">
        <f>+D4</f>
        <v>Comisiones Bancarias</v>
      </c>
      <c r="C5" s="42">
        <f>SUM(C2:C4)</f>
        <v>54116.27</v>
      </c>
      <c r="D5" s="41"/>
      <c r="E5" s="41"/>
    </row>
    <row r="6" spans="1:5" ht="13.5" thickBot="1" x14ac:dyDescent="0.25">
      <c r="A6" s="48">
        <v>45581</v>
      </c>
      <c r="B6" s="52" t="s">
        <v>150</v>
      </c>
      <c r="C6" s="76">
        <v>1032941.85</v>
      </c>
      <c r="D6" s="14" t="s">
        <v>162</v>
      </c>
      <c r="E6" s="14" t="s">
        <v>223</v>
      </c>
    </row>
    <row r="7" spans="1:5" ht="15.75" thickBot="1" x14ac:dyDescent="0.25">
      <c r="A7" s="48">
        <v>45588</v>
      </c>
      <c r="B7" s="52" t="s">
        <v>150</v>
      </c>
      <c r="C7" s="76">
        <v>5352293.43</v>
      </c>
      <c r="D7" s="14" t="s">
        <v>162</v>
      </c>
      <c r="E7" s="49"/>
    </row>
    <row r="8" spans="1:5" s="40" customFormat="1" ht="13.5" thickBot="1" x14ac:dyDescent="0.25">
      <c r="A8" s="78"/>
      <c r="B8" s="41" t="str">
        <f>+D6</f>
        <v>Estafa</v>
      </c>
      <c r="C8" s="42">
        <f>SUM(C6:C7)</f>
        <v>6385235.2799999993</v>
      </c>
      <c r="D8" s="41"/>
      <c r="E8" s="41"/>
    </row>
    <row r="9" spans="1:5" ht="13.5" thickBot="1" x14ac:dyDescent="0.25">
      <c r="A9" s="48">
        <v>45588</v>
      </c>
      <c r="B9" s="52" t="s">
        <v>151</v>
      </c>
      <c r="C9" s="76">
        <v>39023</v>
      </c>
      <c r="D9" s="14" t="s">
        <v>233</v>
      </c>
      <c r="E9" s="14" t="s">
        <v>234</v>
      </c>
    </row>
    <row r="10" spans="1:5" s="40" customFormat="1" ht="13.5" thickBot="1" x14ac:dyDescent="0.25">
      <c r="A10" s="78"/>
      <c r="B10" s="41" t="str">
        <f>+D9</f>
        <v>Extraordinarios</v>
      </c>
      <c r="C10" s="42">
        <f>+C9</f>
        <v>39023</v>
      </c>
      <c r="D10" s="41"/>
      <c r="E10" s="41"/>
    </row>
    <row r="11" spans="1:5" ht="13.5" thickBot="1" x14ac:dyDescent="0.25">
      <c r="A11" s="48">
        <v>45582</v>
      </c>
      <c r="B11" s="14" t="s">
        <v>225</v>
      </c>
      <c r="C11" s="76">
        <v>164000</v>
      </c>
      <c r="D11" s="14" t="s">
        <v>226</v>
      </c>
      <c r="E11" s="14" t="s">
        <v>226</v>
      </c>
    </row>
    <row r="12" spans="1:5" s="40" customFormat="1" ht="13.5" thickBot="1" x14ac:dyDescent="0.25">
      <c r="A12" s="78"/>
      <c r="B12" s="41" t="str">
        <f>+D11</f>
        <v>Flete</v>
      </c>
      <c r="C12" s="42">
        <f>+C11</f>
        <v>164000</v>
      </c>
      <c r="D12" s="41"/>
      <c r="E12" s="41"/>
    </row>
    <row r="13" spans="1:5" ht="13.5" thickBot="1" x14ac:dyDescent="0.25">
      <c r="A13" s="48">
        <v>45566</v>
      </c>
      <c r="B13" s="14" t="s">
        <v>149</v>
      </c>
      <c r="C13" s="50">
        <v>9.0500000000000007</v>
      </c>
      <c r="D13" s="14" t="s">
        <v>122</v>
      </c>
      <c r="E13" s="14" t="s">
        <v>123</v>
      </c>
    </row>
    <row r="14" spans="1:5" ht="13.5" thickBot="1" x14ac:dyDescent="0.25">
      <c r="A14" s="48">
        <v>45566</v>
      </c>
      <c r="B14" s="14" t="s">
        <v>149</v>
      </c>
      <c r="C14" s="50">
        <v>9.0500000000000007</v>
      </c>
      <c r="D14" s="14" t="s">
        <v>122</v>
      </c>
      <c r="E14" s="14" t="s">
        <v>123</v>
      </c>
    </row>
    <row r="15" spans="1:5" ht="13.5" thickBot="1" x14ac:dyDescent="0.25">
      <c r="A15" s="48">
        <v>45566</v>
      </c>
      <c r="B15" s="14" t="s">
        <v>149</v>
      </c>
      <c r="C15" s="50">
        <v>63.38</v>
      </c>
      <c r="D15" s="14" t="s">
        <v>122</v>
      </c>
      <c r="E15" s="14" t="s">
        <v>123</v>
      </c>
    </row>
    <row r="16" spans="1:5" ht="13.5" thickBot="1" x14ac:dyDescent="0.25">
      <c r="A16" s="48">
        <v>45566</v>
      </c>
      <c r="B16" s="14" t="s">
        <v>149</v>
      </c>
      <c r="C16" s="50">
        <v>300</v>
      </c>
      <c r="D16" s="14" t="s">
        <v>122</v>
      </c>
      <c r="E16" s="14" t="s">
        <v>123</v>
      </c>
    </row>
    <row r="17" spans="1:5" ht="13.5" thickBot="1" x14ac:dyDescent="0.25">
      <c r="A17" s="48">
        <v>45566</v>
      </c>
      <c r="B17" s="14" t="s">
        <v>149</v>
      </c>
      <c r="C17" s="50">
        <v>301.8</v>
      </c>
      <c r="D17" s="14" t="s">
        <v>122</v>
      </c>
      <c r="E17" s="14" t="s">
        <v>123</v>
      </c>
    </row>
    <row r="18" spans="1:5" ht="13.5" thickBot="1" x14ac:dyDescent="0.25">
      <c r="A18" s="48">
        <v>45566</v>
      </c>
      <c r="B18" s="14" t="s">
        <v>149</v>
      </c>
      <c r="C18" s="50">
        <v>6415.76</v>
      </c>
      <c r="D18" s="14" t="s">
        <v>122</v>
      </c>
      <c r="E18" s="14" t="s">
        <v>123</v>
      </c>
    </row>
    <row r="19" spans="1:5" ht="13.5" thickBot="1" x14ac:dyDescent="0.25">
      <c r="A19" s="48">
        <v>45567</v>
      </c>
      <c r="B19" s="14" t="s">
        <v>149</v>
      </c>
      <c r="C19" s="76">
        <v>191.24</v>
      </c>
      <c r="D19" s="14" t="s">
        <v>122</v>
      </c>
      <c r="E19" s="14" t="s">
        <v>123</v>
      </c>
    </row>
    <row r="20" spans="1:5" ht="13.5" thickBot="1" x14ac:dyDescent="0.25">
      <c r="A20" s="48">
        <v>45569</v>
      </c>
      <c r="B20" s="14" t="s">
        <v>149</v>
      </c>
      <c r="C20" s="50">
        <v>140.99</v>
      </c>
      <c r="D20" s="14" t="s">
        <v>122</v>
      </c>
      <c r="E20" s="14" t="s">
        <v>123</v>
      </c>
    </row>
    <row r="21" spans="1:5" ht="13.5" thickBot="1" x14ac:dyDescent="0.25">
      <c r="A21" s="48">
        <v>45569</v>
      </c>
      <c r="B21" s="14" t="s">
        <v>149</v>
      </c>
      <c r="C21" s="50">
        <v>2117.02</v>
      </c>
      <c r="D21" s="14" t="s">
        <v>122</v>
      </c>
      <c r="E21" s="14" t="s">
        <v>123</v>
      </c>
    </row>
    <row r="22" spans="1:5" ht="13.5" thickBot="1" x14ac:dyDescent="0.25">
      <c r="A22" s="48">
        <v>45572</v>
      </c>
      <c r="B22" s="14" t="s">
        <v>149</v>
      </c>
      <c r="C22" s="50">
        <v>660.6</v>
      </c>
      <c r="D22" s="14" t="s">
        <v>122</v>
      </c>
      <c r="E22" s="14" t="s">
        <v>123</v>
      </c>
    </row>
    <row r="23" spans="1:5" ht="13.5" thickBot="1" x14ac:dyDescent="0.25">
      <c r="A23" s="48">
        <v>45572</v>
      </c>
      <c r="B23" s="14" t="s">
        <v>149</v>
      </c>
      <c r="C23" s="76">
        <v>12000</v>
      </c>
      <c r="D23" s="14" t="s">
        <v>122</v>
      </c>
      <c r="E23" s="14" t="s">
        <v>123</v>
      </c>
    </row>
    <row r="24" spans="1:5" ht="13.5" thickBot="1" x14ac:dyDescent="0.25">
      <c r="A24" s="48">
        <v>45572</v>
      </c>
      <c r="B24" s="14" t="s">
        <v>149</v>
      </c>
      <c r="C24" s="76">
        <v>19275.82</v>
      </c>
      <c r="D24" s="14" t="s">
        <v>122</v>
      </c>
      <c r="E24" s="14" t="s">
        <v>123</v>
      </c>
    </row>
    <row r="25" spans="1:5" ht="13.5" thickBot="1" x14ac:dyDescent="0.25">
      <c r="A25" s="48">
        <v>45574</v>
      </c>
      <c r="B25" s="14" t="s">
        <v>149</v>
      </c>
      <c r="C25" s="76">
        <v>2550.44</v>
      </c>
      <c r="D25" s="14" t="s">
        <v>122</v>
      </c>
      <c r="E25" s="14" t="s">
        <v>123</v>
      </c>
    </row>
    <row r="26" spans="1:5" ht="13.5" thickBot="1" x14ac:dyDescent="0.25">
      <c r="A26" s="48">
        <v>45574</v>
      </c>
      <c r="B26" s="14" t="s">
        <v>149</v>
      </c>
      <c r="C26" s="76">
        <v>19150.66</v>
      </c>
      <c r="D26" s="14" t="s">
        <v>122</v>
      </c>
      <c r="E26" s="14" t="s">
        <v>123</v>
      </c>
    </row>
    <row r="27" spans="1:5" ht="13.5" thickBot="1" x14ac:dyDescent="0.25">
      <c r="A27" s="48">
        <v>45575</v>
      </c>
      <c r="B27" s="14" t="s">
        <v>149</v>
      </c>
      <c r="C27" s="76">
        <v>492.23</v>
      </c>
      <c r="D27" s="14" t="s">
        <v>122</v>
      </c>
      <c r="E27" s="14" t="s">
        <v>123</v>
      </c>
    </row>
    <row r="28" spans="1:5" ht="13.5" thickBot="1" x14ac:dyDescent="0.25">
      <c r="A28" s="48">
        <v>45575</v>
      </c>
      <c r="B28" s="14" t="s">
        <v>149</v>
      </c>
      <c r="C28" s="76">
        <v>960</v>
      </c>
      <c r="D28" s="14" t="s">
        <v>122</v>
      </c>
      <c r="E28" s="14" t="s">
        <v>123</v>
      </c>
    </row>
    <row r="29" spans="1:5" ht="13.5" thickBot="1" x14ac:dyDescent="0.25">
      <c r="A29" s="48">
        <v>45575</v>
      </c>
      <c r="B29" s="14" t="s">
        <v>149</v>
      </c>
      <c r="C29" s="76">
        <v>1360.2</v>
      </c>
      <c r="D29" s="14" t="s">
        <v>122</v>
      </c>
      <c r="E29" s="14" t="s">
        <v>123</v>
      </c>
    </row>
    <row r="30" spans="1:5" ht="13.5" thickBot="1" x14ac:dyDescent="0.25">
      <c r="A30" s="48">
        <v>45579</v>
      </c>
      <c r="B30" s="14" t="s">
        <v>149</v>
      </c>
      <c r="C30" s="76">
        <v>577.9</v>
      </c>
      <c r="D30" s="14" t="s">
        <v>122</v>
      </c>
      <c r="E30" s="14" t="s">
        <v>123</v>
      </c>
    </row>
    <row r="31" spans="1:5" ht="13.5" thickBot="1" x14ac:dyDescent="0.25">
      <c r="A31" s="48">
        <v>45580</v>
      </c>
      <c r="B31" s="14" t="s">
        <v>149</v>
      </c>
      <c r="C31" s="76">
        <v>1913.59</v>
      </c>
      <c r="D31" s="14" t="s">
        <v>122</v>
      </c>
      <c r="E31" s="14" t="s">
        <v>123</v>
      </c>
    </row>
    <row r="32" spans="1:5" ht="13.5" thickBot="1" x14ac:dyDescent="0.25">
      <c r="A32" s="48">
        <v>45581</v>
      </c>
      <c r="B32" s="14" t="s">
        <v>149</v>
      </c>
      <c r="C32" s="76">
        <v>10744.8</v>
      </c>
      <c r="D32" s="14" t="s">
        <v>122</v>
      </c>
      <c r="E32" s="14" t="s">
        <v>123</v>
      </c>
    </row>
    <row r="33" spans="1:5" ht="13.5" thickBot="1" x14ac:dyDescent="0.25">
      <c r="A33" s="48">
        <v>45582</v>
      </c>
      <c r="B33" s="14" t="s">
        <v>149</v>
      </c>
      <c r="C33" s="76">
        <v>22.86</v>
      </c>
      <c r="D33" s="14" t="s">
        <v>122</v>
      </c>
      <c r="E33" s="14" t="s">
        <v>123</v>
      </c>
    </row>
    <row r="34" spans="1:5" ht="13.5" thickBot="1" x14ac:dyDescent="0.25">
      <c r="A34" s="48">
        <v>45582</v>
      </c>
      <c r="B34" s="14" t="s">
        <v>149</v>
      </c>
      <c r="C34" s="76">
        <v>3088.23</v>
      </c>
      <c r="D34" s="14" t="s">
        <v>122</v>
      </c>
      <c r="E34" s="14" t="s">
        <v>123</v>
      </c>
    </row>
    <row r="35" spans="1:5" ht="13.5" thickBot="1" x14ac:dyDescent="0.25">
      <c r="A35" s="48">
        <v>45582</v>
      </c>
      <c r="B35" s="14" t="s">
        <v>149</v>
      </c>
      <c r="C35" s="76">
        <v>6197.65</v>
      </c>
      <c r="D35" s="14" t="s">
        <v>122</v>
      </c>
      <c r="E35" s="14" t="s">
        <v>123</v>
      </c>
    </row>
    <row r="36" spans="1:5" ht="13.5" thickBot="1" x14ac:dyDescent="0.25">
      <c r="A36" s="48">
        <v>45582</v>
      </c>
      <c r="B36" s="14" t="s">
        <v>149</v>
      </c>
      <c r="C36" s="76">
        <v>7038.95</v>
      </c>
      <c r="D36" s="14" t="s">
        <v>122</v>
      </c>
      <c r="E36" s="14" t="s">
        <v>123</v>
      </c>
    </row>
    <row r="37" spans="1:5" ht="13.5" thickBot="1" x14ac:dyDescent="0.25">
      <c r="A37" s="48">
        <v>45583</v>
      </c>
      <c r="B37" s="14" t="s">
        <v>149</v>
      </c>
      <c r="C37" s="76">
        <v>984</v>
      </c>
      <c r="D37" s="14" t="s">
        <v>122</v>
      </c>
      <c r="E37" s="14" t="s">
        <v>123</v>
      </c>
    </row>
    <row r="38" spans="1:5" ht="13.5" thickBot="1" x14ac:dyDescent="0.25">
      <c r="A38" s="48">
        <v>45583</v>
      </c>
      <c r="B38" s="14" t="s">
        <v>149</v>
      </c>
      <c r="C38" s="76">
        <v>1393.35</v>
      </c>
      <c r="D38" s="14" t="s">
        <v>122</v>
      </c>
      <c r="E38" s="14" t="s">
        <v>123</v>
      </c>
    </row>
    <row r="39" spans="1:5" ht="13.5" thickBot="1" x14ac:dyDescent="0.25">
      <c r="A39" s="48">
        <v>45583</v>
      </c>
      <c r="B39" s="14" t="s">
        <v>149</v>
      </c>
      <c r="C39" s="76">
        <v>15334.94</v>
      </c>
      <c r="D39" s="14" t="s">
        <v>122</v>
      </c>
      <c r="E39" s="14" t="s">
        <v>123</v>
      </c>
    </row>
    <row r="40" spans="1:5" ht="13.5" thickBot="1" x14ac:dyDescent="0.25">
      <c r="A40" s="48">
        <v>45583</v>
      </c>
      <c r="B40" s="14" t="s">
        <v>149</v>
      </c>
      <c r="C40" s="76">
        <v>16800</v>
      </c>
      <c r="D40" s="14" t="s">
        <v>122</v>
      </c>
      <c r="E40" s="14" t="s">
        <v>123</v>
      </c>
    </row>
    <row r="41" spans="1:5" ht="13.5" thickBot="1" x14ac:dyDescent="0.25">
      <c r="A41" s="48">
        <v>45586</v>
      </c>
      <c r="B41" s="14" t="s">
        <v>149</v>
      </c>
      <c r="C41" s="76">
        <v>246.11</v>
      </c>
      <c r="D41" s="14" t="s">
        <v>122</v>
      </c>
      <c r="E41" s="14" t="s">
        <v>123</v>
      </c>
    </row>
    <row r="42" spans="1:5" ht="13.5" thickBot="1" x14ac:dyDescent="0.25">
      <c r="A42" s="48">
        <v>45586</v>
      </c>
      <c r="B42" s="14" t="s">
        <v>149</v>
      </c>
      <c r="C42" s="76">
        <v>660.66</v>
      </c>
      <c r="D42" s="14" t="s">
        <v>122</v>
      </c>
      <c r="E42" s="14" t="s">
        <v>123</v>
      </c>
    </row>
    <row r="43" spans="1:5" ht="13.5" thickBot="1" x14ac:dyDescent="0.25">
      <c r="A43" s="48">
        <v>45586</v>
      </c>
      <c r="B43" s="52" t="s">
        <v>228</v>
      </c>
      <c r="C43" s="76">
        <v>343400</v>
      </c>
      <c r="D43" s="14" t="s">
        <v>122</v>
      </c>
      <c r="E43" s="14" t="s">
        <v>155</v>
      </c>
    </row>
    <row r="44" spans="1:5" ht="13.5" thickBot="1" x14ac:dyDescent="0.25">
      <c r="A44" s="48">
        <v>45587</v>
      </c>
      <c r="B44" s="14" t="s">
        <v>149</v>
      </c>
      <c r="C44" s="76">
        <v>17.43</v>
      </c>
      <c r="D44" s="14" t="s">
        <v>122</v>
      </c>
      <c r="E44" s="14" t="s">
        <v>123</v>
      </c>
    </row>
    <row r="45" spans="1:5" ht="13.5" thickBot="1" x14ac:dyDescent="0.25">
      <c r="A45" s="48">
        <v>45587</v>
      </c>
      <c r="B45" s="14" t="s">
        <v>149</v>
      </c>
      <c r="C45" s="76">
        <v>1426.05</v>
      </c>
      <c r="D45" s="14" t="s">
        <v>122</v>
      </c>
      <c r="E45" s="14" t="s">
        <v>123</v>
      </c>
    </row>
    <row r="46" spans="1:5" ht="13.5" thickBot="1" x14ac:dyDescent="0.25">
      <c r="A46" s="48">
        <v>45587</v>
      </c>
      <c r="B46" s="14" t="s">
        <v>149</v>
      </c>
      <c r="C46" s="76">
        <v>1678.79</v>
      </c>
      <c r="D46" s="14" t="s">
        <v>122</v>
      </c>
      <c r="E46" s="14" t="s">
        <v>123</v>
      </c>
    </row>
    <row r="47" spans="1:5" ht="13.5" thickBot="1" x14ac:dyDescent="0.25">
      <c r="A47" s="48">
        <v>45587</v>
      </c>
      <c r="B47" s="14" t="s">
        <v>149</v>
      </c>
      <c r="C47" s="76">
        <v>2060.4</v>
      </c>
      <c r="D47" s="14" t="s">
        <v>122</v>
      </c>
      <c r="E47" s="14" t="s">
        <v>123</v>
      </c>
    </row>
    <row r="48" spans="1:5" ht="13.5" thickBot="1" x14ac:dyDescent="0.25">
      <c r="A48" s="48">
        <v>45587</v>
      </c>
      <c r="B48" s="14" t="s">
        <v>149</v>
      </c>
      <c r="C48" s="76">
        <v>2100</v>
      </c>
      <c r="D48" s="14" t="s">
        <v>122</v>
      </c>
      <c r="E48" s="14" t="s">
        <v>123</v>
      </c>
    </row>
    <row r="49" spans="1:5" ht="13.5" thickBot="1" x14ac:dyDescent="0.25">
      <c r="A49" s="48">
        <v>45587</v>
      </c>
      <c r="B49" s="14" t="s">
        <v>149</v>
      </c>
      <c r="C49" s="76">
        <v>13956.45</v>
      </c>
      <c r="D49" s="14" t="s">
        <v>122</v>
      </c>
      <c r="E49" s="14" t="s">
        <v>123</v>
      </c>
    </row>
    <row r="50" spans="1:5" ht="13.5" thickBot="1" x14ac:dyDescent="0.25">
      <c r="A50" s="48">
        <v>45588</v>
      </c>
      <c r="B50" s="14" t="s">
        <v>149</v>
      </c>
      <c r="C50" s="76">
        <v>3720</v>
      </c>
      <c r="D50" s="14" t="s">
        <v>122</v>
      </c>
      <c r="E50" s="14" t="s">
        <v>123</v>
      </c>
    </row>
    <row r="51" spans="1:5" ht="13.5" thickBot="1" x14ac:dyDescent="0.25">
      <c r="A51" s="48">
        <v>45589</v>
      </c>
      <c r="B51" s="14" t="s">
        <v>149</v>
      </c>
      <c r="C51" s="76">
        <v>234.14</v>
      </c>
      <c r="D51" s="14" t="s">
        <v>122</v>
      </c>
      <c r="E51" s="14" t="s">
        <v>123</v>
      </c>
    </row>
    <row r="52" spans="1:5" ht="13.5" thickBot="1" x14ac:dyDescent="0.25">
      <c r="A52" s="48">
        <v>45589</v>
      </c>
      <c r="B52" s="14" t="s">
        <v>149</v>
      </c>
      <c r="C52" s="76">
        <v>32113.759999999998</v>
      </c>
      <c r="D52" s="14" t="s">
        <v>122</v>
      </c>
      <c r="E52" s="14" t="s">
        <v>123</v>
      </c>
    </row>
    <row r="53" spans="1:5" ht="13.5" thickBot="1" x14ac:dyDescent="0.25">
      <c r="A53" s="48">
        <v>45593</v>
      </c>
      <c r="B53" s="14" t="s">
        <v>149</v>
      </c>
      <c r="C53" s="50">
        <v>723</v>
      </c>
      <c r="D53" s="14" t="s">
        <v>122</v>
      </c>
      <c r="E53" s="14" t="s">
        <v>123</v>
      </c>
    </row>
    <row r="54" spans="1:5" ht="13.5" thickBot="1" x14ac:dyDescent="0.25">
      <c r="A54" s="48">
        <v>45595</v>
      </c>
      <c r="B54" s="14" t="s">
        <v>149</v>
      </c>
      <c r="C54" s="50">
        <v>0.04</v>
      </c>
      <c r="D54" s="14" t="s">
        <v>122</v>
      </c>
      <c r="E54" s="14" t="s">
        <v>123</v>
      </c>
    </row>
    <row r="55" spans="1:5" ht="13.5" thickBot="1" x14ac:dyDescent="0.25">
      <c r="A55" s="48">
        <v>45595</v>
      </c>
      <c r="B55" s="14" t="s">
        <v>149</v>
      </c>
      <c r="C55" s="50">
        <v>0.53</v>
      </c>
      <c r="D55" s="14" t="s">
        <v>122</v>
      </c>
      <c r="E55" s="14" t="s">
        <v>123</v>
      </c>
    </row>
    <row r="56" spans="1:5" ht="13.5" thickBot="1" x14ac:dyDescent="0.25">
      <c r="A56" s="48">
        <v>45596</v>
      </c>
      <c r="B56" s="14" t="s">
        <v>119</v>
      </c>
      <c r="C56" s="50">
        <v>10563</v>
      </c>
      <c r="D56" s="14" t="s">
        <v>122</v>
      </c>
      <c r="E56" s="14" t="s">
        <v>119</v>
      </c>
    </row>
    <row r="57" spans="1:5" ht="13.5" thickBot="1" x14ac:dyDescent="0.25">
      <c r="A57" s="48">
        <v>45596</v>
      </c>
      <c r="B57" s="14" t="s">
        <v>160</v>
      </c>
      <c r="C57" s="50">
        <v>1509</v>
      </c>
      <c r="D57" s="14" t="s">
        <v>122</v>
      </c>
      <c r="E57" s="14" t="s">
        <v>236</v>
      </c>
    </row>
    <row r="58" spans="1:5" ht="13.5" thickBot="1" x14ac:dyDescent="0.25">
      <c r="A58" s="48">
        <v>45596</v>
      </c>
      <c r="B58" s="14" t="s">
        <v>237</v>
      </c>
      <c r="C58" s="50">
        <v>1509</v>
      </c>
      <c r="D58" s="14" t="s">
        <v>122</v>
      </c>
      <c r="E58" s="14" t="s">
        <v>238</v>
      </c>
    </row>
    <row r="59" spans="1:5" s="40" customFormat="1" ht="13.5" thickBot="1" x14ac:dyDescent="0.25">
      <c r="A59" s="78"/>
      <c r="B59" s="41" t="str">
        <f>+D58</f>
        <v>Impuestos</v>
      </c>
      <c r="C59" s="42">
        <f>SUM(C13:C58)</f>
        <v>546012.87000000011</v>
      </c>
      <c r="D59" s="41"/>
      <c r="E59" s="41"/>
    </row>
    <row r="60" spans="1:5" ht="13.5" thickBot="1" x14ac:dyDescent="0.25">
      <c r="A60" s="48">
        <v>45566</v>
      </c>
      <c r="B60" s="52" t="s">
        <v>214</v>
      </c>
      <c r="C60" s="76">
        <v>31872.959999999999</v>
      </c>
      <c r="D60" s="14" t="s">
        <v>120</v>
      </c>
      <c r="E60" s="14" t="s">
        <v>215</v>
      </c>
    </row>
    <row r="61" spans="1:5" ht="13.5" thickBot="1" x14ac:dyDescent="0.25">
      <c r="A61" s="48">
        <v>45568</v>
      </c>
      <c r="B61" s="14" t="s">
        <v>152</v>
      </c>
      <c r="C61" s="50">
        <v>23498.19</v>
      </c>
      <c r="D61" s="14" t="s">
        <v>120</v>
      </c>
      <c r="E61" s="14" t="s">
        <v>216</v>
      </c>
    </row>
    <row r="62" spans="1:5" ht="13.5" thickBot="1" x14ac:dyDescent="0.25">
      <c r="A62" s="48">
        <v>45574</v>
      </c>
      <c r="B62" s="52" t="s">
        <v>151</v>
      </c>
      <c r="C62" s="76">
        <v>226700</v>
      </c>
      <c r="D62" s="14" t="s">
        <v>120</v>
      </c>
      <c r="E62" s="52" t="s">
        <v>219</v>
      </c>
    </row>
    <row r="63" spans="1:5" ht="13.5" thickBot="1" x14ac:dyDescent="0.25">
      <c r="A63" s="48">
        <v>45575</v>
      </c>
      <c r="B63" s="52" t="s">
        <v>220</v>
      </c>
      <c r="C63" s="76">
        <v>96316</v>
      </c>
      <c r="D63" s="14" t="s">
        <v>120</v>
      </c>
      <c r="E63" s="14" t="s">
        <v>221</v>
      </c>
    </row>
    <row r="64" spans="1:5" ht="13.5" thickBot="1" x14ac:dyDescent="0.25">
      <c r="A64" s="48">
        <v>45586</v>
      </c>
      <c r="B64" s="52" t="s">
        <v>229</v>
      </c>
      <c r="C64" s="76">
        <v>279797.53999999998</v>
      </c>
      <c r="D64" s="14" t="s">
        <v>120</v>
      </c>
      <c r="E64" s="14" t="s">
        <v>230</v>
      </c>
    </row>
    <row r="65" spans="1:5" ht="13.5" thickBot="1" x14ac:dyDescent="0.25">
      <c r="A65" s="48">
        <v>45586</v>
      </c>
      <c r="B65" s="52" t="s">
        <v>151</v>
      </c>
      <c r="C65" s="76">
        <v>350000</v>
      </c>
      <c r="D65" s="14" t="s">
        <v>120</v>
      </c>
      <c r="E65" s="14" t="s">
        <v>231</v>
      </c>
    </row>
    <row r="66" spans="1:5" ht="13.5" thickBot="1" x14ac:dyDescent="0.25">
      <c r="A66" s="48"/>
      <c r="B66" s="14" t="s">
        <v>241</v>
      </c>
      <c r="C66" s="50">
        <v>800000</v>
      </c>
      <c r="D66" s="14" t="s">
        <v>120</v>
      </c>
      <c r="E66" s="14" t="s">
        <v>153</v>
      </c>
    </row>
    <row r="67" spans="1:5" ht="13.5" thickBot="1" x14ac:dyDescent="0.25">
      <c r="A67" s="48">
        <v>45952</v>
      </c>
      <c r="B67" s="14" t="s">
        <v>242</v>
      </c>
      <c r="C67" s="50">
        <v>50048</v>
      </c>
      <c r="D67" s="14" t="s">
        <v>120</v>
      </c>
      <c r="E67" s="14" t="s">
        <v>243</v>
      </c>
    </row>
    <row r="68" spans="1:5" ht="13.5" thickBot="1" x14ac:dyDescent="0.25">
      <c r="A68" s="48">
        <v>45953</v>
      </c>
      <c r="B68" s="14" t="s">
        <v>244</v>
      </c>
      <c r="C68" s="50">
        <v>105000</v>
      </c>
      <c r="D68" s="14" t="s">
        <v>120</v>
      </c>
      <c r="E68" s="14" t="s">
        <v>245</v>
      </c>
    </row>
    <row r="69" spans="1:5" ht="13.5" thickBot="1" x14ac:dyDescent="0.25">
      <c r="A69" s="48">
        <v>45960</v>
      </c>
      <c r="B69" s="14" t="s">
        <v>248</v>
      </c>
      <c r="C69" s="50">
        <v>100000</v>
      </c>
      <c r="D69" s="14" t="s">
        <v>120</v>
      </c>
      <c r="E69" s="14" t="s">
        <v>249</v>
      </c>
    </row>
    <row r="70" spans="1:5" ht="13.5" thickBot="1" x14ac:dyDescent="0.25">
      <c r="A70" s="48">
        <v>45961</v>
      </c>
      <c r="B70" s="14" t="s">
        <v>250</v>
      </c>
      <c r="C70" s="50">
        <v>892000</v>
      </c>
      <c r="D70" s="14" t="s">
        <v>120</v>
      </c>
      <c r="E70" s="14" t="s">
        <v>249</v>
      </c>
    </row>
    <row r="71" spans="1:5" s="40" customFormat="1" ht="13.5" thickBot="1" x14ac:dyDescent="0.25">
      <c r="A71" s="78"/>
      <c r="B71" s="41" t="str">
        <f>+D70</f>
        <v>Local</v>
      </c>
      <c r="C71" s="42">
        <f>SUM(C60:C70)</f>
        <v>2955232.69</v>
      </c>
      <c r="D71" s="41"/>
      <c r="E71" s="41"/>
    </row>
    <row r="72" spans="1:5" ht="13.5" thickBot="1" x14ac:dyDescent="0.25">
      <c r="A72" s="48">
        <v>45574</v>
      </c>
      <c r="B72" s="52" t="s">
        <v>151</v>
      </c>
      <c r="C72" s="51">
        <v>82038</v>
      </c>
      <c r="D72" s="77" t="s">
        <v>157</v>
      </c>
      <c r="E72" s="14" t="s">
        <v>217</v>
      </c>
    </row>
    <row r="73" spans="1:5" ht="13.5" thickBot="1" x14ac:dyDescent="0.25">
      <c r="A73" s="48">
        <v>45583</v>
      </c>
      <c r="B73" s="52" t="s">
        <v>151</v>
      </c>
      <c r="C73" s="50">
        <v>41019</v>
      </c>
      <c r="D73" s="77" t="s">
        <v>157</v>
      </c>
      <c r="E73" s="14" t="s">
        <v>217</v>
      </c>
    </row>
    <row r="74" spans="1:5" ht="13.5" thickBot="1" x14ac:dyDescent="0.25">
      <c r="A74" s="48"/>
      <c r="B74" s="14" t="s">
        <v>239</v>
      </c>
      <c r="C74" s="50">
        <v>45000</v>
      </c>
      <c r="D74" s="77" t="s">
        <v>157</v>
      </c>
      <c r="E74" s="14" t="s">
        <v>240</v>
      </c>
    </row>
    <row r="75" spans="1:5" s="40" customFormat="1" ht="13.5" thickBot="1" x14ac:dyDescent="0.25">
      <c r="A75" s="78"/>
      <c r="B75" s="41" t="str">
        <f>+D74</f>
        <v>Marketing</v>
      </c>
      <c r="C75" s="42">
        <f>SUM(C72:C74)</f>
        <v>168057</v>
      </c>
      <c r="D75" s="41"/>
      <c r="E75" s="41"/>
    </row>
    <row r="76" spans="1:5" ht="15.75" thickBot="1" x14ac:dyDescent="0.25">
      <c r="A76" s="48">
        <v>45574</v>
      </c>
      <c r="B76" s="52" t="s">
        <v>151</v>
      </c>
      <c r="C76" s="76">
        <v>160000</v>
      </c>
      <c r="D76" s="14" t="s">
        <v>218</v>
      </c>
      <c r="E76" s="49"/>
    </row>
    <row r="77" spans="1:5" ht="15.75" thickBot="1" x14ac:dyDescent="0.25">
      <c r="A77" s="48">
        <v>45579</v>
      </c>
      <c r="B77" s="52" t="s">
        <v>152</v>
      </c>
      <c r="C77" s="76">
        <v>318930.86</v>
      </c>
      <c r="D77" s="14" t="s">
        <v>218</v>
      </c>
      <c r="E77" s="49"/>
    </row>
    <row r="78" spans="1:5" ht="15.75" thickBot="1" x14ac:dyDescent="0.25">
      <c r="A78" s="48">
        <v>45590</v>
      </c>
      <c r="B78" s="14" t="s">
        <v>235</v>
      </c>
      <c r="C78" s="50">
        <v>120500</v>
      </c>
      <c r="D78" s="14" t="s">
        <v>218</v>
      </c>
      <c r="E78" s="49"/>
    </row>
    <row r="79" spans="1:5" s="40" customFormat="1" ht="13.5" thickBot="1" x14ac:dyDescent="0.25">
      <c r="A79" s="78"/>
      <c r="B79" s="41" t="str">
        <f>+D78</f>
        <v>SIN IDENTIFICAR</v>
      </c>
      <c r="C79" s="42">
        <f>SUM(C76:C78)</f>
        <v>599430.86</v>
      </c>
      <c r="D79" s="41"/>
      <c r="E79" s="41"/>
    </row>
    <row r="80" spans="1:5" ht="13.5" thickBot="1" x14ac:dyDescent="0.25">
      <c r="A80" s="48">
        <v>45586</v>
      </c>
      <c r="B80" s="52" t="s">
        <v>227</v>
      </c>
      <c r="C80" s="76">
        <v>2904.73</v>
      </c>
      <c r="D80" s="14" t="s">
        <v>121</v>
      </c>
      <c r="E80" s="14" t="s">
        <v>154</v>
      </c>
    </row>
    <row r="81" spans="1:5" ht="13.5" thickBot="1" x14ac:dyDescent="0.25">
      <c r="A81" s="48">
        <v>45586</v>
      </c>
      <c r="B81" s="52" t="s">
        <v>228</v>
      </c>
      <c r="C81" s="76">
        <v>237675.05</v>
      </c>
      <c r="D81" s="14" t="s">
        <v>121</v>
      </c>
      <c r="E81" s="14" t="s">
        <v>156</v>
      </c>
    </row>
    <row r="82" spans="1:5" ht="13.5" thickBot="1" x14ac:dyDescent="0.25">
      <c r="A82" s="48">
        <v>45596</v>
      </c>
      <c r="B82" s="14" t="s">
        <v>252</v>
      </c>
      <c r="C82" s="47">
        <v>458225</v>
      </c>
      <c r="D82" s="14" t="s">
        <v>121</v>
      </c>
      <c r="E82" s="14" t="s">
        <v>121</v>
      </c>
    </row>
    <row r="83" spans="1:5" ht="13.5" thickBot="1" x14ac:dyDescent="0.25">
      <c r="A83" s="48">
        <v>45960</v>
      </c>
      <c r="B83" s="14" t="s">
        <v>246</v>
      </c>
      <c r="C83" s="50">
        <v>710000</v>
      </c>
      <c r="D83" s="14" t="s">
        <v>121</v>
      </c>
      <c r="E83" s="14" t="s">
        <v>247</v>
      </c>
    </row>
    <row r="84" spans="1:5" ht="13.5" thickBot="1" x14ac:dyDescent="0.25">
      <c r="A84" s="48">
        <v>45961</v>
      </c>
      <c r="B84" s="14" t="s">
        <v>251</v>
      </c>
      <c r="C84" s="50">
        <v>250000</v>
      </c>
      <c r="D84" s="14" t="s">
        <v>121</v>
      </c>
      <c r="E84" s="14" t="s">
        <v>121</v>
      </c>
    </row>
    <row r="85" spans="1:5" ht="13.5" thickBot="1" x14ac:dyDescent="0.25">
      <c r="A85" s="48"/>
      <c r="B85" s="14" t="s">
        <v>253</v>
      </c>
      <c r="C85" s="50">
        <v>2400000</v>
      </c>
      <c r="D85" s="14" t="s">
        <v>121</v>
      </c>
      <c r="E85" s="14" t="s">
        <v>121</v>
      </c>
    </row>
    <row r="86" spans="1:5" s="40" customFormat="1" ht="13.5" thickBot="1" x14ac:dyDescent="0.25">
      <c r="A86" s="78"/>
      <c r="B86" s="41" t="str">
        <f>+D84</f>
        <v>Sueldos</v>
      </c>
      <c r="C86" s="42">
        <f>SUM(C80:C85)</f>
        <v>4058804.7800000003</v>
      </c>
      <c r="D86" s="41"/>
      <c r="E86" s="41"/>
    </row>
    <row r="88" spans="1:5" ht="13.5" thickBot="1" x14ac:dyDescent="0.25"/>
    <row r="89" spans="1:5" ht="13.5" thickBot="1" x14ac:dyDescent="0.25">
      <c r="A89" s="48">
        <v>45580</v>
      </c>
      <c r="B89" s="52" t="s">
        <v>151</v>
      </c>
      <c r="C89" s="76">
        <v>1790800</v>
      </c>
      <c r="D89" s="52" t="s">
        <v>158</v>
      </c>
      <c r="E89" s="52" t="s">
        <v>222</v>
      </c>
    </row>
    <row r="90" spans="1:5" ht="13.5" thickBot="1" x14ac:dyDescent="0.25">
      <c r="A90" s="48">
        <v>45587</v>
      </c>
      <c r="B90" s="52" t="s">
        <v>151</v>
      </c>
      <c r="C90" s="76">
        <v>620000</v>
      </c>
      <c r="D90" s="14" t="s">
        <v>158</v>
      </c>
      <c r="E90" s="14" t="s">
        <v>232</v>
      </c>
    </row>
    <row r="91" spans="1:5" s="40" customFormat="1" ht="13.5" thickBot="1" x14ac:dyDescent="0.25">
      <c r="A91" s="79"/>
      <c r="B91" s="53" t="str">
        <f>+D90</f>
        <v>Inversión</v>
      </c>
      <c r="C91" s="54">
        <f>SUM(C89:C90)</f>
        <v>2410800</v>
      </c>
      <c r="D91" s="53"/>
      <c r="E91" s="53"/>
    </row>
    <row r="93" spans="1:5" x14ac:dyDescent="0.2">
      <c r="C93" s="47"/>
    </row>
    <row r="94" spans="1:5" x14ac:dyDescent="0.2">
      <c r="C94" s="47"/>
    </row>
    <row r="95" spans="1:5" x14ac:dyDescent="0.2">
      <c r="C95" s="47"/>
    </row>
  </sheetData>
  <autoFilter ref="A1:F1" xr:uid="{7D39FC09-67B1-4389-93ED-E9AE970AAC6E}"/>
  <sortState xmlns:xlrd2="http://schemas.microsoft.com/office/spreadsheetml/2017/richdata2" ref="A2:E84">
    <sortCondition ref="D2:D8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3904-7E26-4544-B658-45AD97AD15D9}">
  <dimension ref="A1:V992"/>
  <sheetViews>
    <sheetView zoomScale="90" zoomScaleNormal="90" workbookViewId="0">
      <selection activeCell="C6" sqref="C6"/>
    </sheetView>
  </sheetViews>
  <sheetFormatPr baseColWidth="10" defaultRowHeight="12.75" x14ac:dyDescent="0.25"/>
  <cols>
    <col min="1" max="1" width="11.42578125" style="55"/>
    <col min="2" max="2" width="11" style="55" bestFit="1" customWidth="1"/>
    <col min="3" max="3" width="11.5703125" style="55" bestFit="1" customWidth="1"/>
    <col min="4" max="4" width="11" style="55" bestFit="1" customWidth="1"/>
    <col min="5" max="5" width="14.28515625" style="55" customWidth="1"/>
    <col min="6" max="6" width="18.7109375" style="55" customWidth="1"/>
    <col min="7" max="7" width="13.5703125" style="55" bestFit="1" customWidth="1"/>
    <col min="8" max="8" width="12.140625" style="55" customWidth="1"/>
    <col min="9" max="9" width="13.5703125" style="55" bestFit="1" customWidth="1"/>
    <col min="10" max="10" width="14.140625" style="55" hidden="1" customWidth="1"/>
    <col min="11" max="11" width="13" style="55" hidden="1" customWidth="1"/>
    <col min="12" max="12" width="11.5703125" style="55" hidden="1" customWidth="1"/>
    <col min="13" max="14" width="14.140625" style="55" hidden="1" customWidth="1"/>
    <col min="15" max="15" width="12.5703125" style="55" hidden="1" customWidth="1"/>
    <col min="16" max="16" width="14.140625" style="55" hidden="1" customWidth="1"/>
    <col min="17" max="17" width="11.85546875" style="55" hidden="1" customWidth="1"/>
    <col min="18" max="18" width="11.5703125" style="55" hidden="1" customWidth="1"/>
    <col min="19" max="19" width="0" style="55" hidden="1" customWidth="1"/>
    <col min="20" max="20" width="11.7109375" style="55" hidden="1" customWidth="1"/>
    <col min="21" max="21" width="0" style="55" hidden="1" customWidth="1"/>
    <col min="22" max="22" width="14.28515625" style="55" customWidth="1"/>
    <col min="23" max="16384" width="11.42578125" style="55"/>
  </cols>
  <sheetData>
    <row r="1" spans="1:22" s="56" customFormat="1" ht="39.75" customHeight="1" x14ac:dyDescent="0.25">
      <c r="A1" s="58" t="s">
        <v>165</v>
      </c>
      <c r="B1" s="58" t="s">
        <v>166</v>
      </c>
      <c r="C1" s="58" t="s">
        <v>167</v>
      </c>
      <c r="D1" s="58" t="s">
        <v>168</v>
      </c>
      <c r="E1" s="58" t="s">
        <v>169</v>
      </c>
      <c r="F1" s="58" t="s">
        <v>170</v>
      </c>
      <c r="G1" s="58" t="s">
        <v>254</v>
      </c>
      <c r="H1" s="58" t="s">
        <v>255</v>
      </c>
      <c r="I1" s="58" t="s">
        <v>256</v>
      </c>
      <c r="J1" s="58" t="s">
        <v>171</v>
      </c>
      <c r="K1" s="58" t="s">
        <v>119</v>
      </c>
      <c r="L1" s="58" t="s">
        <v>124</v>
      </c>
      <c r="M1" s="58" t="s">
        <v>125</v>
      </c>
      <c r="N1" s="58" t="s">
        <v>172</v>
      </c>
      <c r="O1" s="59" t="s">
        <v>173</v>
      </c>
      <c r="P1" s="59" t="s">
        <v>174</v>
      </c>
      <c r="Q1" s="59" t="s">
        <v>175</v>
      </c>
      <c r="R1" s="59" t="s">
        <v>176</v>
      </c>
      <c r="S1" s="58" t="s">
        <v>177</v>
      </c>
      <c r="T1" s="58" t="s">
        <v>178</v>
      </c>
      <c r="U1" s="58" t="s">
        <v>179</v>
      </c>
      <c r="V1" s="58" t="s">
        <v>126</v>
      </c>
    </row>
    <row r="2" spans="1:22" ht="25.5" x14ac:dyDescent="0.25">
      <c r="A2" s="60" t="s">
        <v>117</v>
      </c>
      <c r="B2" s="61">
        <v>45568</v>
      </c>
      <c r="C2" s="62" t="s">
        <v>180</v>
      </c>
      <c r="D2" s="62">
        <v>202403595</v>
      </c>
      <c r="E2" s="62" t="s">
        <v>128</v>
      </c>
      <c r="F2" s="62" t="s">
        <v>181</v>
      </c>
      <c r="G2" s="63">
        <v>2010000</v>
      </c>
      <c r="H2" s="80">
        <v>0.35</v>
      </c>
      <c r="I2" s="63">
        <f>+G2-(G2*H2)</f>
        <v>1306500</v>
      </c>
      <c r="J2" s="63">
        <v>653250</v>
      </c>
      <c r="K2" s="63">
        <v>137182.5</v>
      </c>
      <c r="L2" s="64">
        <v>0.21</v>
      </c>
      <c r="M2" s="63">
        <v>790432.5</v>
      </c>
      <c r="N2" s="65">
        <v>1443682.5</v>
      </c>
      <c r="O2" s="66"/>
      <c r="P2" s="67">
        <v>2000000</v>
      </c>
      <c r="Q2" s="63">
        <v>2000000</v>
      </c>
      <c r="R2" s="68">
        <v>-556317.5</v>
      </c>
      <c r="S2" s="62" t="s">
        <v>182</v>
      </c>
      <c r="T2" s="66" t="s">
        <v>183</v>
      </c>
      <c r="U2" s="69" t="s">
        <v>184</v>
      </c>
      <c r="V2" s="63">
        <f>460.09*1033.5</f>
        <v>475503.01499999996</v>
      </c>
    </row>
    <row r="3" spans="1:22" ht="30" x14ac:dyDescent="0.25">
      <c r="A3" s="60" t="s">
        <v>117</v>
      </c>
      <c r="B3" s="66"/>
      <c r="C3" s="62" t="s">
        <v>185</v>
      </c>
      <c r="D3" s="66"/>
      <c r="E3" s="62" t="s">
        <v>128</v>
      </c>
      <c r="F3" s="62" t="s">
        <v>186</v>
      </c>
      <c r="G3" s="63">
        <v>1080000</v>
      </c>
      <c r="H3" s="80">
        <v>0.1</v>
      </c>
      <c r="I3" s="63">
        <f t="shared" ref="I3:I9" si="0">+G3-(G3*H3)</f>
        <v>972000</v>
      </c>
      <c r="J3" s="63">
        <v>972000</v>
      </c>
      <c r="K3" s="63">
        <v>102060</v>
      </c>
      <c r="L3" s="70">
        <v>0.105</v>
      </c>
      <c r="M3" s="63">
        <v>1074060</v>
      </c>
      <c r="N3" s="65">
        <v>1074060</v>
      </c>
      <c r="O3" s="67">
        <v>1074060</v>
      </c>
      <c r="P3" s="66"/>
      <c r="Q3" s="63">
        <v>1074060</v>
      </c>
      <c r="R3" s="71">
        <v>0</v>
      </c>
      <c r="S3" s="66"/>
      <c r="T3" s="66" t="s">
        <v>187</v>
      </c>
      <c r="U3" s="69" t="s">
        <v>188</v>
      </c>
      <c r="V3" s="63">
        <f>251.5*1033.5</f>
        <v>259925.25</v>
      </c>
    </row>
    <row r="4" spans="1:22" ht="30" x14ac:dyDescent="0.25">
      <c r="A4" s="60" t="s">
        <v>117</v>
      </c>
      <c r="B4" s="66"/>
      <c r="C4" s="62" t="s">
        <v>189</v>
      </c>
      <c r="D4" s="66"/>
      <c r="E4" s="62" t="s">
        <v>128</v>
      </c>
      <c r="F4" s="62" t="s">
        <v>186</v>
      </c>
      <c r="G4" s="63">
        <v>91000</v>
      </c>
      <c r="H4" s="80">
        <v>0.1</v>
      </c>
      <c r="I4" s="63">
        <f t="shared" si="0"/>
        <v>81900</v>
      </c>
      <c r="J4" s="63">
        <v>81900</v>
      </c>
      <c r="K4" s="63">
        <v>17199</v>
      </c>
      <c r="L4" s="64">
        <v>0.21</v>
      </c>
      <c r="M4" s="63">
        <v>99099</v>
      </c>
      <c r="N4" s="65">
        <v>99099</v>
      </c>
      <c r="O4" s="67">
        <v>99099</v>
      </c>
      <c r="P4" s="66"/>
      <c r="Q4" s="63">
        <v>99099</v>
      </c>
      <c r="R4" s="71">
        <v>0</v>
      </c>
      <c r="S4" s="66"/>
      <c r="T4" s="66" t="s">
        <v>187</v>
      </c>
      <c r="U4" s="69" t="s">
        <v>188</v>
      </c>
      <c r="V4" s="63">
        <f>28.64*1033.5</f>
        <v>29599.440000000002</v>
      </c>
    </row>
    <row r="5" spans="1:22" ht="25.5" x14ac:dyDescent="0.25">
      <c r="A5" s="60" t="s">
        <v>118</v>
      </c>
      <c r="B5" s="61">
        <v>45572</v>
      </c>
      <c r="C5" s="62" t="s">
        <v>189</v>
      </c>
      <c r="D5" s="66"/>
      <c r="E5" s="62" t="s">
        <v>128</v>
      </c>
      <c r="F5" s="62" t="s">
        <v>190</v>
      </c>
      <c r="G5" s="63">
        <v>91000</v>
      </c>
      <c r="H5" s="80">
        <v>0</v>
      </c>
      <c r="I5" s="63">
        <f t="shared" si="0"/>
        <v>91000</v>
      </c>
      <c r="J5" s="63">
        <v>91000</v>
      </c>
      <c r="K5" s="63">
        <v>19110</v>
      </c>
      <c r="L5" s="64">
        <v>0.21</v>
      </c>
      <c r="M5" s="63">
        <v>110110</v>
      </c>
      <c r="N5" s="65">
        <v>110110</v>
      </c>
      <c r="O5" s="63">
        <v>110110</v>
      </c>
      <c r="P5" s="66"/>
      <c r="Q5" s="63">
        <v>110110</v>
      </c>
      <c r="R5" s="71">
        <v>0</v>
      </c>
      <c r="S5" s="62" t="s">
        <v>191</v>
      </c>
      <c r="T5" s="66" t="s">
        <v>192</v>
      </c>
      <c r="U5" s="69" t="s">
        <v>193</v>
      </c>
      <c r="V5" s="63">
        <f>28.64*1033.5</f>
        <v>29599.440000000002</v>
      </c>
    </row>
    <row r="6" spans="1:22" ht="25.5" x14ac:dyDescent="0.25">
      <c r="A6" s="60" t="s">
        <v>118</v>
      </c>
      <c r="B6" s="61">
        <v>45583</v>
      </c>
      <c r="C6" s="62" t="s">
        <v>127</v>
      </c>
      <c r="D6" s="62" t="s">
        <v>194</v>
      </c>
      <c r="E6" s="62" t="s">
        <v>128</v>
      </c>
      <c r="F6" s="62" t="s">
        <v>195</v>
      </c>
      <c r="G6" s="63">
        <v>3210000</v>
      </c>
      <c r="H6" s="80">
        <v>0.1</v>
      </c>
      <c r="I6" s="63">
        <f t="shared" si="0"/>
        <v>2889000</v>
      </c>
      <c r="J6" s="63">
        <v>2889000</v>
      </c>
      <c r="K6" s="63">
        <v>303345</v>
      </c>
      <c r="L6" s="70">
        <v>0.105</v>
      </c>
      <c r="M6" s="63">
        <v>3192345</v>
      </c>
      <c r="N6" s="65">
        <v>3192345</v>
      </c>
      <c r="O6" s="66"/>
      <c r="P6" s="67">
        <v>3192345</v>
      </c>
      <c r="Q6" s="63">
        <v>3192345</v>
      </c>
      <c r="R6" s="71">
        <v>0</v>
      </c>
      <c r="S6" s="62" t="s">
        <v>196</v>
      </c>
      <c r="T6" s="66" t="s">
        <v>197</v>
      </c>
      <c r="U6" s="69" t="s">
        <v>184</v>
      </c>
      <c r="V6" s="63">
        <f>1056.16*1033.5</f>
        <v>1091541.3600000001</v>
      </c>
    </row>
    <row r="7" spans="1:22" ht="25.5" x14ac:dyDescent="0.25">
      <c r="A7" s="60" t="s">
        <v>118</v>
      </c>
      <c r="B7" s="61">
        <v>45583</v>
      </c>
      <c r="C7" s="62" t="s">
        <v>127</v>
      </c>
      <c r="D7" s="62" t="s">
        <v>198</v>
      </c>
      <c r="E7" s="62" t="s">
        <v>128</v>
      </c>
      <c r="F7" s="62" t="s">
        <v>199</v>
      </c>
      <c r="G7" s="63">
        <v>3210000</v>
      </c>
      <c r="H7" s="80">
        <v>0</v>
      </c>
      <c r="I7" s="63">
        <f t="shared" si="0"/>
        <v>3210000</v>
      </c>
      <c r="J7" s="63">
        <v>3210000</v>
      </c>
      <c r="K7" s="63">
        <v>337050</v>
      </c>
      <c r="L7" s="70">
        <v>0.105</v>
      </c>
      <c r="M7" s="63">
        <v>3547050</v>
      </c>
      <c r="N7" s="65">
        <v>3547050</v>
      </c>
      <c r="O7" s="72">
        <v>3547050</v>
      </c>
      <c r="P7" s="66"/>
      <c r="Q7" s="63">
        <v>3547050</v>
      </c>
      <c r="R7" s="71">
        <v>0</v>
      </c>
      <c r="S7" s="62" t="s">
        <v>200</v>
      </c>
      <c r="T7" s="66" t="s">
        <v>201</v>
      </c>
      <c r="U7" s="69" t="s">
        <v>193</v>
      </c>
      <c r="V7" s="63">
        <f>1056.16*1033.5</f>
        <v>1091541.3600000001</v>
      </c>
    </row>
    <row r="8" spans="1:22" ht="38.25" x14ac:dyDescent="0.25">
      <c r="A8" s="60" t="s">
        <v>118</v>
      </c>
      <c r="B8" s="73">
        <v>45583</v>
      </c>
      <c r="C8" s="62" t="s">
        <v>202</v>
      </c>
      <c r="D8" s="62" t="s">
        <v>203</v>
      </c>
      <c r="E8" s="62" t="s">
        <v>128</v>
      </c>
      <c r="F8" s="62" t="s">
        <v>204</v>
      </c>
      <c r="G8" s="67">
        <v>6035000</v>
      </c>
      <c r="H8" s="80">
        <v>0</v>
      </c>
      <c r="I8" s="63">
        <f t="shared" si="0"/>
        <v>6035000</v>
      </c>
      <c r="J8" s="67">
        <v>2112250</v>
      </c>
      <c r="K8" s="63">
        <v>443572.5</v>
      </c>
      <c r="L8" s="74">
        <v>0.21</v>
      </c>
      <c r="M8" s="63">
        <v>2555822.5</v>
      </c>
      <c r="N8" s="65">
        <v>6478572.5</v>
      </c>
      <c r="O8" s="67">
        <v>2555822.5</v>
      </c>
      <c r="P8" s="67">
        <v>3922750</v>
      </c>
      <c r="Q8" s="63">
        <v>6478572.5</v>
      </c>
      <c r="R8" s="71">
        <v>0</v>
      </c>
      <c r="S8" s="66"/>
      <c r="T8" s="66" t="s">
        <v>205</v>
      </c>
      <c r="U8" s="69" t="s">
        <v>206</v>
      </c>
      <c r="V8" s="63">
        <f>2686.73*1033.5</f>
        <v>2776735.4550000001</v>
      </c>
    </row>
    <row r="9" spans="1:22" ht="30" x14ac:dyDescent="0.25">
      <c r="A9" s="60" t="s">
        <v>118</v>
      </c>
      <c r="B9" s="73">
        <v>45594</v>
      </c>
      <c r="C9" s="62" t="s">
        <v>207</v>
      </c>
      <c r="D9" s="62" t="s">
        <v>208</v>
      </c>
      <c r="E9" s="62" t="s">
        <v>128</v>
      </c>
      <c r="F9" s="62" t="s">
        <v>209</v>
      </c>
      <c r="G9" s="63">
        <v>4350000</v>
      </c>
      <c r="H9" s="80">
        <v>0.1</v>
      </c>
      <c r="I9" s="63">
        <f t="shared" si="0"/>
        <v>3915000</v>
      </c>
      <c r="J9" s="67">
        <v>3915000</v>
      </c>
      <c r="K9" s="63">
        <v>411075</v>
      </c>
      <c r="L9" s="70">
        <v>0.105</v>
      </c>
      <c r="M9" s="63">
        <v>4326075</v>
      </c>
      <c r="N9" s="65">
        <v>4326075</v>
      </c>
      <c r="O9" s="72">
        <v>2326075</v>
      </c>
      <c r="P9" s="72">
        <v>2000000</v>
      </c>
      <c r="Q9" s="63">
        <v>4326075</v>
      </c>
      <c r="R9" s="71">
        <v>0</v>
      </c>
      <c r="S9" s="62" t="s">
        <v>210</v>
      </c>
      <c r="T9" s="66" t="s">
        <v>211</v>
      </c>
      <c r="U9" s="69" t="s">
        <v>212</v>
      </c>
      <c r="V9" s="63">
        <f>1001.55*1033.5</f>
        <v>1035101.9249999999</v>
      </c>
    </row>
    <row r="10" spans="1:22" s="83" customFormat="1" ht="15" x14ac:dyDescent="0.25">
      <c r="A10" s="81"/>
      <c r="B10" s="75" t="s">
        <v>213</v>
      </c>
      <c r="C10" s="81"/>
      <c r="D10" s="81"/>
      <c r="E10" s="81"/>
      <c r="F10" s="81"/>
      <c r="G10" s="82">
        <f>SUM(G2:G9)</f>
        <v>20077000</v>
      </c>
      <c r="H10" s="82">
        <f>+G10-I10</f>
        <v>1576600</v>
      </c>
      <c r="I10" s="82">
        <f>SUM(I2:I9)</f>
        <v>18500400</v>
      </c>
      <c r="J10" s="82">
        <f t="shared" ref="J10:V10" si="1">SUM(J2:J9)</f>
        <v>13924400</v>
      </c>
      <c r="K10" s="82">
        <f t="shared" si="1"/>
        <v>1770594</v>
      </c>
      <c r="L10" s="82">
        <f t="shared" si="1"/>
        <v>1.26</v>
      </c>
      <c r="M10" s="82">
        <f t="shared" si="1"/>
        <v>15694994</v>
      </c>
      <c r="N10" s="82">
        <f t="shared" si="1"/>
        <v>20270994</v>
      </c>
      <c r="O10" s="82">
        <f t="shared" si="1"/>
        <v>9712216.5</v>
      </c>
      <c r="P10" s="82">
        <f t="shared" si="1"/>
        <v>11115095</v>
      </c>
      <c r="Q10" s="82">
        <f t="shared" si="1"/>
        <v>20827311.5</v>
      </c>
      <c r="R10" s="82">
        <f t="shared" si="1"/>
        <v>-556317.5</v>
      </c>
      <c r="S10" s="82">
        <f t="shared" si="1"/>
        <v>0</v>
      </c>
      <c r="T10" s="82">
        <f t="shared" si="1"/>
        <v>0</v>
      </c>
      <c r="U10" s="82">
        <f t="shared" si="1"/>
        <v>0</v>
      </c>
      <c r="V10" s="82">
        <f t="shared" si="1"/>
        <v>6789547.2450000001</v>
      </c>
    </row>
    <row r="11" spans="1:22" ht="13.5" thickBot="1" x14ac:dyDescent="0.3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</row>
    <row r="12" spans="1:22" ht="13.5" thickBo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</row>
    <row r="13" spans="1:22" ht="13.5" thickBot="1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</row>
    <row r="14" spans="1:22" ht="13.5" thickBo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</row>
    <row r="15" spans="1:22" ht="13.5" thickBo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</row>
    <row r="16" spans="1:22" ht="13.5" thickBo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ht="13.5" thickBo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</row>
    <row r="18" spans="1:20" ht="13.5" thickBo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</row>
    <row r="19" spans="1:20" ht="13.5" thickBot="1" x14ac:dyDescent="0.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13.5" thickBo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</row>
    <row r="21" spans="1:20" ht="13.5" thickBot="1" x14ac:dyDescent="0.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</row>
    <row r="22" spans="1:20" ht="13.5" thickBot="1" x14ac:dyDescent="0.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ht="13.5" thickBot="1" x14ac:dyDescent="0.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20" ht="13.5" thickBot="1" x14ac:dyDescent="0.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</row>
    <row r="25" spans="1:20" ht="13.5" thickBot="1" x14ac:dyDescent="0.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 spans="1:20" ht="13.5" thickBot="1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</row>
    <row r="27" spans="1:20" ht="13.5" thickBot="1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</row>
    <row r="28" spans="1:20" ht="13.5" thickBot="1" x14ac:dyDescent="0.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3.5" thickBot="1" x14ac:dyDescent="0.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3.5" thickBot="1" x14ac:dyDescent="0.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3.5" thickBot="1" x14ac:dyDescent="0.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3.5" thickBot="1" x14ac:dyDescent="0.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3.5" thickBot="1" x14ac:dyDescent="0.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3.5" thickBot="1" x14ac:dyDescent="0.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3.5" thickBot="1" x14ac:dyDescent="0.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3.5" thickBot="1" x14ac:dyDescent="0.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</row>
    <row r="37" spans="1:20" ht="13.5" thickBot="1" x14ac:dyDescent="0.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</row>
    <row r="38" spans="1:20" ht="13.5" thickBot="1" x14ac:dyDescent="0.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</row>
    <row r="39" spans="1:20" ht="13.5" thickBot="1" x14ac:dyDescent="0.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ht="13.5" thickBot="1" x14ac:dyDescent="0.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</row>
    <row r="41" spans="1:20" ht="13.5" thickBot="1" x14ac:dyDescent="0.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13.5" thickBot="1" x14ac:dyDescent="0.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</row>
    <row r="43" spans="1:20" ht="13.5" thickBot="1" x14ac:dyDescent="0.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13.5" thickBot="1" x14ac:dyDescent="0.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</row>
    <row r="45" spans="1:20" ht="13.5" thickBot="1" x14ac:dyDescent="0.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</row>
    <row r="46" spans="1:20" ht="13.5" thickBot="1" x14ac:dyDescent="0.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</row>
    <row r="47" spans="1:20" ht="13.5" thickBot="1" x14ac:dyDescent="0.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 spans="1:20" ht="13.5" thickBot="1" x14ac:dyDescent="0.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  <row r="49" spans="1:20" ht="13.5" thickBot="1" x14ac:dyDescent="0.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13.5" thickBot="1" x14ac:dyDescent="0.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</row>
    <row r="51" spans="1:20" ht="13.5" thickBot="1" x14ac:dyDescent="0.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</row>
    <row r="52" spans="1:20" ht="13.5" thickBot="1" x14ac:dyDescent="0.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</row>
    <row r="53" spans="1:20" ht="13.5" thickBo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</row>
    <row r="54" spans="1:20" ht="13.5" thickBot="1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</row>
    <row r="55" spans="1:20" ht="13.5" thickBot="1" x14ac:dyDescent="0.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</row>
    <row r="56" spans="1:20" ht="13.5" thickBot="1" x14ac:dyDescent="0.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</row>
    <row r="57" spans="1:20" ht="13.5" thickBot="1" x14ac:dyDescent="0.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</row>
    <row r="58" spans="1:20" ht="13.5" thickBot="1" x14ac:dyDescent="0.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</row>
    <row r="59" spans="1:20" ht="13.5" thickBot="1" x14ac:dyDescent="0.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</row>
    <row r="60" spans="1:20" ht="13.5" thickBot="1" x14ac:dyDescent="0.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13.5" thickBot="1" x14ac:dyDescent="0.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</row>
    <row r="62" spans="1:20" ht="13.5" thickBot="1" x14ac:dyDescent="0.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</row>
    <row r="63" spans="1:20" ht="13.5" thickBot="1" x14ac:dyDescent="0.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</row>
    <row r="64" spans="1:20" ht="13.5" thickBot="1" x14ac:dyDescent="0.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13.5" thickBot="1" x14ac:dyDescent="0.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</row>
    <row r="66" spans="1:20" ht="13.5" thickBot="1" x14ac:dyDescent="0.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</row>
    <row r="67" spans="1:20" ht="13.5" thickBot="1" x14ac:dyDescent="0.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</row>
    <row r="68" spans="1:20" ht="13.5" thickBot="1" x14ac:dyDescent="0.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13.5" thickBot="1" x14ac:dyDescent="0.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</row>
    <row r="70" spans="1:20" ht="13.5" thickBot="1" x14ac:dyDescent="0.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</row>
    <row r="71" spans="1:20" ht="13.5" thickBot="1" x14ac:dyDescent="0.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</row>
    <row r="72" spans="1:20" ht="13.5" thickBot="1" x14ac:dyDescent="0.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</row>
    <row r="73" spans="1:20" ht="13.5" thickBot="1" x14ac:dyDescent="0.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</row>
    <row r="74" spans="1:20" ht="13.5" thickBot="1" x14ac:dyDescent="0.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</row>
    <row r="75" spans="1:20" ht="13.5" thickBot="1" x14ac:dyDescent="0.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</row>
    <row r="76" spans="1:20" ht="13.5" thickBot="1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</row>
    <row r="77" spans="1:20" ht="13.5" thickBot="1" x14ac:dyDescent="0.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</row>
    <row r="78" spans="1:20" ht="13.5" thickBot="1" x14ac:dyDescent="0.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</row>
    <row r="79" spans="1:20" ht="13.5" thickBot="1" x14ac:dyDescent="0.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</row>
    <row r="80" spans="1:20" ht="13.5" thickBot="1" x14ac:dyDescent="0.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13.5" thickBot="1" x14ac:dyDescent="0.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</row>
    <row r="82" spans="1:20" ht="13.5" thickBot="1" x14ac:dyDescent="0.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</row>
    <row r="83" spans="1:20" ht="13.5" thickBot="1" x14ac:dyDescent="0.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</row>
    <row r="84" spans="1:20" ht="13.5" thickBot="1" x14ac:dyDescent="0.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</row>
    <row r="85" spans="1:20" ht="13.5" thickBot="1" x14ac:dyDescent="0.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</row>
    <row r="86" spans="1:20" ht="13.5" thickBot="1" x14ac:dyDescent="0.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13.5" thickBot="1" x14ac:dyDescent="0.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</row>
    <row r="88" spans="1:20" ht="13.5" thickBot="1" x14ac:dyDescent="0.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</row>
    <row r="89" spans="1:20" ht="13.5" thickBot="1" x14ac:dyDescent="0.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</row>
    <row r="90" spans="1:20" ht="13.5" thickBot="1" x14ac:dyDescent="0.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</row>
    <row r="91" spans="1:20" ht="13.5" thickBot="1" x14ac:dyDescent="0.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13.5" thickBot="1" x14ac:dyDescent="0.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</row>
    <row r="93" spans="1:20" ht="13.5" thickBot="1" x14ac:dyDescent="0.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13.5" thickBot="1" x14ac:dyDescent="0.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</row>
    <row r="95" spans="1:20" ht="13.5" thickBot="1" x14ac:dyDescent="0.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</row>
    <row r="96" spans="1:20" ht="13.5" thickBot="1" x14ac:dyDescent="0.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</row>
    <row r="97" spans="1:20" ht="13.5" thickBot="1" x14ac:dyDescent="0.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13.5" thickBot="1" x14ac:dyDescent="0.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</row>
    <row r="99" spans="1:20" ht="13.5" thickBot="1" x14ac:dyDescent="0.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</row>
    <row r="100" spans="1:20" ht="13.5" thickBot="1" x14ac:dyDescent="0.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</row>
    <row r="101" spans="1:20" ht="13.5" thickBot="1" x14ac:dyDescent="0.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</row>
    <row r="102" spans="1:20" ht="13.5" thickBot="1" x14ac:dyDescent="0.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13.5" thickBot="1" x14ac:dyDescent="0.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</row>
    <row r="104" spans="1:20" ht="13.5" thickBot="1" x14ac:dyDescent="0.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</row>
    <row r="105" spans="1:20" ht="13.5" thickBot="1" x14ac:dyDescent="0.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</row>
    <row r="106" spans="1:20" ht="13.5" thickBot="1" x14ac:dyDescent="0.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</row>
    <row r="107" spans="1:20" ht="13.5" thickBot="1" x14ac:dyDescent="0.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</row>
    <row r="108" spans="1:20" ht="13.5" thickBot="1" x14ac:dyDescent="0.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</row>
    <row r="109" spans="1:20" ht="13.5" thickBot="1" x14ac:dyDescent="0.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</row>
    <row r="110" spans="1:20" ht="13.5" thickBot="1" x14ac:dyDescent="0.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</row>
    <row r="111" spans="1:20" ht="13.5" thickBot="1" x14ac:dyDescent="0.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</row>
    <row r="112" spans="1:20" ht="13.5" thickBot="1" x14ac:dyDescent="0.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</row>
    <row r="113" spans="1:20" ht="13.5" thickBot="1" x14ac:dyDescent="0.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</row>
    <row r="114" spans="1:20" ht="13.5" thickBot="1" x14ac:dyDescent="0.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</row>
    <row r="115" spans="1:20" ht="13.5" thickBot="1" x14ac:dyDescent="0.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</row>
    <row r="116" spans="1:20" ht="13.5" thickBot="1" x14ac:dyDescent="0.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</row>
    <row r="117" spans="1:20" ht="13.5" thickBot="1" x14ac:dyDescent="0.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</row>
    <row r="118" spans="1:20" ht="13.5" thickBot="1" x14ac:dyDescent="0.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</row>
    <row r="119" spans="1:20" ht="13.5" thickBot="1" x14ac:dyDescent="0.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</row>
    <row r="120" spans="1:20" ht="13.5" thickBot="1" x14ac:dyDescent="0.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</row>
    <row r="121" spans="1:20" ht="13.5" thickBot="1" x14ac:dyDescent="0.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13.5" thickBot="1" x14ac:dyDescent="0.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</row>
    <row r="123" spans="1:20" ht="13.5" thickBot="1" x14ac:dyDescent="0.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</row>
    <row r="124" spans="1:20" ht="13.5" thickBot="1" x14ac:dyDescent="0.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</row>
    <row r="125" spans="1:20" ht="13.5" thickBot="1" x14ac:dyDescent="0.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</row>
    <row r="126" spans="1:20" ht="13.5" thickBot="1" x14ac:dyDescent="0.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</row>
    <row r="127" spans="1:20" ht="13.5" thickBot="1" x14ac:dyDescent="0.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13.5" thickBot="1" x14ac:dyDescent="0.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</row>
    <row r="129" spans="1:20" ht="13.5" thickBot="1" x14ac:dyDescent="0.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</row>
    <row r="130" spans="1:20" ht="13.5" thickBot="1" x14ac:dyDescent="0.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</row>
    <row r="131" spans="1:20" ht="13.5" thickBot="1" x14ac:dyDescent="0.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</row>
    <row r="132" spans="1:20" ht="13.5" thickBot="1" x14ac:dyDescent="0.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</row>
    <row r="133" spans="1:20" ht="13.5" thickBot="1" x14ac:dyDescent="0.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</row>
    <row r="134" spans="1:20" ht="13.5" thickBot="1" x14ac:dyDescent="0.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</row>
    <row r="135" spans="1:20" ht="13.5" thickBot="1" x14ac:dyDescent="0.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</row>
    <row r="136" spans="1:20" ht="13.5" thickBot="1" x14ac:dyDescent="0.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</row>
    <row r="137" spans="1:20" ht="13.5" thickBot="1" x14ac:dyDescent="0.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</row>
    <row r="138" spans="1:20" ht="13.5" thickBot="1" x14ac:dyDescent="0.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</row>
    <row r="139" spans="1:20" ht="13.5" thickBot="1" x14ac:dyDescent="0.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</row>
    <row r="140" spans="1:20" ht="13.5" thickBot="1" x14ac:dyDescent="0.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</row>
    <row r="141" spans="1:20" ht="13.5" thickBot="1" x14ac:dyDescent="0.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</row>
    <row r="142" spans="1:20" ht="13.5" thickBot="1" x14ac:dyDescent="0.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</row>
    <row r="143" spans="1:20" ht="13.5" thickBot="1" x14ac:dyDescent="0.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13.5" thickBot="1" x14ac:dyDescent="0.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</row>
    <row r="145" spans="1:20" ht="13.5" thickBot="1" x14ac:dyDescent="0.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</row>
    <row r="146" spans="1:20" ht="13.5" thickBot="1" x14ac:dyDescent="0.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</row>
    <row r="147" spans="1:20" ht="13.5" thickBot="1" x14ac:dyDescent="0.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</row>
    <row r="148" spans="1:20" ht="13.5" thickBot="1" x14ac:dyDescent="0.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</row>
    <row r="149" spans="1:20" ht="13.5" thickBot="1" x14ac:dyDescent="0.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</row>
    <row r="150" spans="1:20" ht="13.5" thickBot="1" x14ac:dyDescent="0.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</row>
    <row r="151" spans="1:20" ht="13.5" thickBot="1" x14ac:dyDescent="0.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ht="13.5" thickBot="1" x14ac:dyDescent="0.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13.5" thickBot="1" x14ac:dyDescent="0.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1:20" ht="13.5" thickBot="1" x14ac:dyDescent="0.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</row>
    <row r="155" spans="1:20" ht="13.5" thickBot="1" x14ac:dyDescent="0.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</row>
    <row r="156" spans="1:20" ht="13.5" thickBot="1" x14ac:dyDescent="0.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</row>
    <row r="157" spans="1:20" ht="13.5" thickBot="1" x14ac:dyDescent="0.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</row>
    <row r="158" spans="1:20" ht="13.5" thickBot="1" x14ac:dyDescent="0.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</row>
    <row r="159" spans="1:20" ht="13.5" thickBot="1" x14ac:dyDescent="0.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ht="13.5" thickBot="1" x14ac:dyDescent="0.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ht="13.5" thickBot="1" x14ac:dyDescent="0.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ht="13.5" thickBot="1" x14ac:dyDescent="0.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ht="13.5" thickBot="1" x14ac:dyDescent="0.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ht="13.5" thickBot="1" x14ac:dyDescent="0.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ht="13.5" thickBot="1" x14ac:dyDescent="0.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ht="13.5" thickBot="1" x14ac:dyDescent="0.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ht="13.5" thickBot="1" x14ac:dyDescent="0.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ht="13.5" thickBot="1" x14ac:dyDescent="0.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ht="13.5" thickBot="1" x14ac:dyDescent="0.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ht="13.5" thickBot="1" x14ac:dyDescent="0.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1:20" ht="13.5" thickBot="1" x14ac:dyDescent="0.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1:20" ht="13.5" thickBot="1" x14ac:dyDescent="0.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</row>
    <row r="173" spans="1:20" ht="13.5" thickBot="1" x14ac:dyDescent="0.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</row>
    <row r="174" spans="1:20" ht="13.5" thickBot="1" x14ac:dyDescent="0.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</row>
    <row r="175" spans="1:20" ht="13.5" thickBot="1" x14ac:dyDescent="0.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spans="1:20" ht="13.5" thickBot="1" x14ac:dyDescent="0.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</row>
    <row r="177" spans="1:20" ht="13.5" thickBot="1" x14ac:dyDescent="0.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</row>
    <row r="178" spans="1:20" ht="13.5" thickBot="1" x14ac:dyDescent="0.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</row>
    <row r="179" spans="1:20" ht="13.5" thickBot="1" x14ac:dyDescent="0.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</row>
    <row r="180" spans="1:20" ht="13.5" thickBot="1" x14ac:dyDescent="0.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</row>
    <row r="181" spans="1:20" ht="13.5" thickBot="1" x14ac:dyDescent="0.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</row>
    <row r="182" spans="1:20" ht="13.5" thickBot="1" x14ac:dyDescent="0.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</row>
    <row r="183" spans="1:20" ht="13.5" thickBot="1" x14ac:dyDescent="0.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</row>
    <row r="184" spans="1:20" ht="13.5" thickBot="1" x14ac:dyDescent="0.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</row>
    <row r="185" spans="1:20" ht="13.5" thickBot="1" x14ac:dyDescent="0.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</row>
    <row r="186" spans="1:20" ht="13.5" thickBot="1" x14ac:dyDescent="0.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</row>
    <row r="187" spans="1:20" ht="13.5" thickBot="1" x14ac:dyDescent="0.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</row>
    <row r="188" spans="1:20" ht="13.5" thickBot="1" x14ac:dyDescent="0.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</row>
    <row r="189" spans="1:20" ht="13.5" thickBot="1" x14ac:dyDescent="0.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</row>
    <row r="190" spans="1:20" ht="13.5" thickBot="1" x14ac:dyDescent="0.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</row>
    <row r="191" spans="1:20" ht="13.5" thickBot="1" x14ac:dyDescent="0.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</row>
    <row r="192" spans="1:20" ht="13.5" thickBot="1" x14ac:dyDescent="0.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</row>
    <row r="193" spans="1:20" ht="13.5" thickBot="1" x14ac:dyDescent="0.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</row>
    <row r="194" spans="1:20" ht="13.5" thickBot="1" x14ac:dyDescent="0.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</row>
    <row r="195" spans="1:20" ht="13.5" thickBot="1" x14ac:dyDescent="0.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</row>
    <row r="196" spans="1:20" ht="13.5" thickBot="1" x14ac:dyDescent="0.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</row>
    <row r="197" spans="1:20" ht="13.5" thickBot="1" x14ac:dyDescent="0.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</row>
    <row r="198" spans="1:20" ht="13.5" thickBot="1" x14ac:dyDescent="0.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</row>
    <row r="199" spans="1:20" ht="13.5" thickBot="1" x14ac:dyDescent="0.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</row>
    <row r="200" spans="1:20" ht="13.5" thickBot="1" x14ac:dyDescent="0.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</row>
    <row r="201" spans="1:20" ht="13.5" thickBot="1" x14ac:dyDescent="0.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</row>
    <row r="202" spans="1:20" ht="13.5" thickBot="1" x14ac:dyDescent="0.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</row>
    <row r="203" spans="1:20" ht="13.5" thickBot="1" x14ac:dyDescent="0.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</row>
    <row r="204" spans="1:20" ht="13.5" thickBot="1" x14ac:dyDescent="0.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</row>
    <row r="205" spans="1:20" ht="13.5" thickBot="1" x14ac:dyDescent="0.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</row>
    <row r="206" spans="1:20" ht="13.5" thickBot="1" x14ac:dyDescent="0.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</row>
    <row r="207" spans="1:20" ht="13.5" thickBot="1" x14ac:dyDescent="0.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</row>
    <row r="208" spans="1:20" ht="13.5" thickBot="1" x14ac:dyDescent="0.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</row>
    <row r="209" spans="1:20" ht="13.5" thickBot="1" x14ac:dyDescent="0.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</row>
    <row r="210" spans="1:20" ht="13.5" thickBot="1" x14ac:dyDescent="0.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</row>
    <row r="211" spans="1:20" ht="13.5" thickBot="1" x14ac:dyDescent="0.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</row>
    <row r="212" spans="1:20" ht="13.5" thickBot="1" x14ac:dyDescent="0.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</row>
    <row r="213" spans="1:20" ht="13.5" thickBot="1" x14ac:dyDescent="0.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</row>
    <row r="214" spans="1:20" ht="13.5" thickBot="1" x14ac:dyDescent="0.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</row>
    <row r="215" spans="1:20" ht="13.5" thickBot="1" x14ac:dyDescent="0.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</row>
    <row r="216" spans="1:20" ht="13.5" thickBot="1" x14ac:dyDescent="0.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</row>
    <row r="217" spans="1:20" ht="13.5" thickBot="1" x14ac:dyDescent="0.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</row>
    <row r="218" spans="1:20" ht="13.5" thickBot="1" x14ac:dyDescent="0.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</row>
    <row r="219" spans="1:20" ht="13.5" thickBot="1" x14ac:dyDescent="0.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</row>
    <row r="220" spans="1:20" ht="13.5" thickBot="1" x14ac:dyDescent="0.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</row>
    <row r="221" spans="1:20" ht="13.5" thickBot="1" x14ac:dyDescent="0.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</row>
    <row r="222" spans="1:20" ht="13.5" thickBot="1" x14ac:dyDescent="0.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</row>
    <row r="223" spans="1:20" ht="13.5" thickBot="1" x14ac:dyDescent="0.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</row>
    <row r="224" spans="1:20" ht="13.5" thickBot="1" x14ac:dyDescent="0.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</row>
    <row r="225" spans="1:20" ht="13.5" thickBot="1" x14ac:dyDescent="0.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</row>
    <row r="226" spans="1:20" ht="13.5" thickBot="1" x14ac:dyDescent="0.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</row>
    <row r="227" spans="1:20" ht="13.5" thickBot="1" x14ac:dyDescent="0.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</row>
    <row r="228" spans="1:20" ht="13.5" thickBot="1" x14ac:dyDescent="0.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</row>
    <row r="229" spans="1:20" ht="13.5" thickBot="1" x14ac:dyDescent="0.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</row>
    <row r="230" spans="1:20" ht="13.5" thickBot="1" x14ac:dyDescent="0.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</row>
    <row r="231" spans="1:20" ht="13.5" thickBot="1" x14ac:dyDescent="0.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</row>
    <row r="232" spans="1:20" ht="13.5" thickBot="1" x14ac:dyDescent="0.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</row>
    <row r="233" spans="1:20" ht="13.5" thickBot="1" x14ac:dyDescent="0.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</row>
    <row r="234" spans="1:20" ht="13.5" thickBot="1" x14ac:dyDescent="0.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</row>
    <row r="235" spans="1:20" ht="13.5" thickBot="1" x14ac:dyDescent="0.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</row>
    <row r="236" spans="1:20" ht="13.5" thickBot="1" x14ac:dyDescent="0.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</row>
    <row r="237" spans="1:20" ht="13.5" thickBot="1" x14ac:dyDescent="0.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</row>
    <row r="238" spans="1:20" ht="13.5" thickBot="1" x14ac:dyDescent="0.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</row>
    <row r="239" spans="1:20" ht="13.5" thickBot="1" x14ac:dyDescent="0.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</row>
    <row r="240" spans="1:20" ht="13.5" thickBot="1" x14ac:dyDescent="0.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</row>
    <row r="241" spans="1:20" ht="13.5" thickBot="1" x14ac:dyDescent="0.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</row>
    <row r="242" spans="1:20" ht="13.5" thickBot="1" x14ac:dyDescent="0.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</row>
    <row r="243" spans="1:20" ht="13.5" thickBot="1" x14ac:dyDescent="0.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</row>
    <row r="244" spans="1:20" ht="13.5" thickBot="1" x14ac:dyDescent="0.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</row>
    <row r="245" spans="1:20" ht="13.5" thickBot="1" x14ac:dyDescent="0.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</row>
    <row r="246" spans="1:20" ht="13.5" thickBot="1" x14ac:dyDescent="0.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</row>
    <row r="247" spans="1:20" ht="13.5" thickBot="1" x14ac:dyDescent="0.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</row>
    <row r="248" spans="1:20" ht="13.5" thickBot="1" x14ac:dyDescent="0.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</row>
    <row r="249" spans="1:20" ht="13.5" thickBot="1" x14ac:dyDescent="0.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</row>
    <row r="250" spans="1:20" ht="13.5" thickBot="1" x14ac:dyDescent="0.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</row>
    <row r="251" spans="1:20" ht="13.5" thickBot="1" x14ac:dyDescent="0.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</row>
    <row r="252" spans="1:20" ht="13.5" thickBot="1" x14ac:dyDescent="0.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</row>
    <row r="253" spans="1:20" ht="13.5" thickBot="1" x14ac:dyDescent="0.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</row>
    <row r="254" spans="1:20" ht="13.5" thickBot="1" x14ac:dyDescent="0.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</row>
    <row r="255" spans="1:20" ht="13.5" thickBot="1" x14ac:dyDescent="0.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</row>
    <row r="256" spans="1:20" ht="13.5" thickBot="1" x14ac:dyDescent="0.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</row>
    <row r="257" spans="1:20" ht="13.5" thickBot="1" x14ac:dyDescent="0.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</row>
    <row r="258" spans="1:20" ht="13.5" thickBot="1" x14ac:dyDescent="0.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</row>
    <row r="259" spans="1:20" ht="13.5" thickBot="1" x14ac:dyDescent="0.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</row>
    <row r="260" spans="1:20" ht="13.5" thickBot="1" x14ac:dyDescent="0.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</row>
    <row r="261" spans="1:20" ht="13.5" thickBot="1" x14ac:dyDescent="0.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</row>
    <row r="262" spans="1:20" ht="13.5" thickBot="1" x14ac:dyDescent="0.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</row>
    <row r="263" spans="1:20" ht="13.5" thickBot="1" x14ac:dyDescent="0.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</row>
    <row r="264" spans="1:20" ht="13.5" thickBot="1" x14ac:dyDescent="0.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</row>
    <row r="265" spans="1:20" ht="13.5" thickBot="1" x14ac:dyDescent="0.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</row>
    <row r="266" spans="1:20" ht="13.5" thickBot="1" x14ac:dyDescent="0.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</row>
    <row r="267" spans="1:20" ht="13.5" thickBot="1" x14ac:dyDescent="0.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</row>
    <row r="268" spans="1:20" ht="13.5" thickBot="1" x14ac:dyDescent="0.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</row>
    <row r="269" spans="1:20" ht="13.5" thickBot="1" x14ac:dyDescent="0.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</row>
    <row r="270" spans="1:20" ht="13.5" thickBot="1" x14ac:dyDescent="0.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</row>
    <row r="271" spans="1:20" ht="13.5" thickBot="1" x14ac:dyDescent="0.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</row>
    <row r="272" spans="1:20" ht="13.5" thickBot="1" x14ac:dyDescent="0.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</row>
    <row r="273" spans="1:20" ht="13.5" thickBot="1" x14ac:dyDescent="0.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</row>
    <row r="274" spans="1:20" ht="13.5" thickBot="1" x14ac:dyDescent="0.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</row>
    <row r="275" spans="1:20" ht="13.5" thickBot="1" x14ac:dyDescent="0.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</row>
    <row r="276" spans="1:20" ht="13.5" thickBot="1" x14ac:dyDescent="0.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</row>
    <row r="277" spans="1:20" ht="13.5" thickBot="1" x14ac:dyDescent="0.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</row>
    <row r="278" spans="1:20" ht="13.5" thickBot="1" x14ac:dyDescent="0.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</row>
    <row r="279" spans="1:20" ht="13.5" thickBot="1" x14ac:dyDescent="0.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</row>
    <row r="280" spans="1:20" ht="13.5" thickBot="1" x14ac:dyDescent="0.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</row>
    <row r="281" spans="1:20" ht="13.5" thickBot="1" x14ac:dyDescent="0.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</row>
    <row r="282" spans="1:20" ht="13.5" thickBot="1" x14ac:dyDescent="0.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</row>
    <row r="283" spans="1:20" ht="13.5" thickBot="1" x14ac:dyDescent="0.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</row>
    <row r="284" spans="1:20" ht="13.5" thickBot="1" x14ac:dyDescent="0.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</row>
    <row r="285" spans="1:20" ht="13.5" thickBot="1" x14ac:dyDescent="0.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</row>
    <row r="286" spans="1:20" ht="13.5" thickBot="1" x14ac:dyDescent="0.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</row>
    <row r="287" spans="1:20" ht="13.5" thickBot="1" x14ac:dyDescent="0.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</row>
    <row r="288" spans="1:20" ht="13.5" thickBot="1" x14ac:dyDescent="0.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</row>
    <row r="289" spans="1:20" ht="13.5" thickBot="1" x14ac:dyDescent="0.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</row>
    <row r="290" spans="1:20" ht="13.5" thickBot="1" x14ac:dyDescent="0.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</row>
    <row r="291" spans="1:20" ht="13.5" thickBot="1" x14ac:dyDescent="0.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</row>
    <row r="292" spans="1:20" ht="13.5" thickBot="1" x14ac:dyDescent="0.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</row>
    <row r="293" spans="1:20" ht="13.5" thickBot="1" x14ac:dyDescent="0.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</row>
    <row r="294" spans="1:20" ht="13.5" thickBot="1" x14ac:dyDescent="0.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</row>
    <row r="295" spans="1:20" ht="13.5" thickBot="1" x14ac:dyDescent="0.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</row>
    <row r="296" spans="1:20" ht="13.5" thickBot="1" x14ac:dyDescent="0.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</row>
    <row r="297" spans="1:20" ht="13.5" thickBot="1" x14ac:dyDescent="0.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</row>
    <row r="298" spans="1:20" ht="13.5" thickBot="1" x14ac:dyDescent="0.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</row>
    <row r="299" spans="1:20" ht="13.5" thickBot="1" x14ac:dyDescent="0.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</row>
    <row r="300" spans="1:20" ht="13.5" thickBot="1" x14ac:dyDescent="0.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</row>
    <row r="301" spans="1:20" ht="13.5" thickBot="1" x14ac:dyDescent="0.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</row>
    <row r="302" spans="1:20" ht="13.5" thickBot="1" x14ac:dyDescent="0.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</row>
    <row r="303" spans="1:20" ht="13.5" thickBot="1" x14ac:dyDescent="0.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</row>
    <row r="304" spans="1:20" ht="13.5" thickBot="1" x14ac:dyDescent="0.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</row>
    <row r="305" spans="1:20" ht="13.5" thickBot="1" x14ac:dyDescent="0.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</row>
    <row r="306" spans="1:20" ht="13.5" thickBot="1" x14ac:dyDescent="0.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</row>
    <row r="307" spans="1:20" ht="13.5" thickBot="1" x14ac:dyDescent="0.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</row>
    <row r="308" spans="1:20" ht="13.5" thickBot="1" x14ac:dyDescent="0.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</row>
    <row r="309" spans="1:20" ht="13.5" thickBot="1" x14ac:dyDescent="0.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</row>
    <row r="310" spans="1:20" ht="13.5" thickBot="1" x14ac:dyDescent="0.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</row>
    <row r="311" spans="1:20" ht="13.5" thickBot="1" x14ac:dyDescent="0.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</row>
    <row r="312" spans="1:20" ht="13.5" thickBot="1" x14ac:dyDescent="0.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</row>
    <row r="313" spans="1:20" ht="13.5" thickBot="1" x14ac:dyDescent="0.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</row>
    <row r="314" spans="1:20" ht="13.5" thickBot="1" x14ac:dyDescent="0.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</row>
    <row r="315" spans="1:20" ht="13.5" thickBot="1" x14ac:dyDescent="0.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</row>
    <row r="316" spans="1:20" ht="13.5" thickBot="1" x14ac:dyDescent="0.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</row>
    <row r="317" spans="1:20" ht="13.5" thickBot="1" x14ac:dyDescent="0.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</row>
    <row r="318" spans="1:20" ht="13.5" thickBot="1" x14ac:dyDescent="0.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</row>
    <row r="319" spans="1:20" ht="13.5" thickBot="1" x14ac:dyDescent="0.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</row>
    <row r="320" spans="1:20" ht="13.5" thickBot="1" x14ac:dyDescent="0.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</row>
    <row r="321" spans="1:20" ht="13.5" thickBot="1" x14ac:dyDescent="0.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</row>
    <row r="322" spans="1:20" ht="13.5" thickBot="1" x14ac:dyDescent="0.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</row>
    <row r="323" spans="1:20" ht="13.5" thickBot="1" x14ac:dyDescent="0.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</row>
    <row r="324" spans="1:20" ht="13.5" thickBot="1" x14ac:dyDescent="0.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</row>
    <row r="325" spans="1:20" ht="13.5" thickBot="1" x14ac:dyDescent="0.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</row>
    <row r="326" spans="1:20" ht="13.5" thickBot="1" x14ac:dyDescent="0.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</row>
    <row r="327" spans="1:20" ht="13.5" thickBot="1" x14ac:dyDescent="0.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</row>
    <row r="328" spans="1:20" ht="13.5" thickBot="1" x14ac:dyDescent="0.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</row>
    <row r="329" spans="1:20" ht="13.5" thickBot="1" x14ac:dyDescent="0.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</row>
    <row r="330" spans="1:20" ht="13.5" thickBot="1" x14ac:dyDescent="0.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</row>
    <row r="331" spans="1:20" ht="13.5" thickBot="1" x14ac:dyDescent="0.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</row>
    <row r="332" spans="1:20" ht="13.5" thickBot="1" x14ac:dyDescent="0.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</row>
    <row r="333" spans="1:20" ht="13.5" thickBot="1" x14ac:dyDescent="0.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</row>
    <row r="334" spans="1:20" ht="13.5" thickBot="1" x14ac:dyDescent="0.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</row>
    <row r="335" spans="1:20" ht="13.5" thickBot="1" x14ac:dyDescent="0.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</row>
    <row r="336" spans="1:20" ht="13.5" thickBot="1" x14ac:dyDescent="0.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</row>
    <row r="337" spans="1:20" ht="13.5" thickBot="1" x14ac:dyDescent="0.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</row>
    <row r="338" spans="1:20" ht="13.5" thickBot="1" x14ac:dyDescent="0.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</row>
    <row r="339" spans="1:20" ht="13.5" thickBot="1" x14ac:dyDescent="0.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</row>
    <row r="340" spans="1:20" ht="13.5" thickBot="1" x14ac:dyDescent="0.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</row>
    <row r="341" spans="1:20" ht="13.5" thickBot="1" x14ac:dyDescent="0.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</row>
    <row r="342" spans="1:20" ht="13.5" thickBot="1" x14ac:dyDescent="0.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</row>
    <row r="343" spans="1:20" ht="13.5" thickBot="1" x14ac:dyDescent="0.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</row>
    <row r="344" spans="1:20" ht="13.5" thickBot="1" x14ac:dyDescent="0.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</row>
    <row r="345" spans="1:20" ht="13.5" thickBot="1" x14ac:dyDescent="0.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</row>
    <row r="346" spans="1:20" ht="13.5" thickBot="1" x14ac:dyDescent="0.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</row>
    <row r="347" spans="1:20" ht="13.5" thickBot="1" x14ac:dyDescent="0.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</row>
    <row r="348" spans="1:20" ht="13.5" thickBot="1" x14ac:dyDescent="0.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</row>
    <row r="349" spans="1:20" ht="13.5" thickBot="1" x14ac:dyDescent="0.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</row>
    <row r="350" spans="1:20" ht="13.5" thickBot="1" x14ac:dyDescent="0.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</row>
    <row r="351" spans="1:20" ht="13.5" thickBot="1" x14ac:dyDescent="0.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</row>
    <row r="352" spans="1:20" ht="13.5" thickBot="1" x14ac:dyDescent="0.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</row>
    <row r="353" spans="1:20" ht="13.5" thickBot="1" x14ac:dyDescent="0.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</row>
    <row r="354" spans="1:20" ht="13.5" thickBot="1" x14ac:dyDescent="0.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</row>
    <row r="355" spans="1:20" ht="13.5" thickBot="1" x14ac:dyDescent="0.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</row>
    <row r="356" spans="1:20" ht="13.5" thickBot="1" x14ac:dyDescent="0.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</row>
    <row r="357" spans="1:20" ht="13.5" thickBot="1" x14ac:dyDescent="0.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</row>
    <row r="358" spans="1:20" ht="13.5" thickBot="1" x14ac:dyDescent="0.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</row>
    <row r="359" spans="1:20" ht="13.5" thickBot="1" x14ac:dyDescent="0.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</row>
    <row r="360" spans="1:20" ht="13.5" thickBot="1" x14ac:dyDescent="0.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</row>
    <row r="361" spans="1:20" ht="13.5" thickBot="1" x14ac:dyDescent="0.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</row>
    <row r="362" spans="1:20" ht="13.5" thickBot="1" x14ac:dyDescent="0.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</row>
    <row r="363" spans="1:20" ht="13.5" thickBot="1" x14ac:dyDescent="0.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</row>
    <row r="364" spans="1:20" ht="13.5" thickBot="1" x14ac:dyDescent="0.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</row>
    <row r="365" spans="1:20" ht="13.5" thickBot="1" x14ac:dyDescent="0.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</row>
    <row r="366" spans="1:20" ht="13.5" thickBot="1" x14ac:dyDescent="0.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</row>
    <row r="367" spans="1:20" ht="13.5" thickBot="1" x14ac:dyDescent="0.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</row>
    <row r="368" spans="1:20" ht="13.5" thickBot="1" x14ac:dyDescent="0.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</row>
    <row r="369" spans="1:20" ht="13.5" thickBot="1" x14ac:dyDescent="0.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</row>
    <row r="370" spans="1:20" ht="13.5" thickBot="1" x14ac:dyDescent="0.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</row>
    <row r="371" spans="1:20" ht="13.5" thickBot="1" x14ac:dyDescent="0.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</row>
    <row r="372" spans="1:20" ht="13.5" thickBot="1" x14ac:dyDescent="0.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</row>
    <row r="373" spans="1:20" ht="13.5" thickBot="1" x14ac:dyDescent="0.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</row>
    <row r="374" spans="1:20" ht="13.5" thickBot="1" x14ac:dyDescent="0.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</row>
    <row r="375" spans="1:20" ht="13.5" thickBot="1" x14ac:dyDescent="0.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</row>
    <row r="376" spans="1:20" ht="13.5" thickBot="1" x14ac:dyDescent="0.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</row>
    <row r="377" spans="1:20" ht="13.5" thickBot="1" x14ac:dyDescent="0.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</row>
    <row r="378" spans="1:20" ht="13.5" thickBot="1" x14ac:dyDescent="0.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</row>
    <row r="379" spans="1:20" ht="13.5" thickBot="1" x14ac:dyDescent="0.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</row>
    <row r="380" spans="1:20" ht="13.5" thickBot="1" x14ac:dyDescent="0.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</row>
    <row r="381" spans="1:20" ht="13.5" thickBot="1" x14ac:dyDescent="0.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</row>
    <row r="382" spans="1:20" ht="13.5" thickBot="1" x14ac:dyDescent="0.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</row>
    <row r="383" spans="1:20" ht="13.5" thickBot="1" x14ac:dyDescent="0.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</row>
    <row r="384" spans="1:20" ht="13.5" thickBot="1" x14ac:dyDescent="0.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</row>
    <row r="385" spans="1:20" ht="13.5" thickBot="1" x14ac:dyDescent="0.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</row>
    <row r="386" spans="1:20" ht="13.5" thickBot="1" x14ac:dyDescent="0.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</row>
    <row r="387" spans="1:20" ht="13.5" thickBot="1" x14ac:dyDescent="0.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</row>
    <row r="388" spans="1:20" ht="13.5" thickBot="1" x14ac:dyDescent="0.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</row>
    <row r="389" spans="1:20" ht="13.5" thickBot="1" x14ac:dyDescent="0.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</row>
    <row r="390" spans="1:20" ht="13.5" thickBot="1" x14ac:dyDescent="0.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</row>
    <row r="391" spans="1:20" ht="13.5" thickBot="1" x14ac:dyDescent="0.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</row>
    <row r="392" spans="1:20" ht="13.5" thickBot="1" x14ac:dyDescent="0.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</row>
    <row r="393" spans="1:20" ht="13.5" thickBot="1" x14ac:dyDescent="0.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</row>
    <row r="394" spans="1:20" ht="13.5" thickBot="1" x14ac:dyDescent="0.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</row>
    <row r="395" spans="1:20" ht="13.5" thickBot="1" x14ac:dyDescent="0.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</row>
    <row r="396" spans="1:20" ht="13.5" thickBot="1" x14ac:dyDescent="0.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</row>
    <row r="397" spans="1:20" ht="13.5" thickBot="1" x14ac:dyDescent="0.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</row>
    <row r="398" spans="1:20" ht="13.5" thickBot="1" x14ac:dyDescent="0.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</row>
    <row r="399" spans="1:20" ht="13.5" thickBot="1" x14ac:dyDescent="0.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</row>
    <row r="400" spans="1:20" ht="13.5" thickBot="1" x14ac:dyDescent="0.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</row>
    <row r="401" spans="1:20" ht="13.5" thickBot="1" x14ac:dyDescent="0.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</row>
    <row r="402" spans="1:20" ht="13.5" thickBot="1" x14ac:dyDescent="0.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</row>
    <row r="403" spans="1:20" ht="13.5" thickBot="1" x14ac:dyDescent="0.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</row>
    <row r="404" spans="1:20" ht="13.5" thickBot="1" x14ac:dyDescent="0.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</row>
    <row r="405" spans="1:20" ht="13.5" thickBot="1" x14ac:dyDescent="0.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</row>
    <row r="406" spans="1:20" ht="13.5" thickBot="1" x14ac:dyDescent="0.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</row>
    <row r="407" spans="1:20" ht="13.5" thickBot="1" x14ac:dyDescent="0.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</row>
    <row r="408" spans="1:20" ht="13.5" thickBot="1" x14ac:dyDescent="0.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</row>
    <row r="409" spans="1:20" ht="13.5" thickBot="1" x14ac:dyDescent="0.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</row>
    <row r="410" spans="1:20" ht="13.5" thickBot="1" x14ac:dyDescent="0.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</row>
    <row r="411" spans="1:20" ht="13.5" thickBot="1" x14ac:dyDescent="0.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</row>
    <row r="412" spans="1:20" ht="13.5" thickBot="1" x14ac:dyDescent="0.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</row>
    <row r="413" spans="1:20" ht="13.5" thickBot="1" x14ac:dyDescent="0.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</row>
    <row r="414" spans="1:20" ht="13.5" thickBot="1" x14ac:dyDescent="0.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</row>
    <row r="415" spans="1:20" ht="13.5" thickBot="1" x14ac:dyDescent="0.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</row>
    <row r="416" spans="1:20" ht="13.5" thickBot="1" x14ac:dyDescent="0.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</row>
    <row r="417" spans="1:20" ht="13.5" thickBot="1" x14ac:dyDescent="0.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</row>
    <row r="418" spans="1:20" ht="13.5" thickBot="1" x14ac:dyDescent="0.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</row>
    <row r="419" spans="1:20" ht="13.5" thickBot="1" x14ac:dyDescent="0.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</row>
    <row r="420" spans="1:20" ht="13.5" thickBot="1" x14ac:dyDescent="0.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</row>
    <row r="421" spans="1:20" ht="13.5" thickBot="1" x14ac:dyDescent="0.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</row>
    <row r="422" spans="1:20" ht="13.5" thickBot="1" x14ac:dyDescent="0.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</row>
    <row r="423" spans="1:20" ht="13.5" thickBot="1" x14ac:dyDescent="0.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</row>
    <row r="424" spans="1:20" ht="13.5" thickBot="1" x14ac:dyDescent="0.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</row>
    <row r="425" spans="1:20" ht="13.5" thickBot="1" x14ac:dyDescent="0.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</row>
    <row r="426" spans="1:20" ht="13.5" thickBot="1" x14ac:dyDescent="0.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</row>
    <row r="427" spans="1:20" ht="13.5" thickBot="1" x14ac:dyDescent="0.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</row>
    <row r="428" spans="1:20" ht="13.5" thickBot="1" x14ac:dyDescent="0.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</row>
    <row r="429" spans="1:20" ht="13.5" thickBot="1" x14ac:dyDescent="0.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</row>
    <row r="430" spans="1:20" ht="13.5" thickBot="1" x14ac:dyDescent="0.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</row>
    <row r="431" spans="1:20" ht="13.5" thickBot="1" x14ac:dyDescent="0.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</row>
    <row r="432" spans="1:20" ht="13.5" thickBot="1" x14ac:dyDescent="0.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</row>
    <row r="433" spans="1:20" ht="13.5" thickBot="1" x14ac:dyDescent="0.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</row>
    <row r="434" spans="1:20" ht="13.5" thickBot="1" x14ac:dyDescent="0.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</row>
    <row r="435" spans="1:20" ht="13.5" thickBot="1" x14ac:dyDescent="0.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</row>
    <row r="436" spans="1:20" ht="13.5" thickBot="1" x14ac:dyDescent="0.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</row>
    <row r="437" spans="1:20" ht="13.5" thickBot="1" x14ac:dyDescent="0.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</row>
    <row r="438" spans="1:20" ht="13.5" thickBot="1" x14ac:dyDescent="0.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</row>
    <row r="439" spans="1:20" ht="13.5" thickBot="1" x14ac:dyDescent="0.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</row>
    <row r="440" spans="1:20" ht="13.5" thickBot="1" x14ac:dyDescent="0.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</row>
    <row r="441" spans="1:20" ht="13.5" thickBot="1" x14ac:dyDescent="0.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</row>
    <row r="442" spans="1:20" ht="13.5" thickBot="1" x14ac:dyDescent="0.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</row>
    <row r="443" spans="1:20" ht="13.5" thickBot="1" x14ac:dyDescent="0.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</row>
    <row r="444" spans="1:20" ht="13.5" thickBot="1" x14ac:dyDescent="0.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</row>
    <row r="445" spans="1:20" ht="13.5" thickBot="1" x14ac:dyDescent="0.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</row>
    <row r="446" spans="1:20" ht="13.5" thickBot="1" x14ac:dyDescent="0.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</row>
    <row r="447" spans="1:20" ht="13.5" thickBot="1" x14ac:dyDescent="0.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</row>
    <row r="448" spans="1:20" ht="13.5" thickBot="1" x14ac:dyDescent="0.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</row>
    <row r="449" spans="1:20" ht="13.5" thickBot="1" x14ac:dyDescent="0.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</row>
    <row r="450" spans="1:20" ht="13.5" thickBot="1" x14ac:dyDescent="0.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</row>
    <row r="451" spans="1:20" ht="13.5" thickBot="1" x14ac:dyDescent="0.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</row>
    <row r="452" spans="1:20" ht="13.5" thickBot="1" x14ac:dyDescent="0.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</row>
    <row r="453" spans="1:20" ht="13.5" thickBot="1" x14ac:dyDescent="0.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</row>
    <row r="454" spans="1:20" ht="13.5" thickBot="1" x14ac:dyDescent="0.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</row>
    <row r="455" spans="1:20" ht="13.5" thickBot="1" x14ac:dyDescent="0.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</row>
    <row r="456" spans="1:20" ht="13.5" thickBot="1" x14ac:dyDescent="0.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</row>
    <row r="457" spans="1:20" ht="13.5" thickBot="1" x14ac:dyDescent="0.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</row>
    <row r="458" spans="1:20" ht="13.5" thickBot="1" x14ac:dyDescent="0.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</row>
    <row r="459" spans="1:20" ht="13.5" thickBot="1" x14ac:dyDescent="0.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</row>
    <row r="460" spans="1:20" ht="13.5" thickBot="1" x14ac:dyDescent="0.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</row>
    <row r="461" spans="1:20" ht="13.5" thickBot="1" x14ac:dyDescent="0.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</row>
    <row r="462" spans="1:20" ht="13.5" thickBot="1" x14ac:dyDescent="0.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</row>
    <row r="463" spans="1:20" ht="13.5" thickBot="1" x14ac:dyDescent="0.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</row>
    <row r="464" spans="1:20" ht="13.5" thickBot="1" x14ac:dyDescent="0.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</row>
    <row r="465" spans="1:20" ht="13.5" thickBot="1" x14ac:dyDescent="0.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</row>
    <row r="466" spans="1:20" ht="13.5" thickBot="1" x14ac:dyDescent="0.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</row>
    <row r="467" spans="1:20" ht="13.5" thickBot="1" x14ac:dyDescent="0.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</row>
    <row r="468" spans="1:20" ht="13.5" thickBot="1" x14ac:dyDescent="0.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</row>
    <row r="469" spans="1:20" ht="13.5" thickBot="1" x14ac:dyDescent="0.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</row>
    <row r="470" spans="1:20" ht="13.5" thickBot="1" x14ac:dyDescent="0.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</row>
    <row r="471" spans="1:20" ht="13.5" thickBot="1" x14ac:dyDescent="0.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</row>
    <row r="472" spans="1:20" ht="13.5" thickBot="1" x14ac:dyDescent="0.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</row>
    <row r="473" spans="1:20" ht="13.5" thickBot="1" x14ac:dyDescent="0.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</row>
    <row r="474" spans="1:20" ht="13.5" thickBot="1" x14ac:dyDescent="0.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</row>
    <row r="475" spans="1:20" ht="13.5" thickBot="1" x14ac:dyDescent="0.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</row>
    <row r="476" spans="1:20" ht="13.5" thickBot="1" x14ac:dyDescent="0.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</row>
    <row r="477" spans="1:20" ht="13.5" thickBot="1" x14ac:dyDescent="0.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</row>
    <row r="478" spans="1:20" ht="13.5" thickBot="1" x14ac:dyDescent="0.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</row>
    <row r="479" spans="1:20" ht="13.5" thickBot="1" x14ac:dyDescent="0.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</row>
    <row r="480" spans="1:20" ht="13.5" thickBot="1" x14ac:dyDescent="0.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</row>
    <row r="481" spans="1:20" ht="13.5" thickBot="1" x14ac:dyDescent="0.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</row>
    <row r="482" spans="1:20" ht="13.5" thickBot="1" x14ac:dyDescent="0.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</row>
    <row r="483" spans="1:20" ht="13.5" thickBot="1" x14ac:dyDescent="0.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</row>
    <row r="484" spans="1:20" ht="13.5" thickBot="1" x14ac:dyDescent="0.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</row>
    <row r="485" spans="1:20" ht="13.5" thickBot="1" x14ac:dyDescent="0.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</row>
    <row r="486" spans="1:20" ht="13.5" thickBot="1" x14ac:dyDescent="0.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</row>
    <row r="487" spans="1:20" ht="13.5" thickBot="1" x14ac:dyDescent="0.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</row>
    <row r="488" spans="1:20" ht="13.5" thickBot="1" x14ac:dyDescent="0.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</row>
    <row r="489" spans="1:20" ht="13.5" thickBot="1" x14ac:dyDescent="0.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</row>
    <row r="490" spans="1:20" ht="13.5" thickBot="1" x14ac:dyDescent="0.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</row>
    <row r="491" spans="1:20" ht="13.5" thickBot="1" x14ac:dyDescent="0.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</row>
    <row r="492" spans="1:20" ht="13.5" thickBot="1" x14ac:dyDescent="0.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</row>
    <row r="493" spans="1:20" ht="13.5" thickBot="1" x14ac:dyDescent="0.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</row>
    <row r="494" spans="1:20" ht="13.5" thickBot="1" x14ac:dyDescent="0.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</row>
    <row r="495" spans="1:20" ht="13.5" thickBot="1" x14ac:dyDescent="0.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</row>
    <row r="496" spans="1:20" ht="13.5" thickBot="1" x14ac:dyDescent="0.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</row>
    <row r="497" spans="1:20" ht="13.5" thickBot="1" x14ac:dyDescent="0.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</row>
    <row r="498" spans="1:20" ht="13.5" thickBot="1" x14ac:dyDescent="0.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</row>
    <row r="499" spans="1:20" ht="13.5" thickBot="1" x14ac:dyDescent="0.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</row>
    <row r="500" spans="1:20" ht="13.5" thickBot="1" x14ac:dyDescent="0.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</row>
    <row r="501" spans="1:20" ht="13.5" thickBot="1" x14ac:dyDescent="0.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</row>
    <row r="502" spans="1:20" ht="13.5" thickBot="1" x14ac:dyDescent="0.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</row>
    <row r="503" spans="1:20" ht="13.5" thickBot="1" x14ac:dyDescent="0.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</row>
    <row r="504" spans="1:20" ht="13.5" thickBot="1" x14ac:dyDescent="0.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</row>
    <row r="505" spans="1:20" ht="13.5" thickBot="1" x14ac:dyDescent="0.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</row>
    <row r="506" spans="1:20" ht="13.5" thickBot="1" x14ac:dyDescent="0.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</row>
    <row r="507" spans="1:20" ht="13.5" thickBot="1" x14ac:dyDescent="0.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</row>
    <row r="508" spans="1:20" ht="13.5" thickBot="1" x14ac:dyDescent="0.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</row>
    <row r="509" spans="1:20" ht="13.5" thickBot="1" x14ac:dyDescent="0.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</row>
    <row r="510" spans="1:20" ht="13.5" thickBot="1" x14ac:dyDescent="0.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</row>
    <row r="511" spans="1:20" ht="13.5" thickBot="1" x14ac:dyDescent="0.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</row>
    <row r="512" spans="1:20" ht="13.5" thickBot="1" x14ac:dyDescent="0.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</row>
    <row r="513" spans="1:20" ht="13.5" thickBot="1" x14ac:dyDescent="0.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</row>
    <row r="514" spans="1:20" ht="13.5" thickBot="1" x14ac:dyDescent="0.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</row>
    <row r="515" spans="1:20" ht="13.5" thickBot="1" x14ac:dyDescent="0.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</row>
    <row r="516" spans="1:20" ht="13.5" thickBot="1" x14ac:dyDescent="0.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</row>
    <row r="517" spans="1:20" ht="13.5" thickBot="1" x14ac:dyDescent="0.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</row>
    <row r="518" spans="1:20" ht="13.5" thickBot="1" x14ac:dyDescent="0.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</row>
    <row r="519" spans="1:20" ht="13.5" thickBot="1" x14ac:dyDescent="0.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</row>
    <row r="520" spans="1:20" ht="13.5" thickBot="1" x14ac:dyDescent="0.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</row>
    <row r="521" spans="1:20" ht="13.5" thickBot="1" x14ac:dyDescent="0.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</row>
    <row r="522" spans="1:20" ht="13.5" thickBot="1" x14ac:dyDescent="0.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</row>
    <row r="523" spans="1:20" ht="13.5" thickBot="1" x14ac:dyDescent="0.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</row>
    <row r="524" spans="1:20" ht="13.5" thickBot="1" x14ac:dyDescent="0.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</row>
    <row r="525" spans="1:20" ht="13.5" thickBot="1" x14ac:dyDescent="0.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</row>
    <row r="526" spans="1:20" ht="13.5" thickBot="1" x14ac:dyDescent="0.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</row>
    <row r="527" spans="1:20" ht="13.5" thickBot="1" x14ac:dyDescent="0.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</row>
    <row r="528" spans="1:20" ht="13.5" thickBot="1" x14ac:dyDescent="0.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</row>
    <row r="529" spans="1:20" ht="13.5" thickBot="1" x14ac:dyDescent="0.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</row>
    <row r="530" spans="1:20" ht="13.5" thickBot="1" x14ac:dyDescent="0.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</row>
    <row r="531" spans="1:20" ht="13.5" thickBot="1" x14ac:dyDescent="0.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</row>
    <row r="532" spans="1:20" ht="13.5" thickBot="1" x14ac:dyDescent="0.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</row>
    <row r="533" spans="1:20" ht="13.5" thickBot="1" x14ac:dyDescent="0.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</row>
    <row r="534" spans="1:20" ht="13.5" thickBot="1" x14ac:dyDescent="0.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</row>
    <row r="535" spans="1:20" ht="13.5" thickBot="1" x14ac:dyDescent="0.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</row>
    <row r="536" spans="1:20" ht="13.5" thickBot="1" x14ac:dyDescent="0.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</row>
    <row r="537" spans="1:20" ht="13.5" thickBot="1" x14ac:dyDescent="0.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</row>
    <row r="538" spans="1:20" ht="13.5" thickBot="1" x14ac:dyDescent="0.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</row>
    <row r="539" spans="1:20" ht="13.5" thickBot="1" x14ac:dyDescent="0.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</row>
    <row r="540" spans="1:20" ht="13.5" thickBot="1" x14ac:dyDescent="0.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</row>
    <row r="541" spans="1:20" ht="13.5" thickBot="1" x14ac:dyDescent="0.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</row>
    <row r="542" spans="1:20" ht="13.5" thickBot="1" x14ac:dyDescent="0.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</row>
    <row r="543" spans="1:20" ht="13.5" thickBot="1" x14ac:dyDescent="0.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</row>
    <row r="544" spans="1:20" ht="13.5" thickBot="1" x14ac:dyDescent="0.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</row>
    <row r="545" spans="1:20" ht="13.5" thickBot="1" x14ac:dyDescent="0.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</row>
    <row r="546" spans="1:20" ht="13.5" thickBot="1" x14ac:dyDescent="0.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</row>
    <row r="547" spans="1:20" ht="13.5" thickBot="1" x14ac:dyDescent="0.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</row>
    <row r="548" spans="1:20" ht="13.5" thickBot="1" x14ac:dyDescent="0.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</row>
    <row r="549" spans="1:20" ht="13.5" thickBot="1" x14ac:dyDescent="0.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</row>
    <row r="550" spans="1:20" ht="13.5" thickBot="1" x14ac:dyDescent="0.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</row>
    <row r="551" spans="1:20" ht="13.5" thickBot="1" x14ac:dyDescent="0.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</row>
    <row r="552" spans="1:20" ht="13.5" thickBot="1" x14ac:dyDescent="0.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</row>
    <row r="553" spans="1:20" ht="13.5" thickBot="1" x14ac:dyDescent="0.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</row>
    <row r="554" spans="1:20" ht="13.5" thickBot="1" x14ac:dyDescent="0.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</row>
    <row r="555" spans="1:20" ht="13.5" thickBot="1" x14ac:dyDescent="0.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</row>
    <row r="556" spans="1:20" ht="13.5" thickBot="1" x14ac:dyDescent="0.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</row>
    <row r="557" spans="1:20" ht="13.5" thickBot="1" x14ac:dyDescent="0.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</row>
    <row r="558" spans="1:20" ht="13.5" thickBot="1" x14ac:dyDescent="0.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</row>
    <row r="559" spans="1:20" ht="13.5" thickBot="1" x14ac:dyDescent="0.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</row>
    <row r="560" spans="1:20" ht="13.5" thickBot="1" x14ac:dyDescent="0.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</row>
    <row r="561" spans="1:20" ht="13.5" thickBot="1" x14ac:dyDescent="0.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</row>
    <row r="562" spans="1:20" ht="13.5" thickBot="1" x14ac:dyDescent="0.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</row>
    <row r="563" spans="1:20" ht="13.5" thickBot="1" x14ac:dyDescent="0.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</row>
    <row r="564" spans="1:20" ht="13.5" thickBot="1" x14ac:dyDescent="0.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</row>
    <row r="565" spans="1:20" ht="13.5" thickBot="1" x14ac:dyDescent="0.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</row>
    <row r="566" spans="1:20" ht="13.5" thickBot="1" x14ac:dyDescent="0.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</row>
    <row r="567" spans="1:20" ht="13.5" thickBot="1" x14ac:dyDescent="0.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</row>
    <row r="568" spans="1:20" ht="13.5" thickBot="1" x14ac:dyDescent="0.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</row>
    <row r="569" spans="1:20" ht="13.5" thickBot="1" x14ac:dyDescent="0.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</row>
    <row r="570" spans="1:20" ht="13.5" thickBot="1" x14ac:dyDescent="0.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</row>
    <row r="571" spans="1:20" ht="13.5" thickBot="1" x14ac:dyDescent="0.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</row>
    <row r="572" spans="1:20" ht="13.5" thickBot="1" x14ac:dyDescent="0.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</row>
    <row r="573" spans="1:20" ht="13.5" thickBot="1" x14ac:dyDescent="0.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</row>
    <row r="574" spans="1:20" ht="13.5" thickBot="1" x14ac:dyDescent="0.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</row>
    <row r="575" spans="1:20" ht="13.5" thickBot="1" x14ac:dyDescent="0.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</row>
    <row r="576" spans="1:20" ht="13.5" thickBot="1" x14ac:dyDescent="0.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</row>
    <row r="577" spans="1:20" ht="13.5" thickBot="1" x14ac:dyDescent="0.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</row>
    <row r="578" spans="1:20" ht="13.5" thickBot="1" x14ac:dyDescent="0.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</row>
    <row r="579" spans="1:20" ht="13.5" thickBot="1" x14ac:dyDescent="0.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</row>
    <row r="580" spans="1:20" ht="13.5" thickBot="1" x14ac:dyDescent="0.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</row>
    <row r="581" spans="1:20" ht="13.5" thickBot="1" x14ac:dyDescent="0.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</row>
    <row r="582" spans="1:20" ht="13.5" thickBot="1" x14ac:dyDescent="0.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</row>
    <row r="583" spans="1:20" ht="13.5" thickBot="1" x14ac:dyDescent="0.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</row>
    <row r="584" spans="1:20" ht="13.5" thickBot="1" x14ac:dyDescent="0.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</row>
    <row r="585" spans="1:20" ht="13.5" thickBot="1" x14ac:dyDescent="0.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</row>
    <row r="586" spans="1:20" ht="13.5" thickBot="1" x14ac:dyDescent="0.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</row>
    <row r="587" spans="1:20" ht="13.5" thickBot="1" x14ac:dyDescent="0.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</row>
    <row r="588" spans="1:20" ht="13.5" thickBot="1" x14ac:dyDescent="0.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</row>
    <row r="589" spans="1:20" ht="13.5" thickBot="1" x14ac:dyDescent="0.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</row>
    <row r="590" spans="1:20" ht="13.5" thickBot="1" x14ac:dyDescent="0.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</row>
    <row r="591" spans="1:20" ht="13.5" thickBot="1" x14ac:dyDescent="0.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</row>
    <row r="592" spans="1:20" ht="13.5" thickBot="1" x14ac:dyDescent="0.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</row>
    <row r="593" spans="1:20" ht="13.5" thickBot="1" x14ac:dyDescent="0.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</row>
    <row r="594" spans="1:20" ht="13.5" thickBot="1" x14ac:dyDescent="0.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</row>
    <row r="595" spans="1:20" ht="13.5" thickBot="1" x14ac:dyDescent="0.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</row>
    <row r="596" spans="1:20" ht="13.5" thickBot="1" x14ac:dyDescent="0.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</row>
    <row r="597" spans="1:20" ht="13.5" thickBot="1" x14ac:dyDescent="0.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</row>
    <row r="598" spans="1:20" ht="13.5" thickBot="1" x14ac:dyDescent="0.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</row>
    <row r="599" spans="1:20" ht="13.5" thickBot="1" x14ac:dyDescent="0.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</row>
    <row r="600" spans="1:20" ht="13.5" thickBot="1" x14ac:dyDescent="0.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</row>
    <row r="601" spans="1:20" ht="13.5" thickBot="1" x14ac:dyDescent="0.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</row>
    <row r="602" spans="1:20" ht="13.5" thickBot="1" x14ac:dyDescent="0.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</row>
    <row r="603" spans="1:20" ht="13.5" thickBot="1" x14ac:dyDescent="0.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</row>
    <row r="604" spans="1:20" ht="13.5" thickBot="1" x14ac:dyDescent="0.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</row>
    <row r="605" spans="1:20" ht="13.5" thickBot="1" x14ac:dyDescent="0.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</row>
    <row r="606" spans="1:20" ht="13.5" thickBot="1" x14ac:dyDescent="0.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</row>
    <row r="607" spans="1:20" ht="13.5" thickBot="1" x14ac:dyDescent="0.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</row>
    <row r="608" spans="1:20" ht="13.5" thickBot="1" x14ac:dyDescent="0.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</row>
    <row r="609" spans="1:20" ht="13.5" thickBot="1" x14ac:dyDescent="0.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</row>
    <row r="610" spans="1:20" ht="13.5" thickBot="1" x14ac:dyDescent="0.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</row>
    <row r="611" spans="1:20" ht="13.5" thickBot="1" x14ac:dyDescent="0.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</row>
    <row r="612" spans="1:20" ht="13.5" thickBot="1" x14ac:dyDescent="0.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</row>
    <row r="613" spans="1:20" ht="13.5" thickBot="1" x14ac:dyDescent="0.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</row>
    <row r="614" spans="1:20" ht="13.5" thickBot="1" x14ac:dyDescent="0.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</row>
    <row r="615" spans="1:20" ht="13.5" thickBot="1" x14ac:dyDescent="0.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</row>
    <row r="616" spans="1:20" ht="13.5" thickBot="1" x14ac:dyDescent="0.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</row>
    <row r="617" spans="1:20" ht="13.5" thickBot="1" x14ac:dyDescent="0.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</row>
    <row r="618" spans="1:20" ht="13.5" thickBot="1" x14ac:dyDescent="0.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</row>
    <row r="619" spans="1:20" ht="13.5" thickBot="1" x14ac:dyDescent="0.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</row>
    <row r="620" spans="1:20" ht="13.5" thickBot="1" x14ac:dyDescent="0.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</row>
    <row r="621" spans="1:20" ht="13.5" thickBot="1" x14ac:dyDescent="0.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</row>
    <row r="622" spans="1:20" ht="13.5" thickBot="1" x14ac:dyDescent="0.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</row>
    <row r="623" spans="1:20" ht="13.5" thickBot="1" x14ac:dyDescent="0.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</row>
    <row r="624" spans="1:20" ht="13.5" thickBot="1" x14ac:dyDescent="0.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</row>
    <row r="625" spans="1:20" ht="13.5" thickBot="1" x14ac:dyDescent="0.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</row>
    <row r="626" spans="1:20" ht="13.5" thickBot="1" x14ac:dyDescent="0.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</row>
    <row r="627" spans="1:20" ht="13.5" thickBot="1" x14ac:dyDescent="0.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</row>
    <row r="628" spans="1:20" ht="13.5" thickBot="1" x14ac:dyDescent="0.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</row>
    <row r="629" spans="1:20" ht="13.5" thickBot="1" x14ac:dyDescent="0.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</row>
    <row r="630" spans="1:20" ht="13.5" thickBot="1" x14ac:dyDescent="0.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</row>
    <row r="631" spans="1:20" ht="13.5" thickBot="1" x14ac:dyDescent="0.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</row>
    <row r="632" spans="1:20" ht="13.5" thickBot="1" x14ac:dyDescent="0.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</row>
    <row r="633" spans="1:20" ht="13.5" thickBot="1" x14ac:dyDescent="0.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</row>
    <row r="634" spans="1:20" ht="13.5" thickBot="1" x14ac:dyDescent="0.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</row>
    <row r="635" spans="1:20" ht="13.5" thickBot="1" x14ac:dyDescent="0.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</row>
    <row r="636" spans="1:20" ht="13.5" thickBot="1" x14ac:dyDescent="0.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</row>
    <row r="637" spans="1:20" ht="13.5" thickBot="1" x14ac:dyDescent="0.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</row>
    <row r="638" spans="1:20" ht="13.5" thickBot="1" x14ac:dyDescent="0.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</row>
    <row r="639" spans="1:20" ht="13.5" thickBot="1" x14ac:dyDescent="0.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</row>
    <row r="640" spans="1:20" ht="13.5" thickBot="1" x14ac:dyDescent="0.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</row>
    <row r="641" spans="1:20" ht="13.5" thickBot="1" x14ac:dyDescent="0.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</row>
    <row r="642" spans="1:20" ht="13.5" thickBot="1" x14ac:dyDescent="0.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</row>
    <row r="643" spans="1:20" ht="13.5" thickBot="1" x14ac:dyDescent="0.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</row>
    <row r="644" spans="1:20" ht="13.5" thickBot="1" x14ac:dyDescent="0.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</row>
    <row r="645" spans="1:20" ht="13.5" thickBot="1" x14ac:dyDescent="0.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</row>
    <row r="646" spans="1:20" ht="13.5" thickBot="1" x14ac:dyDescent="0.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</row>
    <row r="647" spans="1:20" ht="13.5" thickBot="1" x14ac:dyDescent="0.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</row>
    <row r="648" spans="1:20" ht="13.5" thickBot="1" x14ac:dyDescent="0.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</row>
    <row r="649" spans="1:20" ht="13.5" thickBot="1" x14ac:dyDescent="0.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</row>
    <row r="650" spans="1:20" ht="13.5" thickBot="1" x14ac:dyDescent="0.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</row>
    <row r="651" spans="1:20" ht="13.5" thickBot="1" x14ac:dyDescent="0.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</row>
    <row r="652" spans="1:20" ht="13.5" thickBot="1" x14ac:dyDescent="0.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</row>
    <row r="653" spans="1:20" ht="13.5" thickBot="1" x14ac:dyDescent="0.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</row>
    <row r="654" spans="1:20" ht="13.5" thickBot="1" x14ac:dyDescent="0.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</row>
    <row r="655" spans="1:20" ht="13.5" thickBot="1" x14ac:dyDescent="0.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</row>
    <row r="656" spans="1:20" ht="13.5" thickBot="1" x14ac:dyDescent="0.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</row>
    <row r="657" spans="1:20" ht="13.5" thickBot="1" x14ac:dyDescent="0.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</row>
    <row r="658" spans="1:20" ht="13.5" thickBot="1" x14ac:dyDescent="0.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</row>
    <row r="659" spans="1:20" ht="13.5" thickBot="1" x14ac:dyDescent="0.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</row>
    <row r="660" spans="1:20" ht="13.5" thickBot="1" x14ac:dyDescent="0.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</row>
    <row r="661" spans="1:20" ht="13.5" thickBot="1" x14ac:dyDescent="0.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</row>
    <row r="662" spans="1:20" ht="13.5" thickBot="1" x14ac:dyDescent="0.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</row>
    <row r="663" spans="1:20" ht="13.5" thickBot="1" x14ac:dyDescent="0.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</row>
    <row r="664" spans="1:20" ht="13.5" thickBot="1" x14ac:dyDescent="0.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</row>
    <row r="665" spans="1:20" ht="13.5" thickBot="1" x14ac:dyDescent="0.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</row>
    <row r="666" spans="1:20" ht="13.5" thickBot="1" x14ac:dyDescent="0.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</row>
    <row r="667" spans="1:20" ht="13.5" thickBot="1" x14ac:dyDescent="0.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</row>
    <row r="668" spans="1:20" ht="13.5" thickBot="1" x14ac:dyDescent="0.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</row>
    <row r="669" spans="1:20" ht="13.5" thickBot="1" x14ac:dyDescent="0.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</row>
    <row r="670" spans="1:20" ht="13.5" thickBot="1" x14ac:dyDescent="0.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</row>
    <row r="671" spans="1:20" ht="13.5" thickBot="1" x14ac:dyDescent="0.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</row>
    <row r="672" spans="1:20" ht="13.5" thickBot="1" x14ac:dyDescent="0.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</row>
    <row r="673" spans="1:20" ht="13.5" thickBot="1" x14ac:dyDescent="0.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</row>
    <row r="674" spans="1:20" ht="13.5" thickBot="1" x14ac:dyDescent="0.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</row>
    <row r="675" spans="1:20" ht="13.5" thickBot="1" x14ac:dyDescent="0.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</row>
    <row r="676" spans="1:20" ht="13.5" thickBot="1" x14ac:dyDescent="0.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</row>
    <row r="677" spans="1:20" ht="13.5" thickBot="1" x14ac:dyDescent="0.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</row>
    <row r="678" spans="1:20" ht="13.5" thickBot="1" x14ac:dyDescent="0.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</row>
    <row r="679" spans="1:20" ht="13.5" thickBot="1" x14ac:dyDescent="0.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</row>
    <row r="680" spans="1:20" ht="13.5" thickBot="1" x14ac:dyDescent="0.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</row>
    <row r="681" spans="1:20" ht="13.5" thickBot="1" x14ac:dyDescent="0.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</row>
    <row r="682" spans="1:20" ht="13.5" thickBot="1" x14ac:dyDescent="0.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</row>
    <row r="683" spans="1:20" ht="13.5" thickBot="1" x14ac:dyDescent="0.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</row>
    <row r="684" spans="1:20" ht="13.5" thickBot="1" x14ac:dyDescent="0.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</row>
    <row r="685" spans="1:20" ht="13.5" thickBot="1" x14ac:dyDescent="0.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</row>
    <row r="686" spans="1:20" ht="13.5" thickBot="1" x14ac:dyDescent="0.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</row>
    <row r="687" spans="1:20" ht="13.5" thickBot="1" x14ac:dyDescent="0.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</row>
    <row r="688" spans="1:20" ht="13.5" thickBot="1" x14ac:dyDescent="0.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</row>
    <row r="689" spans="1:20" ht="13.5" thickBot="1" x14ac:dyDescent="0.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</row>
    <row r="690" spans="1:20" ht="13.5" thickBot="1" x14ac:dyDescent="0.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</row>
    <row r="691" spans="1:20" ht="13.5" thickBot="1" x14ac:dyDescent="0.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</row>
    <row r="692" spans="1:20" ht="13.5" thickBot="1" x14ac:dyDescent="0.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</row>
    <row r="693" spans="1:20" ht="13.5" thickBot="1" x14ac:dyDescent="0.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</row>
    <row r="694" spans="1:20" ht="13.5" thickBot="1" x14ac:dyDescent="0.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</row>
    <row r="695" spans="1:20" ht="13.5" thickBot="1" x14ac:dyDescent="0.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</row>
    <row r="696" spans="1:20" ht="13.5" thickBot="1" x14ac:dyDescent="0.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</row>
    <row r="697" spans="1:20" ht="13.5" thickBot="1" x14ac:dyDescent="0.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</row>
    <row r="698" spans="1:20" ht="13.5" thickBot="1" x14ac:dyDescent="0.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</row>
    <row r="699" spans="1:20" ht="13.5" thickBot="1" x14ac:dyDescent="0.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</row>
    <row r="700" spans="1:20" ht="13.5" thickBot="1" x14ac:dyDescent="0.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</row>
    <row r="701" spans="1:20" ht="13.5" thickBot="1" x14ac:dyDescent="0.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</row>
    <row r="702" spans="1:20" ht="13.5" thickBot="1" x14ac:dyDescent="0.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</row>
    <row r="703" spans="1:20" ht="13.5" thickBot="1" x14ac:dyDescent="0.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</row>
    <row r="704" spans="1:20" ht="13.5" thickBot="1" x14ac:dyDescent="0.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</row>
    <row r="705" spans="1:20" ht="13.5" thickBot="1" x14ac:dyDescent="0.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</row>
    <row r="706" spans="1:20" ht="13.5" thickBot="1" x14ac:dyDescent="0.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</row>
    <row r="707" spans="1:20" ht="13.5" thickBot="1" x14ac:dyDescent="0.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</row>
    <row r="708" spans="1:20" ht="13.5" thickBot="1" x14ac:dyDescent="0.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</row>
    <row r="709" spans="1:20" ht="13.5" thickBot="1" x14ac:dyDescent="0.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</row>
    <row r="710" spans="1:20" ht="13.5" thickBot="1" x14ac:dyDescent="0.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</row>
    <row r="711" spans="1:20" ht="13.5" thickBot="1" x14ac:dyDescent="0.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</row>
    <row r="712" spans="1:20" ht="13.5" thickBot="1" x14ac:dyDescent="0.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</row>
    <row r="713" spans="1:20" ht="13.5" thickBot="1" x14ac:dyDescent="0.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</row>
    <row r="714" spans="1:20" ht="13.5" thickBot="1" x14ac:dyDescent="0.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</row>
    <row r="715" spans="1:20" ht="13.5" thickBot="1" x14ac:dyDescent="0.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</row>
    <row r="716" spans="1:20" ht="13.5" thickBot="1" x14ac:dyDescent="0.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</row>
    <row r="717" spans="1:20" ht="13.5" thickBot="1" x14ac:dyDescent="0.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</row>
    <row r="718" spans="1:20" ht="13.5" thickBot="1" x14ac:dyDescent="0.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</row>
    <row r="719" spans="1:20" ht="13.5" thickBot="1" x14ac:dyDescent="0.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</row>
    <row r="720" spans="1:20" ht="13.5" thickBot="1" x14ac:dyDescent="0.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</row>
    <row r="721" spans="1:20" ht="13.5" thickBot="1" x14ac:dyDescent="0.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</row>
    <row r="722" spans="1:20" ht="13.5" thickBot="1" x14ac:dyDescent="0.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</row>
    <row r="723" spans="1:20" ht="13.5" thickBot="1" x14ac:dyDescent="0.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</row>
    <row r="724" spans="1:20" ht="13.5" thickBot="1" x14ac:dyDescent="0.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</row>
    <row r="725" spans="1:20" ht="13.5" thickBot="1" x14ac:dyDescent="0.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</row>
    <row r="726" spans="1:20" ht="13.5" thickBot="1" x14ac:dyDescent="0.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</row>
    <row r="727" spans="1:20" ht="13.5" thickBot="1" x14ac:dyDescent="0.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</row>
    <row r="728" spans="1:20" ht="13.5" thickBot="1" x14ac:dyDescent="0.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</row>
    <row r="729" spans="1:20" ht="13.5" thickBot="1" x14ac:dyDescent="0.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</row>
    <row r="730" spans="1:20" ht="13.5" thickBot="1" x14ac:dyDescent="0.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</row>
    <row r="731" spans="1:20" ht="13.5" thickBot="1" x14ac:dyDescent="0.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</row>
    <row r="732" spans="1:20" ht="13.5" thickBot="1" x14ac:dyDescent="0.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</row>
    <row r="733" spans="1:20" ht="13.5" thickBot="1" x14ac:dyDescent="0.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</row>
    <row r="734" spans="1:20" ht="13.5" thickBot="1" x14ac:dyDescent="0.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</row>
    <row r="735" spans="1:20" ht="13.5" thickBot="1" x14ac:dyDescent="0.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</row>
    <row r="736" spans="1:20" ht="13.5" thickBot="1" x14ac:dyDescent="0.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</row>
    <row r="737" spans="1:20" ht="13.5" thickBot="1" x14ac:dyDescent="0.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</row>
    <row r="738" spans="1:20" ht="13.5" thickBot="1" x14ac:dyDescent="0.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</row>
    <row r="739" spans="1:20" ht="13.5" thickBot="1" x14ac:dyDescent="0.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</row>
    <row r="740" spans="1:20" ht="13.5" thickBot="1" x14ac:dyDescent="0.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</row>
    <row r="741" spans="1:20" ht="13.5" thickBot="1" x14ac:dyDescent="0.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</row>
    <row r="742" spans="1:20" ht="13.5" thickBot="1" x14ac:dyDescent="0.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</row>
    <row r="743" spans="1:20" ht="13.5" thickBot="1" x14ac:dyDescent="0.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</row>
    <row r="744" spans="1:20" ht="13.5" thickBot="1" x14ac:dyDescent="0.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</row>
    <row r="745" spans="1:20" ht="13.5" thickBot="1" x14ac:dyDescent="0.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</row>
    <row r="746" spans="1:20" ht="13.5" thickBot="1" x14ac:dyDescent="0.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</row>
    <row r="747" spans="1:20" ht="13.5" thickBot="1" x14ac:dyDescent="0.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</row>
    <row r="748" spans="1:20" ht="13.5" thickBot="1" x14ac:dyDescent="0.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</row>
    <row r="749" spans="1:20" ht="13.5" thickBot="1" x14ac:dyDescent="0.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</row>
    <row r="750" spans="1:20" ht="13.5" thickBot="1" x14ac:dyDescent="0.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</row>
    <row r="751" spans="1:20" ht="13.5" thickBot="1" x14ac:dyDescent="0.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</row>
    <row r="752" spans="1:20" ht="13.5" thickBot="1" x14ac:dyDescent="0.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</row>
    <row r="753" spans="1:20" ht="13.5" thickBot="1" x14ac:dyDescent="0.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</row>
    <row r="754" spans="1:20" ht="13.5" thickBot="1" x14ac:dyDescent="0.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</row>
    <row r="755" spans="1:20" ht="13.5" thickBot="1" x14ac:dyDescent="0.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</row>
    <row r="756" spans="1:20" ht="13.5" thickBot="1" x14ac:dyDescent="0.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</row>
    <row r="757" spans="1:20" ht="13.5" thickBot="1" x14ac:dyDescent="0.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</row>
    <row r="758" spans="1:20" ht="13.5" thickBot="1" x14ac:dyDescent="0.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</row>
    <row r="759" spans="1:20" ht="13.5" thickBot="1" x14ac:dyDescent="0.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</row>
    <row r="760" spans="1:20" ht="13.5" thickBot="1" x14ac:dyDescent="0.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</row>
    <row r="761" spans="1:20" ht="13.5" thickBot="1" x14ac:dyDescent="0.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</row>
    <row r="762" spans="1:20" ht="13.5" thickBot="1" x14ac:dyDescent="0.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</row>
    <row r="763" spans="1:20" ht="13.5" thickBot="1" x14ac:dyDescent="0.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</row>
    <row r="764" spans="1:20" ht="13.5" thickBot="1" x14ac:dyDescent="0.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</row>
    <row r="765" spans="1:20" ht="13.5" thickBot="1" x14ac:dyDescent="0.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</row>
    <row r="766" spans="1:20" ht="13.5" thickBot="1" x14ac:dyDescent="0.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</row>
    <row r="767" spans="1:20" ht="13.5" thickBot="1" x14ac:dyDescent="0.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</row>
    <row r="768" spans="1:20" ht="13.5" thickBot="1" x14ac:dyDescent="0.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</row>
    <row r="769" spans="1:20" ht="13.5" thickBot="1" x14ac:dyDescent="0.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</row>
    <row r="770" spans="1:20" ht="13.5" thickBot="1" x14ac:dyDescent="0.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</row>
    <row r="771" spans="1:20" ht="13.5" thickBot="1" x14ac:dyDescent="0.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</row>
    <row r="772" spans="1:20" ht="13.5" thickBot="1" x14ac:dyDescent="0.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</row>
    <row r="773" spans="1:20" ht="13.5" thickBot="1" x14ac:dyDescent="0.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</row>
    <row r="774" spans="1:20" ht="13.5" thickBot="1" x14ac:dyDescent="0.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</row>
    <row r="775" spans="1:20" ht="13.5" thickBot="1" x14ac:dyDescent="0.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</row>
    <row r="776" spans="1:20" ht="13.5" thickBot="1" x14ac:dyDescent="0.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</row>
    <row r="777" spans="1:20" ht="13.5" thickBot="1" x14ac:dyDescent="0.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</row>
    <row r="778" spans="1:20" ht="13.5" thickBot="1" x14ac:dyDescent="0.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</row>
    <row r="779" spans="1:20" ht="13.5" thickBot="1" x14ac:dyDescent="0.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</row>
    <row r="780" spans="1:20" ht="13.5" thickBot="1" x14ac:dyDescent="0.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</row>
    <row r="781" spans="1:20" ht="13.5" thickBot="1" x14ac:dyDescent="0.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</row>
    <row r="782" spans="1:20" ht="13.5" thickBot="1" x14ac:dyDescent="0.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</row>
    <row r="783" spans="1:20" ht="13.5" thickBot="1" x14ac:dyDescent="0.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</row>
    <row r="784" spans="1:20" ht="13.5" thickBot="1" x14ac:dyDescent="0.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</row>
    <row r="785" spans="1:20" ht="13.5" thickBot="1" x14ac:dyDescent="0.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</row>
    <row r="786" spans="1:20" ht="13.5" thickBot="1" x14ac:dyDescent="0.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</row>
    <row r="787" spans="1:20" ht="13.5" thickBot="1" x14ac:dyDescent="0.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</row>
    <row r="788" spans="1:20" ht="13.5" thickBot="1" x14ac:dyDescent="0.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</row>
    <row r="789" spans="1:20" ht="13.5" thickBot="1" x14ac:dyDescent="0.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</row>
    <row r="790" spans="1:20" ht="13.5" thickBot="1" x14ac:dyDescent="0.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</row>
    <row r="791" spans="1:20" ht="13.5" thickBot="1" x14ac:dyDescent="0.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</row>
    <row r="792" spans="1:20" ht="13.5" thickBot="1" x14ac:dyDescent="0.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</row>
    <row r="793" spans="1:20" ht="13.5" thickBot="1" x14ac:dyDescent="0.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</row>
    <row r="794" spans="1:20" ht="13.5" thickBot="1" x14ac:dyDescent="0.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</row>
    <row r="795" spans="1:20" ht="13.5" thickBot="1" x14ac:dyDescent="0.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</row>
    <row r="796" spans="1:20" ht="13.5" thickBot="1" x14ac:dyDescent="0.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</row>
    <row r="797" spans="1:20" ht="13.5" thickBot="1" x14ac:dyDescent="0.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</row>
    <row r="798" spans="1:20" ht="13.5" thickBot="1" x14ac:dyDescent="0.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</row>
    <row r="799" spans="1:20" ht="13.5" thickBot="1" x14ac:dyDescent="0.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</row>
    <row r="800" spans="1:20" ht="13.5" thickBot="1" x14ac:dyDescent="0.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</row>
    <row r="801" spans="1:20" ht="13.5" thickBot="1" x14ac:dyDescent="0.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</row>
    <row r="802" spans="1:20" ht="13.5" thickBot="1" x14ac:dyDescent="0.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</row>
    <row r="803" spans="1:20" ht="13.5" thickBot="1" x14ac:dyDescent="0.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</row>
    <row r="804" spans="1:20" ht="13.5" thickBot="1" x14ac:dyDescent="0.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</row>
    <row r="805" spans="1:20" ht="13.5" thickBot="1" x14ac:dyDescent="0.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</row>
    <row r="806" spans="1:20" ht="13.5" thickBot="1" x14ac:dyDescent="0.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</row>
    <row r="807" spans="1:20" ht="13.5" thickBot="1" x14ac:dyDescent="0.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</row>
    <row r="808" spans="1:20" ht="13.5" thickBot="1" x14ac:dyDescent="0.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</row>
    <row r="809" spans="1:20" ht="13.5" thickBot="1" x14ac:dyDescent="0.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</row>
    <row r="810" spans="1:20" ht="13.5" thickBot="1" x14ac:dyDescent="0.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</row>
    <row r="811" spans="1:20" ht="13.5" thickBot="1" x14ac:dyDescent="0.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</row>
    <row r="812" spans="1:20" ht="13.5" thickBot="1" x14ac:dyDescent="0.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</row>
    <row r="813" spans="1:20" ht="13.5" thickBot="1" x14ac:dyDescent="0.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</row>
    <row r="814" spans="1:20" ht="13.5" thickBot="1" x14ac:dyDescent="0.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</row>
    <row r="815" spans="1:20" ht="13.5" thickBot="1" x14ac:dyDescent="0.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</row>
    <row r="816" spans="1:20" ht="13.5" thickBot="1" x14ac:dyDescent="0.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</row>
    <row r="817" spans="1:20" ht="13.5" thickBot="1" x14ac:dyDescent="0.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</row>
    <row r="818" spans="1:20" ht="13.5" thickBot="1" x14ac:dyDescent="0.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</row>
    <row r="819" spans="1:20" ht="13.5" thickBot="1" x14ac:dyDescent="0.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</row>
    <row r="820" spans="1:20" ht="13.5" thickBot="1" x14ac:dyDescent="0.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</row>
    <row r="821" spans="1:20" ht="13.5" thickBot="1" x14ac:dyDescent="0.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</row>
    <row r="822" spans="1:20" ht="13.5" thickBot="1" x14ac:dyDescent="0.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</row>
    <row r="823" spans="1:20" ht="13.5" thickBot="1" x14ac:dyDescent="0.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</row>
    <row r="824" spans="1:20" ht="13.5" thickBot="1" x14ac:dyDescent="0.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</row>
    <row r="825" spans="1:20" ht="13.5" thickBot="1" x14ac:dyDescent="0.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</row>
    <row r="826" spans="1:20" ht="13.5" thickBot="1" x14ac:dyDescent="0.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</row>
    <row r="827" spans="1:20" ht="13.5" thickBot="1" x14ac:dyDescent="0.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</row>
    <row r="828" spans="1:20" ht="13.5" thickBot="1" x14ac:dyDescent="0.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</row>
    <row r="829" spans="1:20" ht="13.5" thickBot="1" x14ac:dyDescent="0.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</row>
    <row r="830" spans="1:20" ht="13.5" thickBot="1" x14ac:dyDescent="0.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</row>
    <row r="831" spans="1:20" ht="13.5" thickBot="1" x14ac:dyDescent="0.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</row>
    <row r="832" spans="1:20" ht="13.5" thickBot="1" x14ac:dyDescent="0.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</row>
    <row r="833" spans="1:20" ht="13.5" thickBot="1" x14ac:dyDescent="0.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</row>
    <row r="834" spans="1:20" ht="13.5" thickBot="1" x14ac:dyDescent="0.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</row>
    <row r="835" spans="1:20" ht="13.5" thickBot="1" x14ac:dyDescent="0.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</row>
    <row r="836" spans="1:20" ht="13.5" thickBot="1" x14ac:dyDescent="0.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</row>
    <row r="837" spans="1:20" ht="13.5" thickBot="1" x14ac:dyDescent="0.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</row>
    <row r="838" spans="1:20" ht="13.5" thickBot="1" x14ac:dyDescent="0.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</row>
    <row r="839" spans="1:20" ht="13.5" thickBot="1" x14ac:dyDescent="0.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</row>
    <row r="840" spans="1:20" ht="13.5" thickBot="1" x14ac:dyDescent="0.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</row>
    <row r="841" spans="1:20" ht="13.5" thickBot="1" x14ac:dyDescent="0.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</row>
    <row r="842" spans="1:20" ht="13.5" thickBot="1" x14ac:dyDescent="0.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</row>
    <row r="843" spans="1:20" ht="13.5" thickBot="1" x14ac:dyDescent="0.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</row>
    <row r="844" spans="1:20" ht="13.5" thickBot="1" x14ac:dyDescent="0.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</row>
    <row r="845" spans="1:20" ht="13.5" thickBot="1" x14ac:dyDescent="0.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</row>
    <row r="846" spans="1:20" ht="13.5" thickBot="1" x14ac:dyDescent="0.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</row>
    <row r="847" spans="1:20" ht="13.5" thickBot="1" x14ac:dyDescent="0.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</row>
    <row r="848" spans="1:20" ht="13.5" thickBot="1" x14ac:dyDescent="0.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</row>
    <row r="849" spans="1:20" ht="13.5" thickBot="1" x14ac:dyDescent="0.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</row>
    <row r="850" spans="1:20" ht="13.5" thickBot="1" x14ac:dyDescent="0.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</row>
    <row r="851" spans="1:20" ht="13.5" thickBot="1" x14ac:dyDescent="0.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</row>
    <row r="852" spans="1:20" ht="13.5" thickBot="1" x14ac:dyDescent="0.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</row>
    <row r="853" spans="1:20" ht="13.5" thickBot="1" x14ac:dyDescent="0.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</row>
    <row r="854" spans="1:20" ht="13.5" thickBot="1" x14ac:dyDescent="0.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</row>
    <row r="855" spans="1:20" ht="13.5" thickBot="1" x14ac:dyDescent="0.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</row>
    <row r="856" spans="1:20" ht="13.5" thickBot="1" x14ac:dyDescent="0.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</row>
    <row r="857" spans="1:20" ht="13.5" thickBot="1" x14ac:dyDescent="0.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</row>
    <row r="858" spans="1:20" ht="13.5" thickBot="1" x14ac:dyDescent="0.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</row>
    <row r="859" spans="1:20" ht="13.5" thickBot="1" x14ac:dyDescent="0.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</row>
    <row r="860" spans="1:20" ht="13.5" thickBot="1" x14ac:dyDescent="0.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</row>
    <row r="861" spans="1:20" ht="13.5" thickBot="1" x14ac:dyDescent="0.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</row>
    <row r="862" spans="1:20" ht="13.5" thickBot="1" x14ac:dyDescent="0.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</row>
    <row r="863" spans="1:20" ht="13.5" thickBot="1" x14ac:dyDescent="0.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</row>
    <row r="864" spans="1:20" ht="13.5" thickBot="1" x14ac:dyDescent="0.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</row>
    <row r="865" spans="1:20" ht="13.5" thickBot="1" x14ac:dyDescent="0.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</row>
    <row r="866" spans="1:20" ht="13.5" thickBot="1" x14ac:dyDescent="0.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</row>
    <row r="867" spans="1:20" ht="13.5" thickBot="1" x14ac:dyDescent="0.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</row>
    <row r="868" spans="1:20" ht="13.5" thickBot="1" x14ac:dyDescent="0.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</row>
    <row r="869" spans="1:20" ht="13.5" thickBot="1" x14ac:dyDescent="0.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</row>
    <row r="870" spans="1:20" ht="13.5" thickBot="1" x14ac:dyDescent="0.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</row>
    <row r="871" spans="1:20" ht="13.5" thickBot="1" x14ac:dyDescent="0.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</row>
    <row r="872" spans="1:20" ht="13.5" thickBot="1" x14ac:dyDescent="0.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</row>
    <row r="873" spans="1:20" ht="13.5" thickBot="1" x14ac:dyDescent="0.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</row>
    <row r="874" spans="1:20" ht="13.5" thickBot="1" x14ac:dyDescent="0.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</row>
    <row r="875" spans="1:20" ht="13.5" thickBot="1" x14ac:dyDescent="0.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</row>
    <row r="876" spans="1:20" ht="13.5" thickBot="1" x14ac:dyDescent="0.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</row>
    <row r="877" spans="1:20" ht="13.5" thickBot="1" x14ac:dyDescent="0.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</row>
    <row r="878" spans="1:20" ht="13.5" thickBot="1" x14ac:dyDescent="0.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</row>
    <row r="879" spans="1:20" ht="13.5" thickBot="1" x14ac:dyDescent="0.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</row>
    <row r="880" spans="1:20" ht="13.5" thickBot="1" x14ac:dyDescent="0.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</row>
    <row r="881" spans="1:20" ht="13.5" thickBot="1" x14ac:dyDescent="0.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</row>
    <row r="882" spans="1:20" ht="13.5" thickBot="1" x14ac:dyDescent="0.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</row>
    <row r="883" spans="1:20" ht="13.5" thickBot="1" x14ac:dyDescent="0.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</row>
    <row r="884" spans="1:20" ht="13.5" thickBot="1" x14ac:dyDescent="0.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</row>
    <row r="885" spans="1:20" ht="13.5" thickBot="1" x14ac:dyDescent="0.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</row>
    <row r="886" spans="1:20" ht="13.5" thickBot="1" x14ac:dyDescent="0.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</row>
    <row r="887" spans="1:20" ht="13.5" thickBot="1" x14ac:dyDescent="0.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</row>
    <row r="888" spans="1:20" ht="13.5" thickBot="1" x14ac:dyDescent="0.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</row>
    <row r="889" spans="1:20" ht="13.5" thickBot="1" x14ac:dyDescent="0.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</row>
    <row r="890" spans="1:20" ht="13.5" thickBot="1" x14ac:dyDescent="0.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</row>
    <row r="891" spans="1:20" ht="13.5" thickBot="1" x14ac:dyDescent="0.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</row>
    <row r="892" spans="1:20" ht="13.5" thickBot="1" x14ac:dyDescent="0.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</row>
    <row r="893" spans="1:20" ht="13.5" thickBot="1" x14ac:dyDescent="0.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</row>
    <row r="894" spans="1:20" ht="13.5" thickBot="1" x14ac:dyDescent="0.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</row>
    <row r="895" spans="1:20" ht="13.5" thickBot="1" x14ac:dyDescent="0.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</row>
    <row r="896" spans="1:20" ht="13.5" thickBot="1" x14ac:dyDescent="0.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</row>
    <row r="897" spans="1:20" ht="13.5" thickBot="1" x14ac:dyDescent="0.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</row>
    <row r="898" spans="1:20" ht="13.5" thickBot="1" x14ac:dyDescent="0.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</row>
    <row r="899" spans="1:20" ht="13.5" thickBot="1" x14ac:dyDescent="0.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</row>
    <row r="900" spans="1:20" ht="13.5" thickBot="1" x14ac:dyDescent="0.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</row>
    <row r="901" spans="1:20" ht="13.5" thickBot="1" x14ac:dyDescent="0.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</row>
    <row r="902" spans="1:20" ht="13.5" thickBot="1" x14ac:dyDescent="0.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</row>
    <row r="903" spans="1:20" ht="13.5" thickBot="1" x14ac:dyDescent="0.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</row>
    <row r="904" spans="1:20" ht="13.5" thickBot="1" x14ac:dyDescent="0.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</row>
    <row r="905" spans="1:20" ht="13.5" thickBot="1" x14ac:dyDescent="0.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</row>
    <row r="906" spans="1:20" ht="13.5" thickBot="1" x14ac:dyDescent="0.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</row>
    <row r="907" spans="1:20" ht="13.5" thickBot="1" x14ac:dyDescent="0.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</row>
    <row r="908" spans="1:20" ht="13.5" thickBot="1" x14ac:dyDescent="0.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</row>
    <row r="909" spans="1:20" ht="13.5" thickBot="1" x14ac:dyDescent="0.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</row>
    <row r="910" spans="1:20" ht="13.5" thickBot="1" x14ac:dyDescent="0.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</row>
    <row r="911" spans="1:20" ht="13.5" thickBot="1" x14ac:dyDescent="0.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</row>
    <row r="912" spans="1:20" ht="13.5" thickBot="1" x14ac:dyDescent="0.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</row>
    <row r="913" spans="1:20" ht="13.5" thickBot="1" x14ac:dyDescent="0.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</row>
    <row r="914" spans="1:20" ht="13.5" thickBot="1" x14ac:dyDescent="0.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</row>
    <row r="915" spans="1:20" ht="13.5" thickBot="1" x14ac:dyDescent="0.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</row>
    <row r="916" spans="1:20" ht="13.5" thickBot="1" x14ac:dyDescent="0.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</row>
    <row r="917" spans="1:20" ht="13.5" thickBot="1" x14ac:dyDescent="0.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</row>
    <row r="918" spans="1:20" ht="13.5" thickBot="1" x14ac:dyDescent="0.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</row>
    <row r="919" spans="1:20" ht="13.5" thickBot="1" x14ac:dyDescent="0.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</row>
    <row r="920" spans="1:20" ht="13.5" thickBot="1" x14ac:dyDescent="0.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</row>
    <row r="921" spans="1:20" ht="13.5" thickBot="1" x14ac:dyDescent="0.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</row>
    <row r="922" spans="1:20" ht="13.5" thickBot="1" x14ac:dyDescent="0.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</row>
    <row r="923" spans="1:20" ht="13.5" thickBot="1" x14ac:dyDescent="0.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</row>
    <row r="924" spans="1:20" ht="13.5" thickBot="1" x14ac:dyDescent="0.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</row>
    <row r="925" spans="1:20" ht="13.5" thickBot="1" x14ac:dyDescent="0.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</row>
    <row r="926" spans="1:20" ht="13.5" thickBot="1" x14ac:dyDescent="0.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</row>
    <row r="927" spans="1:20" ht="13.5" thickBot="1" x14ac:dyDescent="0.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</row>
    <row r="928" spans="1:20" ht="13.5" thickBot="1" x14ac:dyDescent="0.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</row>
    <row r="929" spans="1:20" ht="13.5" thickBot="1" x14ac:dyDescent="0.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</row>
    <row r="930" spans="1:20" ht="13.5" thickBot="1" x14ac:dyDescent="0.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</row>
    <row r="931" spans="1:20" ht="13.5" thickBot="1" x14ac:dyDescent="0.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</row>
    <row r="932" spans="1:20" ht="13.5" thickBot="1" x14ac:dyDescent="0.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</row>
    <row r="933" spans="1:20" ht="13.5" thickBot="1" x14ac:dyDescent="0.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</row>
    <row r="934" spans="1:20" ht="13.5" thickBot="1" x14ac:dyDescent="0.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</row>
    <row r="935" spans="1:20" ht="13.5" thickBot="1" x14ac:dyDescent="0.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</row>
    <row r="936" spans="1:20" ht="13.5" thickBot="1" x14ac:dyDescent="0.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</row>
    <row r="937" spans="1:20" ht="13.5" thickBot="1" x14ac:dyDescent="0.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</row>
    <row r="938" spans="1:20" ht="13.5" thickBot="1" x14ac:dyDescent="0.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</row>
    <row r="939" spans="1:20" ht="13.5" thickBot="1" x14ac:dyDescent="0.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</row>
    <row r="940" spans="1:20" ht="13.5" thickBot="1" x14ac:dyDescent="0.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</row>
    <row r="941" spans="1:20" ht="13.5" thickBot="1" x14ac:dyDescent="0.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</row>
    <row r="942" spans="1:20" ht="13.5" thickBot="1" x14ac:dyDescent="0.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</row>
    <row r="943" spans="1:20" ht="13.5" thickBot="1" x14ac:dyDescent="0.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</row>
    <row r="944" spans="1:20" ht="13.5" thickBot="1" x14ac:dyDescent="0.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</row>
    <row r="945" spans="1:20" ht="13.5" thickBot="1" x14ac:dyDescent="0.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</row>
    <row r="946" spans="1:20" ht="13.5" thickBot="1" x14ac:dyDescent="0.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</row>
    <row r="947" spans="1:20" ht="13.5" thickBot="1" x14ac:dyDescent="0.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</row>
    <row r="948" spans="1:20" ht="13.5" thickBot="1" x14ac:dyDescent="0.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</row>
    <row r="949" spans="1:20" ht="13.5" thickBot="1" x14ac:dyDescent="0.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</row>
    <row r="950" spans="1:20" ht="13.5" thickBot="1" x14ac:dyDescent="0.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</row>
    <row r="951" spans="1:20" ht="13.5" thickBot="1" x14ac:dyDescent="0.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</row>
    <row r="952" spans="1:20" ht="13.5" thickBot="1" x14ac:dyDescent="0.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</row>
    <row r="953" spans="1:20" ht="13.5" thickBot="1" x14ac:dyDescent="0.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</row>
    <row r="954" spans="1:20" ht="13.5" thickBot="1" x14ac:dyDescent="0.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</row>
    <row r="955" spans="1:20" ht="13.5" thickBot="1" x14ac:dyDescent="0.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</row>
    <row r="956" spans="1:20" ht="13.5" thickBot="1" x14ac:dyDescent="0.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</row>
    <row r="957" spans="1:20" ht="13.5" thickBot="1" x14ac:dyDescent="0.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</row>
    <row r="958" spans="1:20" ht="13.5" thickBot="1" x14ac:dyDescent="0.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</row>
    <row r="959" spans="1:20" ht="13.5" thickBot="1" x14ac:dyDescent="0.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</row>
    <row r="960" spans="1:20" ht="13.5" thickBot="1" x14ac:dyDescent="0.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</row>
    <row r="961" spans="1:20" ht="13.5" thickBot="1" x14ac:dyDescent="0.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</row>
    <row r="962" spans="1:20" ht="13.5" thickBot="1" x14ac:dyDescent="0.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</row>
    <row r="963" spans="1:20" ht="13.5" thickBot="1" x14ac:dyDescent="0.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</row>
    <row r="964" spans="1:20" ht="13.5" thickBot="1" x14ac:dyDescent="0.3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</row>
    <row r="965" spans="1:20" ht="13.5" thickBot="1" x14ac:dyDescent="0.3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</row>
    <row r="966" spans="1:20" ht="13.5" thickBot="1" x14ac:dyDescent="0.3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</row>
    <row r="967" spans="1:20" ht="13.5" thickBot="1" x14ac:dyDescent="0.3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</row>
    <row r="968" spans="1:20" ht="13.5" thickBot="1" x14ac:dyDescent="0.3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</row>
    <row r="969" spans="1:20" ht="13.5" thickBot="1" x14ac:dyDescent="0.3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</row>
    <row r="970" spans="1:20" ht="13.5" thickBot="1" x14ac:dyDescent="0.3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</row>
    <row r="971" spans="1:20" ht="13.5" thickBot="1" x14ac:dyDescent="0.3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</row>
    <row r="972" spans="1:20" ht="13.5" thickBot="1" x14ac:dyDescent="0.3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</row>
    <row r="973" spans="1:20" ht="13.5" thickBot="1" x14ac:dyDescent="0.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</row>
    <row r="974" spans="1:20" ht="13.5" thickBot="1" x14ac:dyDescent="0.3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</row>
    <row r="975" spans="1:20" ht="13.5" thickBot="1" x14ac:dyDescent="0.3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</row>
    <row r="976" spans="1:20" ht="13.5" thickBot="1" x14ac:dyDescent="0.3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</row>
    <row r="977" spans="1:20" ht="13.5" thickBot="1" x14ac:dyDescent="0.3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</row>
    <row r="978" spans="1:20" ht="13.5" thickBot="1" x14ac:dyDescent="0.3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</row>
    <row r="979" spans="1:20" ht="13.5" thickBot="1" x14ac:dyDescent="0.3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</row>
    <row r="980" spans="1:20" ht="13.5" thickBot="1" x14ac:dyDescent="0.3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</row>
    <row r="981" spans="1:20" ht="13.5" thickBot="1" x14ac:dyDescent="0.3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</row>
    <row r="982" spans="1:20" ht="13.5" thickBot="1" x14ac:dyDescent="0.3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</row>
    <row r="983" spans="1:20" ht="13.5" thickBot="1" x14ac:dyDescent="0.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</row>
    <row r="984" spans="1:20" ht="13.5" thickBot="1" x14ac:dyDescent="0.3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</row>
    <row r="985" spans="1:20" ht="13.5" thickBot="1" x14ac:dyDescent="0.3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20" ht="13.5" thickBot="1" x14ac:dyDescent="0.3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20" ht="13.5" thickBot="1" x14ac:dyDescent="0.3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20" ht="13.5" thickBot="1" x14ac:dyDescent="0.3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20" ht="13.5" thickBot="1" x14ac:dyDescent="0.3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20" ht="13.5" thickBot="1" x14ac:dyDescent="0.3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20" ht="13.5" thickBot="1" x14ac:dyDescent="0.3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20" ht="13.5" thickBot="1" x14ac:dyDescent="0.3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8A673-6B51-4183-9641-F7AF44C71DA8}">
  <dimension ref="A1:B97"/>
  <sheetViews>
    <sheetView topLeftCell="A41" workbookViewId="0">
      <selection activeCell="B101" sqref="B101"/>
    </sheetView>
  </sheetViews>
  <sheetFormatPr baseColWidth="10" defaultRowHeight="15" x14ac:dyDescent="0.25"/>
  <cols>
    <col min="1" max="1" width="36.42578125" bestFit="1" customWidth="1"/>
    <col min="2" max="2" width="68.42578125" bestFit="1" customWidth="1"/>
  </cols>
  <sheetData>
    <row r="1" spans="1:2" x14ac:dyDescent="0.25">
      <c r="A1" t="s">
        <v>2</v>
      </c>
      <c r="B1" t="s">
        <v>3</v>
      </c>
    </row>
    <row r="2" spans="1:2" ht="15.75" x14ac:dyDescent="0.25">
      <c r="A2" s="3" t="s">
        <v>29</v>
      </c>
      <c r="B2" t="s">
        <v>81</v>
      </c>
    </row>
    <row r="3" spans="1:2" x14ac:dyDescent="0.25">
      <c r="A3" s="1" t="s">
        <v>31</v>
      </c>
      <c r="B3" s="4" t="s">
        <v>30</v>
      </c>
    </row>
    <row r="4" spans="1:2" x14ac:dyDescent="0.25">
      <c r="A4" s="1" t="s">
        <v>10</v>
      </c>
      <c r="B4" s="4" t="s">
        <v>75</v>
      </c>
    </row>
    <row r="5" spans="1:2" ht="16.5" x14ac:dyDescent="0.3">
      <c r="A5" s="5" t="s">
        <v>16</v>
      </c>
      <c r="B5" s="4" t="s">
        <v>44</v>
      </c>
    </row>
    <row r="6" spans="1:2" ht="16.5" x14ac:dyDescent="0.3">
      <c r="A6" s="5" t="s">
        <v>53</v>
      </c>
      <c r="B6" s="4" t="s">
        <v>80</v>
      </c>
    </row>
    <row r="7" spans="1:2" ht="16.5" x14ac:dyDescent="0.3">
      <c r="A7" s="5" t="s">
        <v>82</v>
      </c>
      <c r="B7" s="6" t="s">
        <v>9</v>
      </c>
    </row>
    <row r="8" spans="1:2" ht="16.5" x14ac:dyDescent="0.3">
      <c r="A8" s="5" t="s">
        <v>63</v>
      </c>
      <c r="B8" s="6" t="s">
        <v>17</v>
      </c>
    </row>
    <row r="9" spans="1:2" ht="16.5" x14ac:dyDescent="0.3">
      <c r="A9" s="5" t="s">
        <v>65</v>
      </c>
      <c r="B9" s="4" t="s">
        <v>18</v>
      </c>
    </row>
    <row r="10" spans="1:2" ht="16.5" x14ac:dyDescent="0.3">
      <c r="A10" s="5" t="s">
        <v>20</v>
      </c>
      <c r="B10" s="4" t="s">
        <v>23</v>
      </c>
    </row>
    <row r="11" spans="1:2" ht="16.5" x14ac:dyDescent="0.3">
      <c r="A11" s="5" t="s">
        <v>75</v>
      </c>
      <c r="B11" s="4" t="s">
        <v>12</v>
      </c>
    </row>
    <row r="12" spans="1:2" ht="16.5" x14ac:dyDescent="0.3">
      <c r="A12" s="5" t="s">
        <v>76</v>
      </c>
      <c r="B12" s="4" t="s">
        <v>43</v>
      </c>
    </row>
    <row r="13" spans="1:2" ht="17.25" x14ac:dyDescent="0.3">
      <c r="A13" s="7" t="s">
        <v>77</v>
      </c>
      <c r="B13" s="4" t="s">
        <v>0</v>
      </c>
    </row>
    <row r="14" spans="1:2" ht="16.5" x14ac:dyDescent="0.3">
      <c r="A14" s="5" t="s">
        <v>83</v>
      </c>
      <c r="B14" s="4" t="s">
        <v>54</v>
      </c>
    </row>
    <row r="15" spans="1:2" ht="16.5" x14ac:dyDescent="0.3">
      <c r="A15" s="5" t="s">
        <v>22</v>
      </c>
      <c r="B15" s="4" t="s">
        <v>55</v>
      </c>
    </row>
    <row r="16" spans="1:2" ht="16.5" x14ac:dyDescent="0.3">
      <c r="A16" s="5" t="s">
        <v>6</v>
      </c>
      <c r="B16" s="4" t="s">
        <v>68</v>
      </c>
    </row>
    <row r="17" spans="2:2" x14ac:dyDescent="0.25">
      <c r="B17" s="6" t="s">
        <v>39</v>
      </c>
    </row>
    <row r="18" spans="2:2" x14ac:dyDescent="0.25">
      <c r="B18" s="4" t="s">
        <v>67</v>
      </c>
    </row>
    <row r="19" spans="2:2" x14ac:dyDescent="0.25">
      <c r="B19" s="4" t="s">
        <v>84</v>
      </c>
    </row>
    <row r="20" spans="2:2" x14ac:dyDescent="0.25">
      <c r="B20" s="4" t="s">
        <v>33</v>
      </c>
    </row>
    <row r="21" spans="2:2" x14ac:dyDescent="0.25">
      <c r="B21" s="6" t="s">
        <v>34</v>
      </c>
    </row>
    <row r="22" spans="2:2" x14ac:dyDescent="0.25">
      <c r="B22" s="4" t="s">
        <v>7</v>
      </c>
    </row>
    <row r="23" spans="2:2" x14ac:dyDescent="0.25">
      <c r="B23" s="4" t="s">
        <v>35</v>
      </c>
    </row>
    <row r="24" spans="2:2" x14ac:dyDescent="0.25">
      <c r="B24" s="4" t="s">
        <v>70</v>
      </c>
    </row>
    <row r="25" spans="2:2" x14ac:dyDescent="0.25">
      <c r="B25" s="6" t="s">
        <v>49</v>
      </c>
    </row>
    <row r="26" spans="2:2" x14ac:dyDescent="0.25">
      <c r="B26" s="6" t="s">
        <v>36</v>
      </c>
    </row>
    <row r="27" spans="2:2" x14ac:dyDescent="0.25">
      <c r="B27" s="6" t="s">
        <v>51</v>
      </c>
    </row>
    <row r="28" spans="2:2" x14ac:dyDescent="0.25">
      <c r="B28" s="6" t="s">
        <v>52</v>
      </c>
    </row>
    <row r="29" spans="2:2" x14ac:dyDescent="0.25">
      <c r="B29" s="4" t="s">
        <v>85</v>
      </c>
    </row>
    <row r="30" spans="2:2" x14ac:dyDescent="0.25">
      <c r="B30" s="6" t="s">
        <v>86</v>
      </c>
    </row>
    <row r="31" spans="2:2" x14ac:dyDescent="0.25">
      <c r="B31" s="4" t="s">
        <v>40</v>
      </c>
    </row>
    <row r="32" spans="2:2" x14ac:dyDescent="0.25">
      <c r="B32" s="4" t="s">
        <v>87</v>
      </c>
    </row>
    <row r="33" spans="2:2" x14ac:dyDescent="0.25">
      <c r="B33" s="4" t="s">
        <v>14</v>
      </c>
    </row>
    <row r="34" spans="2:2" x14ac:dyDescent="0.25">
      <c r="B34" s="4" t="s">
        <v>88</v>
      </c>
    </row>
    <row r="35" spans="2:2" x14ac:dyDescent="0.25">
      <c r="B35" s="4" t="s">
        <v>89</v>
      </c>
    </row>
    <row r="36" spans="2:2" x14ac:dyDescent="0.25">
      <c r="B36" s="4" t="s">
        <v>61</v>
      </c>
    </row>
    <row r="37" spans="2:2" x14ac:dyDescent="0.25">
      <c r="B37" s="6" t="s">
        <v>62</v>
      </c>
    </row>
    <row r="38" spans="2:2" x14ac:dyDescent="0.25">
      <c r="B38" s="6" t="s">
        <v>90</v>
      </c>
    </row>
    <row r="39" spans="2:2" x14ac:dyDescent="0.25">
      <c r="B39" s="6" t="s">
        <v>91</v>
      </c>
    </row>
    <row r="40" spans="2:2" x14ac:dyDescent="0.25">
      <c r="B40" s="6" t="s">
        <v>41</v>
      </c>
    </row>
    <row r="41" spans="2:2" x14ac:dyDescent="0.25">
      <c r="B41" s="6" t="s">
        <v>78</v>
      </c>
    </row>
    <row r="42" spans="2:2" x14ac:dyDescent="0.25">
      <c r="B42" s="6" t="s">
        <v>92</v>
      </c>
    </row>
    <row r="43" spans="2:2" x14ac:dyDescent="0.25">
      <c r="B43" s="6" t="s">
        <v>13</v>
      </c>
    </row>
    <row r="44" spans="2:2" x14ac:dyDescent="0.25">
      <c r="B44" s="6" t="s">
        <v>93</v>
      </c>
    </row>
    <row r="45" spans="2:2" x14ac:dyDescent="0.25">
      <c r="B45" s="6" t="s">
        <v>94</v>
      </c>
    </row>
    <row r="46" spans="2:2" x14ac:dyDescent="0.25">
      <c r="B46" s="4" t="s">
        <v>8</v>
      </c>
    </row>
    <row r="47" spans="2:2" x14ac:dyDescent="0.25">
      <c r="B47" s="4" t="s">
        <v>56</v>
      </c>
    </row>
    <row r="48" spans="2:2" x14ac:dyDescent="0.25">
      <c r="B48" s="4" t="s">
        <v>72</v>
      </c>
    </row>
    <row r="49" spans="2:2" x14ac:dyDescent="0.25">
      <c r="B49" s="4" t="s">
        <v>95</v>
      </c>
    </row>
    <row r="50" spans="2:2" x14ac:dyDescent="0.25">
      <c r="B50" s="4" t="s">
        <v>96</v>
      </c>
    </row>
    <row r="51" spans="2:2" x14ac:dyDescent="0.25">
      <c r="B51" s="4" t="s">
        <v>42</v>
      </c>
    </row>
    <row r="52" spans="2:2" x14ac:dyDescent="0.25">
      <c r="B52" s="4" t="s">
        <v>11</v>
      </c>
    </row>
    <row r="53" spans="2:2" x14ac:dyDescent="0.25">
      <c r="B53" s="4" t="s">
        <v>97</v>
      </c>
    </row>
    <row r="54" spans="2:2" x14ac:dyDescent="0.25">
      <c r="B54" s="4" t="s">
        <v>98</v>
      </c>
    </row>
    <row r="55" spans="2:2" x14ac:dyDescent="0.25">
      <c r="B55" s="4" t="s">
        <v>32</v>
      </c>
    </row>
    <row r="56" spans="2:2" x14ac:dyDescent="0.25">
      <c r="B56" s="4" t="s">
        <v>59</v>
      </c>
    </row>
    <row r="57" spans="2:2" x14ac:dyDescent="0.25">
      <c r="B57" s="8" t="s">
        <v>46</v>
      </c>
    </row>
    <row r="58" spans="2:2" x14ac:dyDescent="0.25">
      <c r="B58" s="4" t="s">
        <v>99</v>
      </c>
    </row>
    <row r="59" spans="2:2" x14ac:dyDescent="0.25">
      <c r="B59" s="4" t="s">
        <v>73</v>
      </c>
    </row>
    <row r="60" spans="2:2" x14ac:dyDescent="0.25">
      <c r="B60" s="4" t="s">
        <v>47</v>
      </c>
    </row>
    <row r="61" spans="2:2" x14ac:dyDescent="0.25">
      <c r="B61" s="8" t="s">
        <v>48</v>
      </c>
    </row>
    <row r="62" spans="2:2" x14ac:dyDescent="0.25">
      <c r="B62" s="4" t="s">
        <v>1</v>
      </c>
    </row>
    <row r="63" spans="2:2" x14ac:dyDescent="0.25">
      <c r="B63" s="4" t="s">
        <v>50</v>
      </c>
    </row>
    <row r="64" spans="2:2" x14ac:dyDescent="0.25">
      <c r="B64" s="4" t="s">
        <v>100</v>
      </c>
    </row>
    <row r="65" spans="2:2" x14ac:dyDescent="0.25">
      <c r="B65" s="4" t="s">
        <v>101</v>
      </c>
    </row>
    <row r="66" spans="2:2" x14ac:dyDescent="0.25">
      <c r="B66" s="4" t="s">
        <v>74</v>
      </c>
    </row>
    <row r="67" spans="2:2" x14ac:dyDescent="0.25">
      <c r="B67" s="6" t="s">
        <v>57</v>
      </c>
    </row>
    <row r="68" spans="2:2" x14ac:dyDescent="0.25">
      <c r="B68" s="6" t="s">
        <v>45</v>
      </c>
    </row>
    <row r="69" spans="2:2" x14ac:dyDescent="0.25">
      <c r="B69" s="9" t="s">
        <v>102</v>
      </c>
    </row>
    <row r="70" spans="2:2" x14ac:dyDescent="0.25">
      <c r="B70" s="4" t="s">
        <v>64</v>
      </c>
    </row>
    <row r="71" spans="2:2" x14ac:dyDescent="0.25">
      <c r="B71" s="6" t="s">
        <v>103</v>
      </c>
    </row>
    <row r="72" spans="2:2" x14ac:dyDescent="0.25">
      <c r="B72" t="s">
        <v>4</v>
      </c>
    </row>
    <row r="73" spans="2:2" x14ac:dyDescent="0.25">
      <c r="B73" s="6" t="s">
        <v>69</v>
      </c>
    </row>
    <row r="74" spans="2:2" x14ac:dyDescent="0.25">
      <c r="B74" s="6" t="s">
        <v>104</v>
      </c>
    </row>
    <row r="75" spans="2:2" x14ac:dyDescent="0.25">
      <c r="B75" s="6" t="s">
        <v>105</v>
      </c>
    </row>
    <row r="76" spans="2:2" x14ac:dyDescent="0.25">
      <c r="B76" s="6" t="s">
        <v>66</v>
      </c>
    </row>
    <row r="77" spans="2:2" x14ac:dyDescent="0.25">
      <c r="B77" s="6" t="s">
        <v>21</v>
      </c>
    </row>
    <row r="78" spans="2:2" x14ac:dyDescent="0.25">
      <c r="B78" s="6" t="s">
        <v>114</v>
      </c>
    </row>
    <row r="79" spans="2:2" x14ac:dyDescent="0.25">
      <c r="B79" s="6" t="s">
        <v>106</v>
      </c>
    </row>
    <row r="80" spans="2:2" x14ac:dyDescent="0.25">
      <c r="B80" s="6" t="s">
        <v>67</v>
      </c>
    </row>
    <row r="81" spans="2:2" x14ac:dyDescent="0.25">
      <c r="B81" s="6" t="s">
        <v>60</v>
      </c>
    </row>
    <row r="82" spans="2:2" x14ac:dyDescent="0.25">
      <c r="B82" s="6" t="s">
        <v>58</v>
      </c>
    </row>
    <row r="83" spans="2:2" x14ac:dyDescent="0.25">
      <c r="B83" s="6" t="s">
        <v>15</v>
      </c>
    </row>
    <row r="84" spans="2:2" x14ac:dyDescent="0.25">
      <c r="B84" s="6" t="s">
        <v>107</v>
      </c>
    </row>
    <row r="85" spans="2:2" x14ac:dyDescent="0.25">
      <c r="B85" s="6" t="s">
        <v>71</v>
      </c>
    </row>
    <row r="86" spans="2:2" x14ac:dyDescent="0.25">
      <c r="B86" s="6" t="s">
        <v>108</v>
      </c>
    </row>
    <row r="87" spans="2:2" x14ac:dyDescent="0.25">
      <c r="B87" s="6" t="s">
        <v>37</v>
      </c>
    </row>
    <row r="88" spans="2:2" x14ac:dyDescent="0.25">
      <c r="B88" s="6" t="s">
        <v>38</v>
      </c>
    </row>
    <row r="89" spans="2:2" x14ac:dyDescent="0.25">
      <c r="B89" s="6" t="s">
        <v>19</v>
      </c>
    </row>
    <row r="90" spans="2:2" x14ac:dyDescent="0.25">
      <c r="B90" s="10" t="s">
        <v>109</v>
      </c>
    </row>
    <row r="91" spans="2:2" x14ac:dyDescent="0.25">
      <c r="B91" s="6" t="s">
        <v>5</v>
      </c>
    </row>
    <row r="92" spans="2:2" x14ac:dyDescent="0.25">
      <c r="B92" s="6" t="s">
        <v>110</v>
      </c>
    </row>
    <row r="93" spans="2:2" x14ac:dyDescent="0.25">
      <c r="B93" s="6" t="s">
        <v>115</v>
      </c>
    </row>
    <row r="94" spans="2:2" x14ac:dyDescent="0.25">
      <c r="B94" t="s">
        <v>111</v>
      </c>
    </row>
    <row r="95" spans="2:2" x14ac:dyDescent="0.25">
      <c r="B95" s="6" t="s">
        <v>112</v>
      </c>
    </row>
    <row r="96" spans="2:2" x14ac:dyDescent="0.25">
      <c r="B96" s="6" t="s">
        <v>113</v>
      </c>
    </row>
    <row r="97" spans="2:2" x14ac:dyDescent="0.25">
      <c r="B97" s="6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Oct'24</vt:lpstr>
      <vt:lpstr>Gastos</vt:lpstr>
      <vt:lpstr>Ventas Oct´24</vt:lpstr>
      <vt:lpstr>LISTA CONCEPTOS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Italmexy S.A.P.I</dc:creator>
  <cp:lastModifiedBy>Carolina Iotti</cp:lastModifiedBy>
  <dcterms:created xsi:type="dcterms:W3CDTF">2024-08-22T23:17:32Z</dcterms:created>
  <dcterms:modified xsi:type="dcterms:W3CDTF">2025-03-06T15:00:45Z</dcterms:modified>
</cp:coreProperties>
</file>