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talm\Documents\ESTADOS DE RESULTADOS ITALMEXY-FORNITALIA\ESTADO DE RESULTADOS ARGENTINA\2024\"/>
    </mc:Choice>
  </mc:AlternateContent>
  <xr:revisionPtr revIDLastSave="0" documentId="13_ncr:1_{9D6933C7-5C68-42DF-8914-7F57A21CE0FF}" xr6:coauthVersionLast="47" xr6:coauthVersionMax="47" xr10:uidLastSave="{00000000-0000-0000-0000-000000000000}"/>
  <bookViews>
    <workbookView xWindow="-108" yWindow="-108" windowWidth="23256" windowHeight="12456" tabRatio="599" xr2:uid="{30A6164E-A0D3-4996-9EF3-92045D51F006}"/>
  </bookViews>
  <sheets>
    <sheet name="Ventas Dic'24" sheetId="18" r:id="rId1"/>
    <sheet name="LISTA CONCEPTOS" sheetId="15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8" l="1"/>
</calcChain>
</file>

<file path=xl/sharedStrings.xml><?xml version="1.0" encoding="utf-8"?>
<sst xmlns="http://schemas.openxmlformats.org/spreadsheetml/2006/main" count="253" uniqueCount="191">
  <si>
    <t>CRM</t>
  </si>
  <si>
    <t>FN1 PRO</t>
  </si>
  <si>
    <t>SERVICIOS CONTABLES</t>
  </si>
  <si>
    <t>CUENTA</t>
  </si>
  <si>
    <t>SUBCUENTA</t>
  </si>
  <si>
    <t>CAJA CHICA RICARDO $3000 (LOS DA FABIO) Y VIATICOS</t>
  </si>
  <si>
    <t>LUZ BODEGA</t>
  </si>
  <si>
    <t xml:space="preserve">Gastos de Viaje y Transportacion </t>
  </si>
  <si>
    <t>GASTOS VARIOS</t>
  </si>
  <si>
    <t>PAPELERIA</t>
  </si>
  <si>
    <t>CASETAS</t>
  </si>
  <si>
    <t>Gastos de venta</t>
  </si>
  <si>
    <t>PUBLICIDAD GOOGLE Y FACEBOOK</t>
  </si>
  <si>
    <t>COMISIONES VENDEDORES</t>
  </si>
  <si>
    <t>NOMINA ITALMEXY</t>
  </si>
  <si>
    <t>LUZ</t>
  </si>
  <si>
    <t>PLAYO</t>
  </si>
  <si>
    <t>Gastos financieros</t>
  </si>
  <si>
    <t>COMISIONES BANCARIAS</t>
  </si>
  <si>
    <t>COMISIONES EUROFORNO</t>
  </si>
  <si>
    <t>PUBLICIDAD IMPRESA (FOLLETOS, ORDENES DE COMPRA,TARJETAS DE PRESENTACION)</t>
  </si>
  <si>
    <t>Otros gastos operativos</t>
  </si>
  <si>
    <t xml:space="preserve">GASOLINA   </t>
  </si>
  <si>
    <t>FONDO FIJO TOLUCA</t>
  </si>
  <si>
    <t>COMISIONES SOBRE VENTAS</t>
  </si>
  <si>
    <t>Gasto de nómina</t>
  </si>
  <si>
    <t>ALMACEN IFULL</t>
  </si>
  <si>
    <t>Gastos por servicios</t>
  </si>
  <si>
    <t>RECARGA LINEA TELEFONICA</t>
  </si>
  <si>
    <t>FERRETERIA Y HERRAMIENTAS PARA BODEGA TOLUCA</t>
  </si>
  <si>
    <t>GASOLINA FABIO</t>
  </si>
  <si>
    <t>GASTOS VARIOS (FABIO)</t>
  </si>
  <si>
    <t>IMPUESTOS FEDERALES</t>
  </si>
  <si>
    <t>CONSULTORIA   SCALELLA, ARMANDO</t>
  </si>
  <si>
    <t>CONSULTORIA MERCADO LIBRE</t>
  </si>
  <si>
    <t>EQUIPO PARA VENDEDORES (CARGADOR, USB,PILAS)</t>
  </si>
  <si>
    <t>LIMPIEZA ALMACEN TOLUCA</t>
  </si>
  <si>
    <t>MERCADOTECNIA (PABLO- QUITO)</t>
  </si>
  <si>
    <t>PUBLICIDAD DACTILAR</t>
  </si>
  <si>
    <t>CONSULTORIA ANA GPT</t>
  </si>
  <si>
    <t>ASOCIACION NACIONAL DE TIENDAS DE AUTOSERVICIO Y DEPARTAMENTALES</t>
  </si>
  <si>
    <t>UBM MEXICO EXPOSICIONES</t>
  </si>
  <si>
    <t>REMODELACION ALMACEN TOLUCA</t>
  </si>
  <si>
    <t>SERVICIO DE SOPORTE TECNICO (SISTEMAS)</t>
  </si>
  <si>
    <t>SERVICIO TECNICO (REPARACION DE HORNO)</t>
  </si>
  <si>
    <t>IMPUESTOS ANUALES</t>
  </si>
  <si>
    <t>SERVICIOS DE RECLUTAMIENTO (GRUPO REDA)</t>
  </si>
  <si>
    <t>IMPUESTOS ISR RET</t>
  </si>
  <si>
    <t>IMPUESTOS IVA RET</t>
  </si>
  <si>
    <t>Gasto logistica</t>
  </si>
  <si>
    <t>ENVIO DE MERCANCIA NORDIN</t>
  </si>
  <si>
    <t>ENVIOS A CLIENTES (PAQUETERÍA)</t>
  </si>
  <si>
    <t>PAQUETERIA POR COBRAR</t>
  </si>
  <si>
    <t>TRANSPORTE(TAXIS Y UBER)</t>
  </si>
  <si>
    <t>CATERING PARA CURSO</t>
  </si>
  <si>
    <t>REFACCIONES Y HERRAMIENTA</t>
  </si>
  <si>
    <t>GARRAFONES DE AGUA</t>
  </si>
  <si>
    <t>MANTENIMIENTO ALMACEN TOLUCA</t>
  </si>
  <si>
    <t>MATERIA PRIMA PARA CURSOS</t>
  </si>
  <si>
    <t>Gastos de almacenaje</t>
  </si>
  <si>
    <t>VIATICOS EXPO GDL</t>
  </si>
  <si>
    <t xml:space="preserve">Viaticos Expo Pan WTC </t>
  </si>
  <si>
    <t>COMIDAS</t>
  </si>
  <si>
    <t>ESTACIONAMIENTOS</t>
  </si>
  <si>
    <t>EQUIPO DE PROTECCION PERSONAL</t>
  </si>
  <si>
    <t>GAS PARA DEMOSTRACIONES</t>
  </si>
  <si>
    <t>HERRERIA BODEGA TOLUCA</t>
  </si>
  <si>
    <t>INSUMOS PARA CURSO (MANDILES, TABLAS, FILIPINAS)</t>
  </si>
  <si>
    <t>PERSONAL (MOVIMIENTOS ALMACEN)</t>
  </si>
  <si>
    <t>SEÑALAMIENTOS EMPAQUE Y EMBALAJE</t>
  </si>
  <si>
    <t>TALLER MECANICO</t>
  </si>
  <si>
    <t>ANTICIPO A PROVEEDORES</t>
  </si>
  <si>
    <t>CARGOS NO RECONOCIDOS BBVA</t>
  </si>
  <si>
    <t>Gastos extraordinarios</t>
  </si>
  <si>
    <t>MOBILIARIO Y EQUIPO</t>
  </si>
  <si>
    <t>CARGO NO IDENTIFICADO</t>
  </si>
  <si>
    <t>ADQUISICION DE MERCANCIAS</t>
  </si>
  <si>
    <t xml:space="preserve">Reembolsos </t>
  </si>
  <si>
    <t xml:space="preserve">Prestamos Bendita Diversificacion </t>
  </si>
  <si>
    <t>EXPO FOOD SERVICE DE MEXICO</t>
  </si>
  <si>
    <t>INTERNET IZZI NEGOCIOS</t>
  </si>
  <si>
    <t>KIT DE INSTALACION DE SISTEMA DE CIRCUITO CERRADO DE TV</t>
  </si>
  <si>
    <t>LIQUIDACION DE TRABAJADORES</t>
  </si>
  <si>
    <t>MANIOBRAS DE DESCARGA</t>
  </si>
  <si>
    <t xml:space="preserve">MANIOBRAS DE DESCARGA (HORNOS) </t>
  </si>
  <si>
    <t>MATERIAL DE EMPAQUE</t>
  </si>
  <si>
    <t>MERCADOTECNIA (CARLOS-BOGOTA)</t>
  </si>
  <si>
    <t>MONTAJE EXPO GDL</t>
  </si>
  <si>
    <t>OPERADOR (TIEMPO EXTRA)</t>
  </si>
  <si>
    <t>PAGO PARCIAL DE PRESTAMO</t>
  </si>
  <si>
    <t>PIPA DE AGUA</t>
  </si>
  <si>
    <t>PIZZA EXPO</t>
  </si>
  <si>
    <t>PUBLICIDAD IMPRESA EXPO MTY</t>
  </si>
  <si>
    <t>PUBLICIDAD Y MARKETING</t>
  </si>
  <si>
    <t>RENTA BODEGA TOLUCA</t>
  </si>
  <si>
    <t>SISTEMA CONTPAQ ANUAL</t>
  </si>
  <si>
    <t>STAND ABASTUR</t>
  </si>
  <si>
    <t>VIATICOS CHINA (FABIO)</t>
  </si>
  <si>
    <t xml:space="preserve">VIATICOS Y GASTOS DE VIAJE (RICARDO CINTERMEX MTY) </t>
  </si>
  <si>
    <t xml:space="preserve">PUBLICIDAD IMPRESA CURSOS </t>
  </si>
  <si>
    <t>HOTEL</t>
  </si>
  <si>
    <t xml:space="preserve">INSUMOS </t>
  </si>
  <si>
    <t xml:space="preserve">VUELOS </t>
  </si>
  <si>
    <t xml:space="preserve">PROTOTIPOS </t>
  </si>
  <si>
    <t>EXPO GASTRONOMICA WTC</t>
  </si>
  <si>
    <t>PRESTAMOS BENDITA DIVERSIFICACION</t>
  </si>
  <si>
    <t>GARANTIA DE LOS EQUIPOS AT&amp;T</t>
  </si>
  <si>
    <t>HORAS EXTRA</t>
  </si>
  <si>
    <t>FINIQUITO</t>
  </si>
  <si>
    <t>EXPO PAN WTC JUNIO</t>
  </si>
  <si>
    <t>COMISIONES JUNIO</t>
  </si>
  <si>
    <t>PUBLICIDAD DIGITAL MANTTO PAG. INTERNET-QUITO, ECUADOR</t>
  </si>
  <si>
    <t>Javier</t>
  </si>
  <si>
    <t>FN2 PRO</t>
  </si>
  <si>
    <t>Cynthia</t>
  </si>
  <si>
    <t>IVA</t>
  </si>
  <si>
    <t>FECHA</t>
  </si>
  <si>
    <t>OPERADOR</t>
  </si>
  <si>
    <t>PRODUCTO</t>
  </si>
  <si>
    <t>Nº Serie</t>
  </si>
  <si>
    <t>N° Despacho</t>
  </si>
  <si>
    <t>CLIENTE</t>
  </si>
  <si>
    <t>#</t>
  </si>
  <si>
    <t>VALOR SIN IVA</t>
  </si>
  <si>
    <t>MONTO NETO</t>
  </si>
  <si>
    <t>Tipo de IVA</t>
  </si>
  <si>
    <t>MONTO TOTAL</t>
  </si>
  <si>
    <t>Valor TOTAL Cotización CON IVA</t>
  </si>
  <si>
    <t>HSBC</t>
  </si>
  <si>
    <t>Efectivo / Morva</t>
  </si>
  <si>
    <t>Total Pagado</t>
  </si>
  <si>
    <t>Por Cobrar</t>
  </si>
  <si>
    <t>FACTURADO</t>
  </si>
  <si>
    <t>CUIT</t>
  </si>
  <si>
    <t>Forma de Pago</t>
  </si>
  <si>
    <t>Lelia</t>
  </si>
  <si>
    <t>24 001 | C04 196596 G</t>
  </si>
  <si>
    <t>PABLO FUENTES</t>
  </si>
  <si>
    <t>-</t>
  </si>
  <si>
    <t>Factura B 0006 (Anticipo) Factura B 0007 (Saldo)</t>
  </si>
  <si>
    <t>PALA</t>
  </si>
  <si>
    <t>N/A</t>
  </si>
  <si>
    <t>PRO GAS 90</t>
  </si>
  <si>
    <t>GERARDO TURRI</t>
  </si>
  <si>
    <t>Factura A 0044</t>
  </si>
  <si>
    <t>PRO GAS 106</t>
  </si>
  <si>
    <t>G24038032011</t>
  </si>
  <si>
    <t>24 001 IC04 0985888 X</t>
  </si>
  <si>
    <t>WALJUL SRL</t>
  </si>
  <si>
    <t>Factura A 0048</t>
  </si>
  <si>
    <t>HSBC | Efectivo</t>
  </si>
  <si>
    <t>CARLOS ALBERTO BULOG</t>
  </si>
  <si>
    <t>Factura A 0050</t>
  </si>
  <si>
    <t>6 Cuotas | HSBC</t>
  </si>
  <si>
    <t>G24038032006</t>
  </si>
  <si>
    <t>PRÓCERES SRL</t>
  </si>
  <si>
    <t>Factura A 0051</t>
  </si>
  <si>
    <t>GUSTAVO BUEZAS</t>
  </si>
  <si>
    <t>Factura B 0005 (Anticipo) Factura B 0008 (Saldo)</t>
  </si>
  <si>
    <t>HSBC | 3 Cuotas</t>
  </si>
  <si>
    <t>EMIR MUSA</t>
  </si>
  <si>
    <t>Factura B 0003</t>
  </si>
  <si>
    <t>G24038032004</t>
  </si>
  <si>
    <t>FABRIC CITY BELL SA</t>
  </si>
  <si>
    <t>Factura A 0045</t>
  </si>
  <si>
    <t>PABLO BRAVO</t>
  </si>
  <si>
    <t xml:space="preserve">Factura B 0003 (Anticipo) Factura B 0009 (Saldo)
</t>
  </si>
  <si>
    <t>Tarjeta | Efectivo</t>
  </si>
  <si>
    <t>G24038032001</t>
  </si>
  <si>
    <t>DAMIANO MARIANO</t>
  </si>
  <si>
    <t>Factura A 0049</t>
  </si>
  <si>
    <t>G24038032002</t>
  </si>
  <si>
    <t>PALAS</t>
  </si>
  <si>
    <t>BONIFICADO</t>
  </si>
  <si>
    <t>PRO ELECTRICO 90</t>
  </si>
  <si>
    <t>ES240380320006</t>
  </si>
  <si>
    <t>RODRIGO GARCÍA</t>
  </si>
  <si>
    <t>Factura A 0043</t>
  </si>
  <si>
    <t>RODRIGO ALLEGRE</t>
  </si>
  <si>
    <t>Factura A 0046</t>
  </si>
  <si>
    <t>MESA</t>
  </si>
  <si>
    <t>PO24/TA030</t>
  </si>
  <si>
    <t>PRO HOUSE</t>
  </si>
  <si>
    <t>PT1816 9 of 10</t>
  </si>
  <si>
    <t>DANIEL SALIVA</t>
  </si>
  <si>
    <t>Factura A 0047</t>
  </si>
  <si>
    <t>Comisión 3%</t>
  </si>
  <si>
    <t>Comisión 5%</t>
  </si>
  <si>
    <t>Comisión 7%</t>
  </si>
  <si>
    <t>VALOR Sin Descuento</t>
  </si>
  <si>
    <t>Descuentos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</si>
</sst>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1"/>
      <name val="Segoe UI"/>
      <family val="2"/>
    </font>
    <font>
      <b/>
      <sz val="12"/>
      <name val="Segoe UI"/>
      <family val="2"/>
    </font>
    <font>
      <b/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CCCCCC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8">
    <xf numFmtId="0" fontId="0" fillId="0" borderId="0" xfId="0"/>
    <xf numFmtId="0" fontId="3" fillId="0" borderId="0" xfId="0" applyFont="1"/>
    <xf numFmtId="0" fontId="8" fillId="0" borderId="0" xfId="0" applyFont="1"/>
    <xf numFmtId="0" fontId="4" fillId="0" borderId="0" xfId="0" applyFont="1" applyAlignment="1">
      <alignment horizontal="left"/>
    </xf>
    <xf numFmtId="8" fontId="6" fillId="2" borderId="0" xfId="0" applyNumberFormat="1" applyFont="1" applyFill="1"/>
    <xf numFmtId="0" fontId="4" fillId="0" borderId="0" xfId="0" applyFont="1"/>
    <xf numFmtId="8" fontId="7" fillId="2" borderId="0" xfId="0" applyNumberFormat="1" applyFont="1" applyFill="1"/>
    <xf numFmtId="0" fontId="0" fillId="0" borderId="0" xfId="0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0" xfId="0" quotePrefix="1" applyAlignment="1">
      <alignment horizontal="left"/>
    </xf>
    <xf numFmtId="0" fontId="9" fillId="4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14" fontId="5" fillId="0" borderId="7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4" fontId="5" fillId="5" borderId="7" xfId="0" applyNumberFormat="1" applyFont="1" applyFill="1" applyBorder="1" applyAlignment="1">
      <alignment horizontal="right" vertical="center" wrapText="1"/>
    </xf>
    <xf numFmtId="4" fontId="5" fillId="0" borderId="7" xfId="0" applyNumberFormat="1" applyFont="1" applyBorder="1" applyAlignment="1">
      <alignment horizontal="right" vertical="center" wrapText="1"/>
    </xf>
    <xf numFmtId="10" fontId="5" fillId="0" borderId="7" xfId="0" applyNumberFormat="1" applyFont="1" applyBorder="1" applyAlignment="1">
      <alignment horizontal="right" vertical="center" wrapText="1"/>
    </xf>
    <xf numFmtId="4" fontId="5" fillId="6" borderId="7" xfId="0" applyNumberFormat="1" applyFont="1" applyFill="1" applyBorder="1" applyAlignment="1">
      <alignment horizontal="right" vertical="center" wrapText="1"/>
    </xf>
    <xf numFmtId="0" fontId="2" fillId="0" borderId="7" xfId="0" applyFont="1" applyBorder="1" applyAlignment="1">
      <alignment vertical="center" wrapText="1"/>
    </xf>
    <xf numFmtId="3" fontId="10" fillId="0" borderId="8" xfId="0" applyNumberFormat="1" applyFont="1" applyBorder="1" applyAlignment="1">
      <alignment horizontal="right" vertical="center" wrapText="1"/>
    </xf>
    <xf numFmtId="3" fontId="10" fillId="0" borderId="7" xfId="0" applyNumberFormat="1" applyFont="1" applyBorder="1" applyAlignment="1">
      <alignment horizontal="right" vertical="center" wrapText="1"/>
    </xf>
    <xf numFmtId="3" fontId="10" fillId="5" borderId="7" xfId="0" applyNumberFormat="1" applyFont="1" applyFill="1" applyBorder="1" applyAlignment="1">
      <alignment horizontal="right" vertical="center" wrapText="1"/>
    </xf>
    <xf numFmtId="3" fontId="5" fillId="0" borderId="7" xfId="0" applyNumberFormat="1" applyFont="1" applyBorder="1" applyAlignment="1">
      <alignment horizontal="right" vertical="center" wrapText="1"/>
    </xf>
    <xf numFmtId="0" fontId="10" fillId="0" borderId="7" xfId="0" applyFont="1" applyBorder="1" applyAlignment="1">
      <alignment horizontal="right" vertical="center" wrapText="1"/>
    </xf>
    <xf numFmtId="0" fontId="5" fillId="3" borderId="7" xfId="0" applyFont="1" applyFill="1" applyBorder="1" applyAlignment="1">
      <alignment horizontal="right" vertical="center" wrapText="1"/>
    </xf>
    <xf numFmtId="0" fontId="10" fillId="0" borderId="7" xfId="0" applyFont="1" applyBorder="1" applyAlignment="1">
      <alignment vertical="center" wrapText="1"/>
    </xf>
    <xf numFmtId="0" fontId="10" fillId="0" borderId="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14" fontId="5" fillId="0" borderId="10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vertical="center" wrapText="1"/>
    </xf>
    <xf numFmtId="0" fontId="5" fillId="0" borderId="10" xfId="0" applyFont="1" applyBorder="1" applyAlignment="1">
      <alignment horizontal="center" vertical="center" wrapText="1"/>
    </xf>
    <xf numFmtId="4" fontId="5" fillId="5" borderId="10" xfId="0" applyNumberFormat="1" applyFont="1" applyFill="1" applyBorder="1" applyAlignment="1">
      <alignment horizontal="right" vertical="center" wrapText="1"/>
    </xf>
    <xf numFmtId="4" fontId="5" fillId="0" borderId="10" xfId="0" applyNumberFormat="1" applyFont="1" applyBorder="1" applyAlignment="1">
      <alignment horizontal="right" vertical="center" wrapText="1"/>
    </xf>
    <xf numFmtId="10" fontId="5" fillId="0" borderId="10" xfId="0" applyNumberFormat="1" applyFont="1" applyBorder="1" applyAlignment="1">
      <alignment horizontal="right" vertical="center" wrapText="1"/>
    </xf>
    <xf numFmtId="4" fontId="5" fillId="6" borderId="10" xfId="0" applyNumberFormat="1" applyFont="1" applyFill="1" applyBorder="1" applyAlignment="1">
      <alignment horizontal="right" vertical="center" wrapText="1"/>
    </xf>
    <xf numFmtId="3" fontId="5" fillId="0" borderId="10" xfId="0" applyNumberFormat="1" applyFont="1" applyBorder="1" applyAlignment="1">
      <alignment horizontal="right" vertical="center" wrapText="1"/>
    </xf>
    <xf numFmtId="0" fontId="10" fillId="0" borderId="10" xfId="0" applyFont="1" applyBorder="1" applyAlignment="1">
      <alignment horizontal="right" vertical="center" wrapText="1"/>
    </xf>
    <xf numFmtId="0" fontId="5" fillId="3" borderId="10" xfId="0" applyFont="1" applyFill="1" applyBorder="1" applyAlignment="1">
      <alignment horizontal="right" vertical="center" wrapText="1"/>
    </xf>
    <xf numFmtId="0" fontId="10" fillId="0" borderId="10" xfId="0" applyFont="1" applyBorder="1" applyAlignment="1">
      <alignment vertical="center" wrapText="1"/>
    </xf>
    <xf numFmtId="0" fontId="10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3" fontId="10" fillId="0" borderId="11" xfId="0" applyNumberFormat="1" applyFont="1" applyBorder="1" applyAlignment="1">
      <alignment horizontal="right" vertical="center" wrapText="1"/>
    </xf>
    <xf numFmtId="3" fontId="10" fillId="0" borderId="10" xfId="0" applyNumberFormat="1" applyFont="1" applyBorder="1" applyAlignment="1">
      <alignment horizontal="right" vertical="center" wrapText="1"/>
    </xf>
    <xf numFmtId="3" fontId="10" fillId="5" borderId="10" xfId="0" applyNumberFormat="1" applyFont="1" applyFill="1" applyBorder="1" applyAlignment="1">
      <alignment horizontal="right" vertical="center" wrapText="1"/>
    </xf>
    <xf numFmtId="3" fontId="11" fillId="5" borderId="3" xfId="0" applyNumberFormat="1" applyFont="1" applyFill="1" applyBorder="1" applyAlignment="1">
      <alignment horizontal="right" vertical="center" wrapText="1"/>
    </xf>
    <xf numFmtId="0" fontId="5" fillId="0" borderId="7" xfId="0" applyFont="1" applyBorder="1" applyAlignment="1">
      <alignment horizontal="right" vertical="center" wrapText="1"/>
    </xf>
    <xf numFmtId="0" fontId="5" fillId="5" borderId="7" xfId="0" applyFont="1" applyFill="1" applyBorder="1" applyAlignment="1">
      <alignment horizontal="right" vertical="center" wrapText="1"/>
    </xf>
    <xf numFmtId="0" fontId="5" fillId="0" borderId="10" xfId="0" applyFont="1" applyBorder="1" applyAlignment="1">
      <alignment horizontal="right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vertical="center" wrapText="1"/>
    </xf>
    <xf numFmtId="0" fontId="10" fillId="5" borderId="10" xfId="0" applyFont="1" applyFill="1" applyBorder="1" applyAlignment="1">
      <alignment horizontal="right" vertical="center" wrapText="1"/>
    </xf>
    <xf numFmtId="0" fontId="10" fillId="0" borderId="11" xfId="0" applyFont="1" applyBorder="1" applyAlignment="1">
      <alignment horizontal="right" vertical="center" wrapText="1"/>
    </xf>
    <xf numFmtId="0" fontId="10" fillId="0" borderId="8" xfId="0" applyFont="1" applyBorder="1" applyAlignment="1">
      <alignment vertical="center" wrapText="1"/>
    </xf>
    <xf numFmtId="0" fontId="10" fillId="7" borderId="9" xfId="0" applyFont="1" applyFill="1" applyBorder="1" applyAlignment="1">
      <alignment vertical="center" wrapText="1"/>
    </xf>
    <xf numFmtId="0" fontId="10" fillId="7" borderId="10" xfId="0" applyFont="1" applyFill="1" applyBorder="1" applyAlignment="1">
      <alignment vertical="center" wrapText="1"/>
    </xf>
    <xf numFmtId="4" fontId="11" fillId="7" borderId="10" xfId="0" applyNumberFormat="1" applyFont="1" applyFill="1" applyBorder="1" applyAlignment="1">
      <alignment horizontal="right" vertical="center" wrapText="1"/>
    </xf>
    <xf numFmtId="4" fontId="11" fillId="3" borderId="10" xfId="0" applyNumberFormat="1" applyFont="1" applyFill="1" applyBorder="1" applyAlignment="1">
      <alignment horizontal="right" vertical="center" wrapText="1"/>
    </xf>
    <xf numFmtId="3" fontId="11" fillId="7" borderId="10" xfId="0" applyNumberFormat="1" applyFont="1" applyFill="1" applyBorder="1" applyAlignment="1">
      <alignment horizontal="right" vertical="center" wrapText="1"/>
    </xf>
    <xf numFmtId="0" fontId="9" fillId="4" borderId="19" xfId="0" applyFont="1" applyFill="1" applyBorder="1" applyAlignment="1">
      <alignment horizontal="center" vertical="center" wrapText="1"/>
    </xf>
    <xf numFmtId="4" fontId="5" fillId="5" borderId="20" xfId="0" applyNumberFormat="1" applyFont="1" applyFill="1" applyBorder="1" applyAlignment="1">
      <alignment horizontal="right" vertical="center" wrapText="1"/>
    </xf>
    <xf numFmtId="4" fontId="5" fillId="5" borderId="21" xfId="0" applyNumberFormat="1" applyFont="1" applyFill="1" applyBorder="1" applyAlignment="1">
      <alignment horizontal="right" vertical="center" wrapText="1"/>
    </xf>
    <xf numFmtId="4" fontId="11" fillId="7" borderId="21" xfId="0" applyNumberFormat="1" applyFont="1" applyFill="1" applyBorder="1" applyAlignment="1">
      <alignment horizontal="right" vertical="center" wrapText="1"/>
    </xf>
    <xf numFmtId="4" fontId="10" fillId="0" borderId="3" xfId="0" applyNumberFormat="1" applyFont="1" applyBorder="1" applyAlignment="1">
      <alignment vertical="center" wrapText="1"/>
    </xf>
    <xf numFmtId="0" fontId="12" fillId="0" borderId="3" xfId="0" applyFont="1" applyBorder="1" applyAlignment="1">
      <alignment vertical="center" wrapText="1"/>
    </xf>
    <xf numFmtId="0" fontId="10" fillId="0" borderId="14" xfId="0" applyFont="1" applyBorder="1" applyAlignment="1">
      <alignment vertical="center" wrapText="1"/>
    </xf>
    <xf numFmtId="0" fontId="10" fillId="0" borderId="13" xfId="0" applyFont="1" applyBorder="1" applyAlignment="1">
      <alignment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3" fontId="10" fillId="0" borderId="15" xfId="0" applyNumberFormat="1" applyFont="1" applyBorder="1" applyAlignment="1">
      <alignment horizontal="right" vertical="center" wrapText="1"/>
    </xf>
    <xf numFmtId="3" fontId="10" fillId="0" borderId="16" xfId="0" applyNumberFormat="1" applyFont="1" applyBorder="1" applyAlignment="1">
      <alignment horizontal="right" vertical="center" wrapText="1"/>
    </xf>
    <xf numFmtId="3" fontId="10" fillId="0" borderId="17" xfId="0" applyNumberFormat="1" applyFont="1" applyBorder="1" applyAlignment="1">
      <alignment horizontal="right" vertical="center" wrapText="1"/>
    </xf>
    <xf numFmtId="3" fontId="10" fillId="0" borderId="18" xfId="0" applyNumberFormat="1" applyFont="1" applyBorder="1" applyAlignment="1">
      <alignment horizontal="right" vertical="center" wrapText="1"/>
    </xf>
    <xf numFmtId="3" fontId="10" fillId="5" borderId="14" xfId="0" applyNumberFormat="1" applyFont="1" applyFill="1" applyBorder="1" applyAlignment="1">
      <alignment horizontal="right" vertical="center" wrapText="1"/>
    </xf>
    <xf numFmtId="3" fontId="10" fillId="5" borderId="13" xfId="0" applyNumberFormat="1" applyFont="1" applyFill="1" applyBorder="1" applyAlignment="1">
      <alignment horizontal="right" vertical="center" wrapText="1"/>
    </xf>
    <xf numFmtId="4" fontId="5" fillId="6" borderId="14" xfId="0" applyNumberFormat="1" applyFont="1" applyFill="1" applyBorder="1" applyAlignment="1">
      <alignment horizontal="right" vertical="center" wrapText="1"/>
    </xf>
    <xf numFmtId="4" fontId="5" fillId="6" borderId="13" xfId="0" applyNumberFormat="1" applyFont="1" applyFill="1" applyBorder="1" applyAlignment="1">
      <alignment horizontal="right" vertical="center" wrapText="1"/>
    </xf>
    <xf numFmtId="3" fontId="5" fillId="0" borderId="14" xfId="0" applyNumberFormat="1" applyFont="1" applyBorder="1" applyAlignment="1">
      <alignment horizontal="right" vertical="center" wrapText="1"/>
    </xf>
    <xf numFmtId="3" fontId="5" fillId="0" borderId="13" xfId="0" applyNumberFormat="1" applyFont="1" applyBorder="1" applyAlignment="1">
      <alignment horizontal="right" vertical="center" wrapText="1"/>
    </xf>
    <xf numFmtId="4" fontId="5" fillId="0" borderId="14" xfId="0" applyNumberFormat="1" applyFont="1" applyBorder="1" applyAlignment="1">
      <alignment horizontal="right" vertical="center" wrapText="1"/>
    </xf>
    <xf numFmtId="4" fontId="5" fillId="0" borderId="13" xfId="0" applyNumberFormat="1" applyFont="1" applyBorder="1" applyAlignment="1">
      <alignment horizontal="right" vertical="center" wrapText="1"/>
    </xf>
    <xf numFmtId="4" fontId="5" fillId="3" borderId="14" xfId="0" applyNumberFormat="1" applyFont="1" applyFill="1" applyBorder="1" applyAlignment="1">
      <alignment horizontal="right" vertical="center" wrapText="1"/>
    </xf>
    <xf numFmtId="4" fontId="5" fillId="3" borderId="13" xfId="0" applyNumberFormat="1" applyFont="1" applyFill="1" applyBorder="1" applyAlignment="1">
      <alignment horizontal="right" vertical="center" wrapText="1"/>
    </xf>
    <xf numFmtId="0" fontId="5" fillId="0" borderId="14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4" fontId="5" fillId="5" borderId="14" xfId="0" applyNumberFormat="1" applyFont="1" applyFill="1" applyBorder="1" applyAlignment="1">
      <alignment horizontal="right" vertical="center" wrapText="1"/>
    </xf>
    <xf numFmtId="4" fontId="5" fillId="5" borderId="13" xfId="0" applyNumberFormat="1" applyFont="1" applyFill="1" applyBorder="1" applyAlignment="1">
      <alignment horizontal="right" vertical="center" wrapText="1"/>
    </xf>
    <xf numFmtId="10" fontId="5" fillId="0" borderId="14" xfId="0" applyNumberFormat="1" applyFont="1" applyBorder="1" applyAlignment="1">
      <alignment horizontal="right" vertical="center" wrapText="1"/>
    </xf>
    <xf numFmtId="10" fontId="5" fillId="0" borderId="13" xfId="0" applyNumberFormat="1" applyFont="1" applyBorder="1" applyAlignment="1">
      <alignment horizontal="right" vertical="center" wrapText="1"/>
    </xf>
    <xf numFmtId="0" fontId="5" fillId="0" borderId="12" xfId="0" applyFont="1" applyBorder="1" applyAlignment="1">
      <alignment vertical="center" wrapText="1"/>
    </xf>
    <xf numFmtId="0" fontId="10" fillId="0" borderId="12" xfId="0" applyFont="1" applyBorder="1" applyAlignment="1">
      <alignment horizontal="center" vertical="center" wrapText="1"/>
    </xf>
    <xf numFmtId="3" fontId="5" fillId="0" borderId="12" xfId="0" applyNumberFormat="1" applyFont="1" applyBorder="1" applyAlignment="1">
      <alignment horizontal="right" vertical="center" wrapText="1"/>
    </xf>
    <xf numFmtId="0" fontId="10" fillId="0" borderId="12" xfId="0" applyFont="1" applyBorder="1" applyAlignment="1">
      <alignment horizontal="right" vertical="center" wrapText="1"/>
    </xf>
    <xf numFmtId="0" fontId="10" fillId="0" borderId="13" xfId="0" applyFont="1" applyBorder="1" applyAlignment="1">
      <alignment horizontal="right" vertical="center" wrapText="1"/>
    </xf>
    <xf numFmtId="4" fontId="5" fillId="0" borderId="12" xfId="0" applyNumberFormat="1" applyFont="1" applyBorder="1" applyAlignment="1">
      <alignment horizontal="right" vertical="center" wrapText="1"/>
    </xf>
    <xf numFmtId="0" fontId="5" fillId="3" borderId="12" xfId="0" applyFont="1" applyFill="1" applyBorder="1" applyAlignment="1">
      <alignment horizontal="right" vertical="center" wrapText="1"/>
    </xf>
    <xf numFmtId="0" fontId="5" fillId="3" borderId="13" xfId="0" applyFont="1" applyFill="1" applyBorder="1" applyAlignment="1">
      <alignment horizontal="right" vertical="center" wrapText="1"/>
    </xf>
  </cellXfs>
  <cellStyles count="4">
    <cellStyle name="Millares 2" xfId="3" xr:uid="{6055B29B-3539-473A-AE1E-B53434AF2097}"/>
    <cellStyle name="Moneda 2" xfId="1" xr:uid="{2B19F461-3CE7-49C6-8833-F2A9B7C29E43}"/>
    <cellStyle name="Moneda 3" xfId="2" xr:uid="{D431B3F6-F0AC-4B22-A2EF-B5778D33F5AF}"/>
    <cellStyle name="Normal" xfId="0" builtinId="0"/>
  </cellStyles>
  <dxfs count="0"/>
  <tableStyles count="1" defaultTableStyle="TableStyleMedium2" defaultPivotStyle="PivotStyleLight16">
    <tableStyle name="Invisible" pivot="0" table="0" count="0" xr9:uid="{F4DB1592-7028-4E40-86B2-18A0E6CF156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53904-7E26-4544-B658-45AD97AD15D9}">
  <dimension ref="A1:AC1013"/>
  <sheetViews>
    <sheetView tabSelected="1" zoomScale="90" zoomScaleNormal="90" workbookViewId="0">
      <selection activeCell="V4" sqref="V4"/>
    </sheetView>
  </sheetViews>
  <sheetFormatPr baseColWidth="10" defaultRowHeight="14.4" x14ac:dyDescent="0.3"/>
  <cols>
    <col min="2" max="2" width="11" bestFit="1" customWidth="1"/>
    <col min="4" max="4" width="11" bestFit="1" customWidth="1"/>
    <col min="7" max="7" width="11" bestFit="1" customWidth="1"/>
    <col min="8" max="8" width="14.109375" bestFit="1" customWidth="1"/>
    <col min="9" max="9" width="14.88671875" bestFit="1" customWidth="1"/>
    <col min="10" max="10" width="14.109375" bestFit="1" customWidth="1"/>
    <col min="11" max="11" width="13" bestFit="1" customWidth="1"/>
    <col min="13" max="14" width="14.109375" bestFit="1" customWidth="1"/>
    <col min="15" max="15" width="11" bestFit="1" customWidth="1"/>
    <col min="16" max="16" width="18" customWidth="1"/>
    <col min="20" max="20" width="12.109375" bestFit="1" customWidth="1"/>
    <col min="22" max="22" width="17.109375" bestFit="1" customWidth="1"/>
  </cols>
  <sheetData>
    <row r="1" spans="1:29" ht="40.799999999999997" thickTop="1" thickBot="1" x14ac:dyDescent="0.35">
      <c r="A1" s="10" t="s">
        <v>117</v>
      </c>
      <c r="B1" s="11" t="s">
        <v>116</v>
      </c>
      <c r="C1" s="11" t="s">
        <v>118</v>
      </c>
      <c r="D1" s="11" t="s">
        <v>119</v>
      </c>
      <c r="E1" s="11" t="s">
        <v>120</v>
      </c>
      <c r="F1" s="11" t="s">
        <v>121</v>
      </c>
      <c r="G1" s="11" t="s">
        <v>122</v>
      </c>
      <c r="H1" s="66" t="s">
        <v>189</v>
      </c>
      <c r="I1" s="11" t="s">
        <v>123</v>
      </c>
      <c r="J1" s="11" t="s">
        <v>124</v>
      </c>
      <c r="K1" s="11" t="s">
        <v>115</v>
      </c>
      <c r="L1" s="11" t="s">
        <v>125</v>
      </c>
      <c r="M1" s="11" t="s">
        <v>126</v>
      </c>
      <c r="N1" s="11" t="s">
        <v>127</v>
      </c>
      <c r="O1" s="11" t="s">
        <v>128</v>
      </c>
      <c r="P1" s="11" t="s">
        <v>129</v>
      </c>
      <c r="Q1" s="11" t="s">
        <v>130</v>
      </c>
      <c r="R1" s="12" t="s">
        <v>131</v>
      </c>
      <c r="S1" s="11" t="s">
        <v>132</v>
      </c>
      <c r="T1" s="11" t="s">
        <v>133</v>
      </c>
      <c r="U1" s="11" t="s">
        <v>134</v>
      </c>
      <c r="V1" s="13"/>
      <c r="W1" s="14" t="s">
        <v>186</v>
      </c>
      <c r="X1" s="15" t="s">
        <v>187</v>
      </c>
      <c r="Y1" s="16" t="s">
        <v>188</v>
      </c>
      <c r="Z1" s="17"/>
      <c r="AA1" s="17"/>
      <c r="AB1" s="17"/>
      <c r="AC1" s="17"/>
    </row>
    <row r="2" spans="1:29" ht="37.5" customHeight="1" thickTop="1" thickBot="1" x14ac:dyDescent="0.35">
      <c r="A2" s="18" t="s">
        <v>135</v>
      </c>
      <c r="B2" s="19">
        <v>45597</v>
      </c>
      <c r="C2" s="20" t="s">
        <v>1</v>
      </c>
      <c r="D2" s="20">
        <v>202410306</v>
      </c>
      <c r="E2" s="20" t="s">
        <v>136</v>
      </c>
      <c r="F2" s="20" t="s">
        <v>137</v>
      </c>
      <c r="G2" s="21">
        <v>1</v>
      </c>
      <c r="H2" s="67">
        <v>1080000</v>
      </c>
      <c r="I2" s="22">
        <v>1080000</v>
      </c>
      <c r="J2" s="23">
        <v>1080000</v>
      </c>
      <c r="K2" s="23">
        <v>226800</v>
      </c>
      <c r="L2" s="24">
        <v>0.21</v>
      </c>
      <c r="M2" s="23">
        <v>1306800</v>
      </c>
      <c r="N2" s="25">
        <v>1306800</v>
      </c>
      <c r="O2" s="102">
        <v>1416910</v>
      </c>
      <c r="P2" s="103" t="s">
        <v>138</v>
      </c>
      <c r="Q2" s="105">
        <v>1416910</v>
      </c>
      <c r="R2" s="106">
        <v>0</v>
      </c>
      <c r="S2" s="100" t="s">
        <v>139</v>
      </c>
      <c r="T2" s="101">
        <v>27310946945</v>
      </c>
      <c r="U2" s="26" t="s">
        <v>128</v>
      </c>
      <c r="V2" s="27"/>
      <c r="W2" s="28">
        <v>32400</v>
      </c>
      <c r="X2" s="29">
        <v>54000</v>
      </c>
      <c r="Y2" s="27">
        <v>75600</v>
      </c>
      <c r="Z2" s="17"/>
      <c r="AA2" s="17"/>
      <c r="AB2" s="17"/>
      <c r="AC2" s="17"/>
    </row>
    <row r="3" spans="1:29" ht="28.2" thickBot="1" x14ac:dyDescent="0.35">
      <c r="A3" s="18" t="s">
        <v>135</v>
      </c>
      <c r="B3" s="19">
        <v>45628</v>
      </c>
      <c r="C3" s="20" t="s">
        <v>140</v>
      </c>
      <c r="D3" s="20" t="s">
        <v>141</v>
      </c>
      <c r="E3" s="20" t="s">
        <v>141</v>
      </c>
      <c r="F3" s="20" t="s">
        <v>137</v>
      </c>
      <c r="G3" s="21">
        <v>1</v>
      </c>
      <c r="H3" s="67">
        <v>91000</v>
      </c>
      <c r="I3" s="22">
        <v>91000</v>
      </c>
      <c r="J3" s="23">
        <v>91000</v>
      </c>
      <c r="K3" s="23">
        <v>19110</v>
      </c>
      <c r="L3" s="24">
        <v>0.21</v>
      </c>
      <c r="M3" s="23">
        <v>110110</v>
      </c>
      <c r="N3" s="25">
        <v>110110</v>
      </c>
      <c r="O3" s="87"/>
      <c r="P3" s="104"/>
      <c r="Q3" s="89"/>
      <c r="R3" s="107"/>
      <c r="S3" s="93"/>
      <c r="T3" s="75"/>
      <c r="U3" s="26" t="s">
        <v>128</v>
      </c>
      <c r="V3" s="27"/>
      <c r="W3" s="28">
        <v>2730</v>
      </c>
      <c r="X3" s="29">
        <v>4550</v>
      </c>
      <c r="Y3" s="27">
        <v>6370</v>
      </c>
      <c r="Z3" s="17"/>
      <c r="AA3" s="17"/>
      <c r="AB3" s="17"/>
      <c r="AC3" s="17"/>
    </row>
    <row r="4" spans="1:29" ht="28.2" thickBot="1" x14ac:dyDescent="0.35">
      <c r="A4" s="18" t="s">
        <v>135</v>
      </c>
      <c r="B4" s="19">
        <v>45638</v>
      </c>
      <c r="C4" s="20" t="s">
        <v>142</v>
      </c>
      <c r="D4" s="20">
        <v>24146001</v>
      </c>
      <c r="E4" s="20" t="s">
        <v>136</v>
      </c>
      <c r="F4" s="20" t="s">
        <v>143</v>
      </c>
      <c r="G4" s="21">
        <v>1</v>
      </c>
      <c r="H4" s="67">
        <v>4350000</v>
      </c>
      <c r="I4" s="22">
        <v>3915000</v>
      </c>
      <c r="J4" s="23">
        <v>3915000</v>
      </c>
      <c r="K4" s="23">
        <v>411075</v>
      </c>
      <c r="L4" s="24">
        <v>0.105</v>
      </c>
      <c r="M4" s="23">
        <v>4326075</v>
      </c>
      <c r="N4" s="25">
        <v>4326075</v>
      </c>
      <c r="O4" s="30">
        <v>4326075</v>
      </c>
      <c r="P4" s="31" t="s">
        <v>138</v>
      </c>
      <c r="Q4" s="23">
        <v>4326075</v>
      </c>
      <c r="R4" s="32">
        <v>0</v>
      </c>
      <c r="S4" s="33" t="s">
        <v>144</v>
      </c>
      <c r="T4" s="34">
        <v>20115516761</v>
      </c>
      <c r="U4" s="26" t="s">
        <v>128</v>
      </c>
      <c r="V4" s="27"/>
      <c r="W4" s="28">
        <v>117450</v>
      </c>
      <c r="X4" s="29">
        <v>195750</v>
      </c>
      <c r="Y4" s="27">
        <v>274050</v>
      </c>
      <c r="Z4" s="17"/>
      <c r="AA4" s="17"/>
      <c r="AB4" s="17"/>
      <c r="AC4" s="17"/>
    </row>
    <row r="5" spans="1:29" ht="29.4" thickBot="1" x14ac:dyDescent="0.35">
      <c r="A5" s="18" t="s">
        <v>135</v>
      </c>
      <c r="B5" s="19">
        <v>45652</v>
      </c>
      <c r="C5" s="20" t="s">
        <v>145</v>
      </c>
      <c r="D5" s="20" t="s">
        <v>146</v>
      </c>
      <c r="E5" s="20" t="s">
        <v>147</v>
      </c>
      <c r="F5" s="20" t="s">
        <v>148</v>
      </c>
      <c r="G5" s="21">
        <v>1</v>
      </c>
      <c r="H5" s="67">
        <v>3210000</v>
      </c>
      <c r="I5" s="22">
        <v>2889000</v>
      </c>
      <c r="J5" s="23">
        <v>1444500</v>
      </c>
      <c r="K5" s="23">
        <v>151672.5</v>
      </c>
      <c r="L5" s="24">
        <v>0.105</v>
      </c>
      <c r="M5" s="23">
        <v>1596172.5</v>
      </c>
      <c r="N5" s="25">
        <v>3040672.5</v>
      </c>
      <c r="O5" s="30">
        <v>1596173</v>
      </c>
      <c r="P5" s="28">
        <v>1444500</v>
      </c>
      <c r="Q5" s="23">
        <v>3040672.5</v>
      </c>
      <c r="R5" s="32">
        <v>0</v>
      </c>
      <c r="S5" s="33" t="s">
        <v>149</v>
      </c>
      <c r="T5" s="34">
        <v>30717906833</v>
      </c>
      <c r="U5" s="26" t="s">
        <v>150</v>
      </c>
      <c r="V5" s="27"/>
      <c r="W5" s="28">
        <v>86670</v>
      </c>
      <c r="X5" s="29">
        <v>144450</v>
      </c>
      <c r="Y5" s="27">
        <v>202230</v>
      </c>
      <c r="Z5" s="17"/>
      <c r="AA5" s="17"/>
      <c r="AB5" s="17"/>
      <c r="AC5" s="17"/>
    </row>
    <row r="6" spans="1:29" ht="42" thickBot="1" x14ac:dyDescent="0.35">
      <c r="A6" s="18" t="s">
        <v>135</v>
      </c>
      <c r="B6" s="19">
        <v>45653</v>
      </c>
      <c r="C6" s="20" t="s">
        <v>113</v>
      </c>
      <c r="D6" s="20">
        <v>202410336</v>
      </c>
      <c r="E6" s="20" t="s">
        <v>136</v>
      </c>
      <c r="F6" s="20" t="s">
        <v>151</v>
      </c>
      <c r="G6" s="21">
        <v>1</v>
      </c>
      <c r="H6" s="67">
        <v>2010000</v>
      </c>
      <c r="I6" s="22">
        <v>2010000</v>
      </c>
      <c r="J6" s="23">
        <v>2010000</v>
      </c>
      <c r="K6" s="23">
        <v>422100</v>
      </c>
      <c r="L6" s="24">
        <v>0.21</v>
      </c>
      <c r="M6" s="23">
        <v>2432100</v>
      </c>
      <c r="N6" s="25">
        <v>2432100</v>
      </c>
      <c r="O6" s="30">
        <v>2432100</v>
      </c>
      <c r="P6" s="31" t="s">
        <v>138</v>
      </c>
      <c r="Q6" s="23">
        <v>2432100</v>
      </c>
      <c r="R6" s="32">
        <v>0</v>
      </c>
      <c r="S6" s="33" t="s">
        <v>152</v>
      </c>
      <c r="T6" s="34">
        <v>20397058795</v>
      </c>
      <c r="U6" s="26" t="s">
        <v>153</v>
      </c>
      <c r="V6" s="27"/>
      <c r="W6" s="28">
        <v>60300</v>
      </c>
      <c r="X6" s="29">
        <v>100500</v>
      </c>
      <c r="Y6" s="27">
        <v>140700</v>
      </c>
      <c r="Z6" s="17"/>
      <c r="AA6" s="17"/>
      <c r="AB6" s="17"/>
      <c r="AC6" s="17"/>
    </row>
    <row r="7" spans="1:29" ht="28.2" thickBot="1" x14ac:dyDescent="0.35">
      <c r="A7" s="35" t="s">
        <v>135</v>
      </c>
      <c r="B7" s="36">
        <v>45653</v>
      </c>
      <c r="C7" s="37" t="s">
        <v>145</v>
      </c>
      <c r="D7" s="37" t="s">
        <v>154</v>
      </c>
      <c r="E7" s="37" t="s">
        <v>147</v>
      </c>
      <c r="F7" s="37" t="s">
        <v>155</v>
      </c>
      <c r="G7" s="38">
        <v>1</v>
      </c>
      <c r="H7" s="68">
        <v>3210000</v>
      </c>
      <c r="I7" s="39">
        <v>2889000</v>
      </c>
      <c r="J7" s="40">
        <v>2889000</v>
      </c>
      <c r="K7" s="40">
        <v>303345</v>
      </c>
      <c r="L7" s="41">
        <v>0.105</v>
      </c>
      <c r="M7" s="40">
        <v>3192345</v>
      </c>
      <c r="N7" s="42">
        <v>3192345</v>
      </c>
      <c r="O7" s="43">
        <v>3192345</v>
      </c>
      <c r="P7" s="44" t="s">
        <v>138</v>
      </c>
      <c r="Q7" s="40">
        <v>3192345</v>
      </c>
      <c r="R7" s="45">
        <v>0</v>
      </c>
      <c r="S7" s="46" t="s">
        <v>156</v>
      </c>
      <c r="T7" s="47">
        <v>30714010898</v>
      </c>
      <c r="U7" s="48" t="s">
        <v>128</v>
      </c>
      <c r="V7" s="49"/>
      <c r="W7" s="50">
        <v>86670</v>
      </c>
      <c r="X7" s="51">
        <v>144450</v>
      </c>
      <c r="Y7" s="49">
        <v>202230</v>
      </c>
      <c r="Z7" s="52">
        <v>643700</v>
      </c>
      <c r="AA7" s="17"/>
      <c r="AB7" s="17"/>
      <c r="AC7" s="17"/>
    </row>
    <row r="8" spans="1:29" ht="67.2" thickTop="1" thickBot="1" x14ac:dyDescent="0.35">
      <c r="A8" s="18" t="s">
        <v>114</v>
      </c>
      <c r="B8" s="19">
        <v>45596</v>
      </c>
      <c r="C8" s="20" t="s">
        <v>1</v>
      </c>
      <c r="D8" s="20">
        <v>202410301</v>
      </c>
      <c r="E8" s="20" t="s">
        <v>136</v>
      </c>
      <c r="F8" s="20" t="s">
        <v>157</v>
      </c>
      <c r="G8" s="21">
        <v>1</v>
      </c>
      <c r="H8" s="67">
        <v>1080000</v>
      </c>
      <c r="I8" s="22">
        <v>1080000</v>
      </c>
      <c r="J8" s="23">
        <v>1080000</v>
      </c>
      <c r="K8" s="23">
        <v>226800</v>
      </c>
      <c r="L8" s="24">
        <v>0.21</v>
      </c>
      <c r="M8" s="23">
        <v>1306800</v>
      </c>
      <c r="N8" s="25">
        <v>1306800</v>
      </c>
      <c r="O8" s="30">
        <v>1306800</v>
      </c>
      <c r="P8" s="53">
        <v>0</v>
      </c>
      <c r="Q8" s="23">
        <v>1306800</v>
      </c>
      <c r="R8" s="32">
        <v>0</v>
      </c>
      <c r="S8" s="33" t="s">
        <v>158</v>
      </c>
      <c r="T8" s="34">
        <v>20345204734</v>
      </c>
      <c r="U8" s="26" t="s">
        <v>159</v>
      </c>
      <c r="V8" s="27"/>
      <c r="W8" s="28">
        <v>32400</v>
      </c>
      <c r="X8" s="29">
        <v>54000</v>
      </c>
      <c r="Y8" s="27">
        <v>75600</v>
      </c>
      <c r="Z8" s="17"/>
      <c r="AA8" s="17"/>
      <c r="AB8" s="17"/>
      <c r="AC8" s="17"/>
    </row>
    <row r="9" spans="1:29" ht="29.4" thickBot="1" x14ac:dyDescent="0.35">
      <c r="A9" s="18" t="s">
        <v>114</v>
      </c>
      <c r="B9" s="19">
        <v>45568</v>
      </c>
      <c r="C9" s="20" t="s">
        <v>1</v>
      </c>
      <c r="D9" s="20">
        <v>202410304</v>
      </c>
      <c r="E9" s="20" t="s">
        <v>136</v>
      </c>
      <c r="F9" s="20" t="s">
        <v>160</v>
      </c>
      <c r="G9" s="21">
        <v>1</v>
      </c>
      <c r="H9" s="67">
        <v>1080000</v>
      </c>
      <c r="I9" s="22">
        <v>972000</v>
      </c>
      <c r="J9" s="23">
        <v>291600</v>
      </c>
      <c r="K9" s="23">
        <v>61236</v>
      </c>
      <c r="L9" s="24">
        <v>0.21</v>
      </c>
      <c r="M9" s="23">
        <v>352836</v>
      </c>
      <c r="N9" s="25">
        <v>1033236</v>
      </c>
      <c r="O9" s="30">
        <v>352836</v>
      </c>
      <c r="P9" s="30">
        <v>680400</v>
      </c>
      <c r="Q9" s="23">
        <v>1033236</v>
      </c>
      <c r="R9" s="32">
        <v>0</v>
      </c>
      <c r="S9" s="33" t="s">
        <v>161</v>
      </c>
      <c r="T9" s="34">
        <v>20106597767</v>
      </c>
      <c r="U9" s="26" t="s">
        <v>150</v>
      </c>
      <c r="V9" s="27"/>
      <c r="W9" s="28">
        <v>29160</v>
      </c>
      <c r="X9" s="29">
        <v>48600</v>
      </c>
      <c r="Y9" s="27">
        <v>68040</v>
      </c>
      <c r="Z9" s="17"/>
      <c r="AA9" s="17"/>
      <c r="AB9" s="17"/>
      <c r="AC9" s="17"/>
    </row>
    <row r="10" spans="1:29" ht="29.4" thickBot="1" x14ac:dyDescent="0.35">
      <c r="A10" s="18" t="s">
        <v>114</v>
      </c>
      <c r="B10" s="19">
        <v>45632</v>
      </c>
      <c r="C10" s="20" t="s">
        <v>145</v>
      </c>
      <c r="D10" s="20" t="s">
        <v>162</v>
      </c>
      <c r="E10" s="20" t="s">
        <v>147</v>
      </c>
      <c r="F10" s="20" t="s">
        <v>163</v>
      </c>
      <c r="G10" s="21">
        <v>1</v>
      </c>
      <c r="H10" s="67">
        <v>3210000</v>
      </c>
      <c r="I10" s="22">
        <v>2728500</v>
      </c>
      <c r="J10" s="23">
        <v>818550</v>
      </c>
      <c r="K10" s="23">
        <v>85947.75</v>
      </c>
      <c r="L10" s="24">
        <v>0.105</v>
      </c>
      <c r="M10" s="23">
        <v>904497.75</v>
      </c>
      <c r="N10" s="25">
        <v>2814447.75</v>
      </c>
      <c r="O10" s="30">
        <v>904498</v>
      </c>
      <c r="P10" s="30">
        <v>1909950</v>
      </c>
      <c r="Q10" s="23">
        <v>2814448</v>
      </c>
      <c r="R10" s="32">
        <v>-0.25</v>
      </c>
      <c r="S10" s="33" t="s">
        <v>164</v>
      </c>
      <c r="T10" s="34">
        <v>30717748707</v>
      </c>
      <c r="U10" s="26" t="s">
        <v>150</v>
      </c>
      <c r="V10" s="27"/>
      <c r="W10" s="28">
        <v>81855</v>
      </c>
      <c r="X10" s="29">
        <v>136425</v>
      </c>
      <c r="Y10" s="27">
        <v>190995</v>
      </c>
      <c r="Z10" s="17"/>
      <c r="AA10" s="17"/>
      <c r="AB10" s="17"/>
      <c r="AC10" s="17"/>
    </row>
    <row r="11" spans="1:29" ht="25.5" customHeight="1" thickBot="1" x14ac:dyDescent="0.35">
      <c r="A11" s="18" t="s">
        <v>114</v>
      </c>
      <c r="B11" s="19">
        <v>45574</v>
      </c>
      <c r="C11" s="20" t="s">
        <v>1</v>
      </c>
      <c r="D11" s="20">
        <v>202410323</v>
      </c>
      <c r="E11" s="20" t="s">
        <v>136</v>
      </c>
      <c r="F11" s="20" t="s">
        <v>165</v>
      </c>
      <c r="G11" s="21">
        <v>1</v>
      </c>
      <c r="H11" s="67">
        <v>1080000</v>
      </c>
      <c r="I11" s="22">
        <v>1080000</v>
      </c>
      <c r="J11" s="23">
        <v>1080000</v>
      </c>
      <c r="K11" s="23">
        <v>226800</v>
      </c>
      <c r="L11" s="24">
        <v>0.21</v>
      </c>
      <c r="M11" s="23">
        <v>1306800</v>
      </c>
      <c r="N11" s="25">
        <v>1306800</v>
      </c>
      <c r="O11" s="30">
        <v>425073</v>
      </c>
      <c r="P11" s="30">
        <v>881650</v>
      </c>
      <c r="Q11" s="23">
        <v>1306723</v>
      </c>
      <c r="R11" s="32">
        <v>77</v>
      </c>
      <c r="S11" s="33" t="s">
        <v>166</v>
      </c>
      <c r="T11" s="34">
        <v>20435521275</v>
      </c>
      <c r="U11" s="26" t="s">
        <v>167</v>
      </c>
      <c r="V11" s="27"/>
      <c r="W11" s="28">
        <v>32400</v>
      </c>
      <c r="X11" s="29">
        <v>54000</v>
      </c>
      <c r="Y11" s="27">
        <v>75600</v>
      </c>
      <c r="Z11" s="17"/>
      <c r="AA11" s="17"/>
      <c r="AB11" s="17"/>
      <c r="AC11" s="17"/>
    </row>
    <row r="12" spans="1:29" ht="28.2" thickBot="1" x14ac:dyDescent="0.35">
      <c r="A12" s="18" t="s">
        <v>114</v>
      </c>
      <c r="B12" s="19">
        <v>45653</v>
      </c>
      <c r="C12" s="20" t="s">
        <v>145</v>
      </c>
      <c r="D12" s="20" t="s">
        <v>168</v>
      </c>
      <c r="E12" s="20" t="s">
        <v>147</v>
      </c>
      <c r="F12" s="20" t="s">
        <v>169</v>
      </c>
      <c r="G12" s="94">
        <v>2</v>
      </c>
      <c r="H12" s="67">
        <v>3210000</v>
      </c>
      <c r="I12" s="96">
        <v>5328600</v>
      </c>
      <c r="J12" s="88">
        <v>2664300</v>
      </c>
      <c r="K12" s="88">
        <v>279751.5</v>
      </c>
      <c r="L12" s="98">
        <v>0.105</v>
      </c>
      <c r="M12" s="88">
        <v>2944051.5</v>
      </c>
      <c r="N12" s="84">
        <v>5608351.5</v>
      </c>
      <c r="O12" s="86">
        <v>2944052</v>
      </c>
      <c r="P12" s="86">
        <v>2660000</v>
      </c>
      <c r="Q12" s="88">
        <v>5604052</v>
      </c>
      <c r="R12" s="90">
        <v>4299.5</v>
      </c>
      <c r="S12" s="92" t="s">
        <v>170</v>
      </c>
      <c r="T12" s="74">
        <v>20321870253</v>
      </c>
      <c r="U12" s="76" t="s">
        <v>150</v>
      </c>
      <c r="V12" s="78"/>
      <c r="W12" s="80">
        <v>159858</v>
      </c>
      <c r="X12" s="82">
        <v>266430</v>
      </c>
      <c r="Y12" s="78">
        <v>373002</v>
      </c>
      <c r="Z12" s="17"/>
      <c r="AA12" s="17"/>
      <c r="AB12" s="17"/>
      <c r="AC12" s="17"/>
    </row>
    <row r="13" spans="1:29" ht="28.2" thickBot="1" x14ac:dyDescent="0.35">
      <c r="A13" s="18" t="s">
        <v>114</v>
      </c>
      <c r="B13" s="19">
        <v>45653</v>
      </c>
      <c r="C13" s="20" t="s">
        <v>145</v>
      </c>
      <c r="D13" s="20" t="s">
        <v>171</v>
      </c>
      <c r="E13" s="20" t="s">
        <v>147</v>
      </c>
      <c r="F13" s="20" t="s">
        <v>169</v>
      </c>
      <c r="G13" s="95"/>
      <c r="H13" s="67">
        <v>3210000</v>
      </c>
      <c r="I13" s="97"/>
      <c r="J13" s="89"/>
      <c r="K13" s="89"/>
      <c r="L13" s="99"/>
      <c r="M13" s="89"/>
      <c r="N13" s="85"/>
      <c r="O13" s="87"/>
      <c r="P13" s="87"/>
      <c r="Q13" s="89"/>
      <c r="R13" s="91"/>
      <c r="S13" s="93"/>
      <c r="T13" s="75"/>
      <c r="U13" s="77"/>
      <c r="V13" s="79"/>
      <c r="W13" s="81"/>
      <c r="X13" s="83"/>
      <c r="Y13" s="79"/>
      <c r="Z13" s="17"/>
      <c r="AA13" s="17"/>
      <c r="AB13" s="17"/>
      <c r="AC13" s="17"/>
    </row>
    <row r="14" spans="1:29" ht="28.2" thickBot="1" x14ac:dyDescent="0.35">
      <c r="A14" s="35" t="s">
        <v>114</v>
      </c>
      <c r="B14" s="36">
        <v>45653</v>
      </c>
      <c r="C14" s="37" t="s">
        <v>172</v>
      </c>
      <c r="D14" s="37" t="s">
        <v>141</v>
      </c>
      <c r="E14" s="37" t="s">
        <v>141</v>
      </c>
      <c r="F14" s="37" t="s">
        <v>169</v>
      </c>
      <c r="G14" s="38">
        <v>2</v>
      </c>
      <c r="H14" s="68">
        <v>91000</v>
      </c>
      <c r="I14" s="54">
        <v>0</v>
      </c>
      <c r="J14" s="55">
        <v>0</v>
      </c>
      <c r="K14" s="55">
        <v>0</v>
      </c>
      <c r="L14" s="41">
        <v>0</v>
      </c>
      <c r="M14" s="55">
        <v>0</v>
      </c>
      <c r="N14" s="56" t="s">
        <v>173</v>
      </c>
      <c r="O14" s="46"/>
      <c r="P14" s="46"/>
      <c r="Q14" s="55">
        <v>0</v>
      </c>
      <c r="R14" s="57"/>
      <c r="S14" s="46"/>
      <c r="T14" s="46"/>
      <c r="U14" s="46"/>
      <c r="V14" s="49"/>
      <c r="W14" s="44" t="s">
        <v>138</v>
      </c>
      <c r="X14" s="58" t="s">
        <v>138</v>
      </c>
      <c r="Y14" s="59" t="s">
        <v>138</v>
      </c>
      <c r="Z14" s="52">
        <v>559455</v>
      </c>
      <c r="AA14" s="17"/>
      <c r="AB14" s="17"/>
      <c r="AC14" s="17"/>
    </row>
    <row r="15" spans="1:29" ht="30" thickTop="1" thickBot="1" x14ac:dyDescent="0.35">
      <c r="A15" s="18" t="s">
        <v>112</v>
      </c>
      <c r="B15" s="19">
        <v>45621</v>
      </c>
      <c r="C15" s="20" t="s">
        <v>174</v>
      </c>
      <c r="D15" s="20" t="s">
        <v>175</v>
      </c>
      <c r="E15" s="20" t="s">
        <v>147</v>
      </c>
      <c r="F15" s="20" t="s">
        <v>176</v>
      </c>
      <c r="G15" s="21">
        <v>1</v>
      </c>
      <c r="H15" s="67">
        <v>3125000</v>
      </c>
      <c r="I15" s="22">
        <v>2968750</v>
      </c>
      <c r="J15" s="23">
        <v>1484375</v>
      </c>
      <c r="K15" s="23">
        <v>311718.75</v>
      </c>
      <c r="L15" s="24">
        <v>0.21</v>
      </c>
      <c r="M15" s="23">
        <v>1796093.75</v>
      </c>
      <c r="N15" s="25">
        <v>3280468.75</v>
      </c>
      <c r="O15" s="30">
        <v>1796094</v>
      </c>
      <c r="P15" s="30">
        <v>1484375</v>
      </c>
      <c r="Q15" s="23">
        <v>3280469</v>
      </c>
      <c r="R15" s="32">
        <v>-0.25</v>
      </c>
      <c r="S15" s="33" t="s">
        <v>177</v>
      </c>
      <c r="T15" s="34">
        <v>23412378539</v>
      </c>
      <c r="U15" s="26" t="s">
        <v>150</v>
      </c>
      <c r="V15" s="27"/>
      <c r="W15" s="33"/>
      <c r="X15" s="33"/>
      <c r="Y15" s="60"/>
      <c r="Z15" s="17"/>
      <c r="AA15" s="17"/>
      <c r="AB15" s="17"/>
      <c r="AC15" s="17"/>
    </row>
    <row r="16" spans="1:29" ht="29.4" thickBot="1" x14ac:dyDescent="0.35">
      <c r="A16" s="18" t="s">
        <v>112</v>
      </c>
      <c r="B16" s="19">
        <v>45635</v>
      </c>
      <c r="C16" s="20" t="s">
        <v>113</v>
      </c>
      <c r="D16" s="20">
        <v>202403602</v>
      </c>
      <c r="E16" s="20" t="s">
        <v>136</v>
      </c>
      <c r="F16" s="20" t="s">
        <v>178</v>
      </c>
      <c r="G16" s="21">
        <v>1</v>
      </c>
      <c r="H16" s="67">
        <v>2010000</v>
      </c>
      <c r="I16" s="22">
        <v>1809500</v>
      </c>
      <c r="J16" s="23">
        <v>904750</v>
      </c>
      <c r="K16" s="23">
        <v>189997.5</v>
      </c>
      <c r="L16" s="24">
        <v>0.21</v>
      </c>
      <c r="M16" s="23">
        <v>1094747.5</v>
      </c>
      <c r="N16" s="25">
        <v>1999497.5</v>
      </c>
      <c r="O16" s="30">
        <v>1094748</v>
      </c>
      <c r="P16" s="30">
        <v>905000</v>
      </c>
      <c r="Q16" s="23">
        <v>1999748</v>
      </c>
      <c r="R16" s="32">
        <v>-250.5</v>
      </c>
      <c r="S16" s="72" t="s">
        <v>179</v>
      </c>
      <c r="T16" s="74">
        <v>20380109485</v>
      </c>
      <c r="U16" s="26" t="s">
        <v>150</v>
      </c>
      <c r="V16" s="27"/>
      <c r="W16" s="33"/>
      <c r="X16" s="33"/>
      <c r="Y16" s="60"/>
      <c r="Z16" s="17"/>
      <c r="AA16" s="17"/>
      <c r="AB16" s="17"/>
      <c r="AC16" s="17"/>
    </row>
    <row r="17" spans="1:29" ht="29.4" thickBot="1" x14ac:dyDescent="0.35">
      <c r="A17" s="18" t="s">
        <v>112</v>
      </c>
      <c r="B17" s="19">
        <v>45635</v>
      </c>
      <c r="C17" s="20" t="s">
        <v>180</v>
      </c>
      <c r="D17" s="20" t="s">
        <v>181</v>
      </c>
      <c r="E17" s="20" t="s">
        <v>147</v>
      </c>
      <c r="F17" s="20" t="s">
        <v>178</v>
      </c>
      <c r="G17" s="21">
        <v>1</v>
      </c>
      <c r="H17" s="67">
        <v>1080000</v>
      </c>
      <c r="I17" s="22">
        <v>370000</v>
      </c>
      <c r="J17" s="23">
        <v>185000</v>
      </c>
      <c r="K17" s="23">
        <v>38850</v>
      </c>
      <c r="L17" s="24">
        <v>0.21</v>
      </c>
      <c r="M17" s="23">
        <v>223850</v>
      </c>
      <c r="N17" s="25">
        <v>408850</v>
      </c>
      <c r="O17" s="30">
        <v>223850</v>
      </c>
      <c r="P17" s="30">
        <v>185000</v>
      </c>
      <c r="Q17" s="23">
        <v>408850</v>
      </c>
      <c r="R17" s="32">
        <v>0</v>
      </c>
      <c r="S17" s="73"/>
      <c r="T17" s="75"/>
      <c r="U17" s="26" t="s">
        <v>150</v>
      </c>
      <c r="V17" s="27"/>
      <c r="W17" s="33"/>
      <c r="X17" s="33"/>
      <c r="Y17" s="60"/>
      <c r="Z17" s="17"/>
      <c r="AA17" s="17"/>
      <c r="AB17" s="17"/>
      <c r="AC17" s="17"/>
    </row>
    <row r="18" spans="1:29" ht="29.4" thickBot="1" x14ac:dyDescent="0.35">
      <c r="A18" s="18" t="s">
        <v>112</v>
      </c>
      <c r="B18" s="19">
        <v>45644</v>
      </c>
      <c r="C18" s="20" t="s">
        <v>182</v>
      </c>
      <c r="D18" s="20" t="s">
        <v>183</v>
      </c>
      <c r="E18" s="20" t="s">
        <v>147</v>
      </c>
      <c r="F18" s="20" t="s">
        <v>184</v>
      </c>
      <c r="G18" s="21">
        <v>1</v>
      </c>
      <c r="H18" s="67">
        <v>1080000</v>
      </c>
      <c r="I18" s="22">
        <v>1080000</v>
      </c>
      <c r="J18" s="23">
        <v>1080000</v>
      </c>
      <c r="K18" s="23">
        <v>113400</v>
      </c>
      <c r="L18" s="24">
        <v>0.105</v>
      </c>
      <c r="M18" s="23">
        <v>1193400</v>
      </c>
      <c r="N18" s="25">
        <v>1193400</v>
      </c>
      <c r="O18" s="30">
        <v>1193400</v>
      </c>
      <c r="P18" s="31" t="s">
        <v>138</v>
      </c>
      <c r="Q18" s="23">
        <v>1193400</v>
      </c>
      <c r="R18" s="32">
        <v>0</v>
      </c>
      <c r="S18" s="33" t="s">
        <v>185</v>
      </c>
      <c r="T18" s="34">
        <v>20269112213</v>
      </c>
      <c r="U18" s="26" t="s">
        <v>159</v>
      </c>
      <c r="V18" s="27"/>
      <c r="W18" s="33"/>
      <c r="X18" s="33"/>
      <c r="Y18" s="60"/>
      <c r="Z18" s="17"/>
      <c r="AA18" s="17"/>
      <c r="AB18" s="17"/>
      <c r="AC18" s="17"/>
    </row>
    <row r="19" spans="1:29" ht="15" thickBot="1" x14ac:dyDescent="0.35">
      <c r="A19" s="61"/>
      <c r="B19" s="62"/>
      <c r="C19" s="62"/>
      <c r="D19" s="62"/>
      <c r="E19" s="62"/>
      <c r="F19" s="62"/>
      <c r="G19" s="62"/>
      <c r="H19" s="69">
        <v>34207000</v>
      </c>
      <c r="I19" s="63">
        <v>30291350</v>
      </c>
      <c r="J19" s="63">
        <v>21018075</v>
      </c>
      <c r="K19" s="63">
        <v>3068604</v>
      </c>
      <c r="L19" s="62"/>
      <c r="M19" s="63">
        <v>24086679</v>
      </c>
      <c r="N19" s="63">
        <v>33359954</v>
      </c>
      <c r="O19" s="62"/>
      <c r="P19" s="62"/>
      <c r="Q19" s="62"/>
      <c r="R19" s="64">
        <v>4125.5</v>
      </c>
      <c r="S19" s="62"/>
      <c r="T19" s="62"/>
      <c r="U19" s="62"/>
      <c r="V19" s="65"/>
      <c r="W19" s="62"/>
      <c r="X19" s="62"/>
      <c r="Y19" s="62"/>
      <c r="Z19" s="17"/>
      <c r="AA19" s="17"/>
      <c r="AB19" s="17"/>
      <c r="AC19" s="17"/>
    </row>
    <row r="20" spans="1:29" ht="15.6" thickTop="1" thickBot="1" x14ac:dyDescent="0.3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</row>
    <row r="21" spans="1:29" ht="15" thickBot="1" x14ac:dyDescent="0.35">
      <c r="A21" s="17"/>
      <c r="B21" s="17"/>
      <c r="C21" s="17"/>
      <c r="D21" s="17"/>
      <c r="E21" s="17"/>
      <c r="F21" s="17"/>
      <c r="G21" s="71" t="s">
        <v>190</v>
      </c>
      <c r="H21" s="70">
        <f>+H19-I19</f>
        <v>3915650</v>
      </c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</row>
    <row r="22" spans="1:29" ht="15" thickBot="1" x14ac:dyDescent="0.3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</row>
    <row r="23" spans="1:29" ht="15" thickBot="1" x14ac:dyDescent="0.3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</row>
    <row r="24" spans="1:29" ht="15" thickBot="1" x14ac:dyDescent="0.3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</row>
    <row r="25" spans="1:29" ht="15" thickBot="1" x14ac:dyDescent="0.3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</row>
    <row r="26" spans="1:29" ht="15" thickBot="1" x14ac:dyDescent="0.3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</row>
    <row r="27" spans="1:29" ht="15" thickBot="1" x14ac:dyDescent="0.3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</row>
    <row r="28" spans="1:29" ht="15" thickBot="1" x14ac:dyDescent="0.3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</row>
    <row r="29" spans="1:29" ht="15" thickBot="1" x14ac:dyDescent="0.3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</row>
    <row r="30" spans="1:29" ht="15" thickBot="1" x14ac:dyDescent="0.3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</row>
    <row r="31" spans="1:29" ht="15" thickBot="1" x14ac:dyDescent="0.3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</row>
    <row r="32" spans="1:29" ht="15" thickBot="1" x14ac:dyDescent="0.3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</row>
    <row r="33" spans="1:29" ht="15" thickBot="1" x14ac:dyDescent="0.3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</row>
    <row r="34" spans="1:29" ht="15" thickBot="1" x14ac:dyDescent="0.3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</row>
    <row r="35" spans="1:29" ht="15" thickBot="1" x14ac:dyDescent="0.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</row>
    <row r="36" spans="1:29" ht="15" thickBot="1" x14ac:dyDescent="0.3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</row>
    <row r="37" spans="1:29" ht="15" thickBot="1" x14ac:dyDescent="0.3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</row>
    <row r="38" spans="1:29" ht="15" thickBot="1" x14ac:dyDescent="0.3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</row>
    <row r="39" spans="1:29" ht="15" thickBot="1" x14ac:dyDescent="0.3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</row>
    <row r="40" spans="1:29" ht="15" thickBot="1" x14ac:dyDescent="0.3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</row>
    <row r="41" spans="1:29" ht="15" thickBot="1" x14ac:dyDescent="0.3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</row>
    <row r="42" spans="1:29" ht="15" thickBot="1" x14ac:dyDescent="0.3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</row>
    <row r="43" spans="1:29" ht="15" thickBot="1" x14ac:dyDescent="0.3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</row>
    <row r="44" spans="1:29" ht="15" thickBot="1" x14ac:dyDescent="0.3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</row>
    <row r="45" spans="1:29" ht="15" thickBot="1" x14ac:dyDescent="0.3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</row>
    <row r="46" spans="1:29" ht="15" thickBot="1" x14ac:dyDescent="0.3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</row>
    <row r="47" spans="1:29" ht="15" thickBot="1" x14ac:dyDescent="0.3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</row>
    <row r="48" spans="1:29" ht="15" thickBot="1" x14ac:dyDescent="0.3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</row>
    <row r="49" spans="1:29" ht="15" thickBot="1" x14ac:dyDescent="0.3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</row>
    <row r="50" spans="1:29" ht="15" thickBot="1" x14ac:dyDescent="0.3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</row>
    <row r="51" spans="1:29" ht="15" thickBot="1" x14ac:dyDescent="0.3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</row>
    <row r="52" spans="1:29" ht="15" thickBot="1" x14ac:dyDescent="0.3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</row>
    <row r="53" spans="1:29" ht="15" thickBot="1" x14ac:dyDescent="0.3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</row>
    <row r="54" spans="1:29" ht="15" thickBot="1" x14ac:dyDescent="0.3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</row>
    <row r="55" spans="1:29" ht="15" thickBot="1" x14ac:dyDescent="0.3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</row>
    <row r="56" spans="1:29" ht="15" thickBot="1" x14ac:dyDescent="0.3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</row>
    <row r="57" spans="1:29" ht="15" thickBot="1" x14ac:dyDescent="0.3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</row>
    <row r="58" spans="1:29" ht="15" thickBot="1" x14ac:dyDescent="0.3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</row>
    <row r="59" spans="1:29" ht="15" thickBot="1" x14ac:dyDescent="0.3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</row>
    <row r="60" spans="1:29" ht="15" thickBot="1" x14ac:dyDescent="0.3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</row>
    <row r="61" spans="1:29" ht="15" thickBot="1" x14ac:dyDescent="0.3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</row>
    <row r="62" spans="1:29" ht="15" thickBot="1" x14ac:dyDescent="0.3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</row>
    <row r="63" spans="1:29" ht="15" thickBot="1" x14ac:dyDescent="0.3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</row>
    <row r="64" spans="1:29" ht="15" thickBot="1" x14ac:dyDescent="0.3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</row>
    <row r="65" spans="1:29" ht="15" thickBot="1" x14ac:dyDescent="0.3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</row>
    <row r="66" spans="1:29" ht="15" thickBot="1" x14ac:dyDescent="0.3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</row>
    <row r="67" spans="1:29" ht="15" thickBot="1" x14ac:dyDescent="0.3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</row>
    <row r="68" spans="1:29" ht="15" thickBot="1" x14ac:dyDescent="0.3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</row>
    <row r="69" spans="1:29" ht="15" thickBot="1" x14ac:dyDescent="0.3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</row>
    <row r="70" spans="1:29" ht="15" thickBot="1" x14ac:dyDescent="0.3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</row>
    <row r="71" spans="1:29" ht="15" thickBot="1" x14ac:dyDescent="0.3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</row>
    <row r="72" spans="1:29" ht="15" thickBot="1" x14ac:dyDescent="0.3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</row>
    <row r="73" spans="1:29" ht="15" thickBot="1" x14ac:dyDescent="0.3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</row>
    <row r="74" spans="1:29" ht="15" thickBot="1" x14ac:dyDescent="0.3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</row>
    <row r="75" spans="1:29" ht="15" thickBot="1" x14ac:dyDescent="0.3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</row>
    <row r="76" spans="1:29" ht="15" thickBot="1" x14ac:dyDescent="0.3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</row>
    <row r="77" spans="1:29" ht="15" thickBot="1" x14ac:dyDescent="0.3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</row>
    <row r="78" spans="1:29" ht="15" thickBot="1" x14ac:dyDescent="0.3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</row>
    <row r="79" spans="1:29" ht="15" thickBot="1" x14ac:dyDescent="0.3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</row>
    <row r="80" spans="1:29" ht="15" thickBot="1" x14ac:dyDescent="0.3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</row>
    <row r="81" spans="1:29" ht="15" thickBot="1" x14ac:dyDescent="0.3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</row>
    <row r="82" spans="1:29" ht="15" thickBot="1" x14ac:dyDescent="0.3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</row>
    <row r="83" spans="1:29" ht="15" thickBot="1" x14ac:dyDescent="0.3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</row>
    <row r="84" spans="1:29" ht="15" thickBot="1" x14ac:dyDescent="0.3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</row>
    <row r="85" spans="1:29" ht="15" thickBot="1" x14ac:dyDescent="0.3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</row>
    <row r="86" spans="1:29" ht="15" thickBot="1" x14ac:dyDescent="0.3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</row>
    <row r="87" spans="1:29" ht="15" thickBot="1" x14ac:dyDescent="0.3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</row>
    <row r="88" spans="1:29" ht="15" thickBot="1" x14ac:dyDescent="0.3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</row>
    <row r="89" spans="1:29" ht="15" thickBot="1" x14ac:dyDescent="0.3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</row>
    <row r="90" spans="1:29" ht="15" thickBot="1" x14ac:dyDescent="0.3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</row>
    <row r="91" spans="1:29" ht="15" thickBot="1" x14ac:dyDescent="0.3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</row>
    <row r="92" spans="1:29" ht="15" thickBot="1" x14ac:dyDescent="0.3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</row>
    <row r="93" spans="1:29" ht="15" thickBot="1" x14ac:dyDescent="0.3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</row>
    <row r="94" spans="1:29" ht="15" thickBot="1" x14ac:dyDescent="0.3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</row>
    <row r="95" spans="1:29" ht="15" thickBot="1" x14ac:dyDescent="0.3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</row>
    <row r="96" spans="1:29" ht="15" thickBot="1" x14ac:dyDescent="0.3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</row>
    <row r="97" spans="1:29" ht="15" thickBot="1" x14ac:dyDescent="0.3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</row>
    <row r="98" spans="1:29" ht="15" thickBot="1" x14ac:dyDescent="0.3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</row>
    <row r="99" spans="1:29" ht="15" thickBot="1" x14ac:dyDescent="0.3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</row>
    <row r="100" spans="1:29" ht="15" thickBot="1" x14ac:dyDescent="0.3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</row>
    <row r="101" spans="1:29" ht="15" thickBot="1" x14ac:dyDescent="0.3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</row>
    <row r="102" spans="1:29" ht="15" thickBot="1" x14ac:dyDescent="0.3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</row>
    <row r="103" spans="1:29" ht="15" thickBot="1" x14ac:dyDescent="0.3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</row>
    <row r="104" spans="1:29" ht="15" thickBot="1" x14ac:dyDescent="0.3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</row>
    <row r="105" spans="1:29" ht="15" thickBot="1" x14ac:dyDescent="0.3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</row>
    <row r="106" spans="1:29" ht="15" thickBot="1" x14ac:dyDescent="0.3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</row>
    <row r="107" spans="1:29" ht="15" thickBot="1" x14ac:dyDescent="0.3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</row>
    <row r="108" spans="1:29" ht="15" thickBot="1" x14ac:dyDescent="0.3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</row>
    <row r="109" spans="1:29" ht="15" thickBot="1" x14ac:dyDescent="0.3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</row>
    <row r="110" spans="1:29" ht="15" thickBot="1" x14ac:dyDescent="0.3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</row>
    <row r="111" spans="1:29" ht="15" thickBot="1" x14ac:dyDescent="0.3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</row>
    <row r="112" spans="1:29" ht="15" thickBot="1" x14ac:dyDescent="0.3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</row>
    <row r="113" spans="1:29" ht="15" thickBot="1" x14ac:dyDescent="0.3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</row>
    <row r="114" spans="1:29" ht="15" thickBot="1" x14ac:dyDescent="0.3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</row>
    <row r="115" spans="1:29" ht="15" thickBot="1" x14ac:dyDescent="0.3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</row>
    <row r="116" spans="1:29" ht="15" thickBot="1" x14ac:dyDescent="0.3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</row>
    <row r="117" spans="1:29" ht="15" thickBot="1" x14ac:dyDescent="0.3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</row>
    <row r="118" spans="1:29" ht="15" thickBot="1" x14ac:dyDescent="0.3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</row>
    <row r="119" spans="1:29" ht="15" thickBot="1" x14ac:dyDescent="0.3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</row>
    <row r="120" spans="1:29" ht="15" thickBot="1" x14ac:dyDescent="0.35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</row>
    <row r="121" spans="1:29" ht="15" thickBot="1" x14ac:dyDescent="0.35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</row>
    <row r="122" spans="1:29" ht="15" thickBot="1" x14ac:dyDescent="0.35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</row>
    <row r="123" spans="1:29" ht="15" thickBot="1" x14ac:dyDescent="0.35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</row>
    <row r="124" spans="1:29" ht="15" thickBot="1" x14ac:dyDescent="0.35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</row>
    <row r="125" spans="1:29" ht="15" thickBot="1" x14ac:dyDescent="0.3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</row>
    <row r="126" spans="1:29" ht="15" thickBot="1" x14ac:dyDescent="0.3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</row>
    <row r="127" spans="1:29" ht="15" thickBot="1" x14ac:dyDescent="0.35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</row>
    <row r="128" spans="1:29" ht="15" thickBot="1" x14ac:dyDescent="0.35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</row>
    <row r="129" spans="1:29" ht="15" thickBot="1" x14ac:dyDescent="0.35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</row>
    <row r="130" spans="1:29" ht="15" thickBot="1" x14ac:dyDescent="0.35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</row>
    <row r="131" spans="1:29" ht="15" thickBot="1" x14ac:dyDescent="0.35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</row>
    <row r="132" spans="1:29" ht="15" thickBot="1" x14ac:dyDescent="0.35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</row>
    <row r="133" spans="1:29" ht="15" thickBot="1" x14ac:dyDescent="0.35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</row>
    <row r="134" spans="1:29" ht="15" thickBot="1" x14ac:dyDescent="0.35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</row>
    <row r="135" spans="1:29" ht="15" thickBot="1" x14ac:dyDescent="0.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</row>
    <row r="136" spans="1:29" ht="15" thickBot="1" x14ac:dyDescent="0.35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</row>
    <row r="137" spans="1:29" ht="15" thickBot="1" x14ac:dyDescent="0.35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</row>
    <row r="138" spans="1:29" ht="15" thickBot="1" x14ac:dyDescent="0.35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</row>
    <row r="139" spans="1:29" ht="15" thickBot="1" x14ac:dyDescent="0.35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</row>
    <row r="140" spans="1:29" ht="15" thickBot="1" x14ac:dyDescent="0.35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</row>
    <row r="141" spans="1:29" ht="15" thickBot="1" x14ac:dyDescent="0.35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</row>
    <row r="142" spans="1:29" ht="15" thickBot="1" x14ac:dyDescent="0.35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</row>
    <row r="143" spans="1:29" ht="15" thickBot="1" x14ac:dyDescent="0.35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</row>
    <row r="144" spans="1:29" ht="15" thickBot="1" x14ac:dyDescent="0.35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</row>
    <row r="145" spans="1:29" ht="15" thickBot="1" x14ac:dyDescent="0.3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</row>
    <row r="146" spans="1:29" ht="15" thickBot="1" x14ac:dyDescent="0.35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</row>
    <row r="147" spans="1:29" ht="15" thickBot="1" x14ac:dyDescent="0.35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</row>
    <row r="148" spans="1:29" ht="15" thickBot="1" x14ac:dyDescent="0.35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</row>
    <row r="149" spans="1:29" ht="15" thickBot="1" x14ac:dyDescent="0.35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</row>
    <row r="150" spans="1:29" ht="15" thickBot="1" x14ac:dyDescent="0.35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</row>
    <row r="151" spans="1:29" ht="15" thickBot="1" x14ac:dyDescent="0.35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</row>
    <row r="152" spans="1:29" ht="15" thickBot="1" x14ac:dyDescent="0.35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</row>
    <row r="153" spans="1:29" ht="15" thickBot="1" x14ac:dyDescent="0.35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</row>
    <row r="154" spans="1:29" ht="15" thickBot="1" x14ac:dyDescent="0.35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</row>
    <row r="155" spans="1:29" ht="15" thickBot="1" x14ac:dyDescent="0.3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</row>
    <row r="156" spans="1:29" ht="15" thickBot="1" x14ac:dyDescent="0.35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</row>
    <row r="157" spans="1:29" ht="15" thickBot="1" x14ac:dyDescent="0.35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</row>
    <row r="158" spans="1:29" ht="15" thickBot="1" x14ac:dyDescent="0.35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</row>
    <row r="159" spans="1:29" ht="15" thickBot="1" x14ac:dyDescent="0.35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</row>
    <row r="160" spans="1:29" ht="15" thickBot="1" x14ac:dyDescent="0.35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</row>
    <row r="161" spans="1:29" ht="15" thickBot="1" x14ac:dyDescent="0.35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</row>
    <row r="162" spans="1:29" ht="15" thickBot="1" x14ac:dyDescent="0.35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</row>
    <row r="163" spans="1:29" ht="15" thickBot="1" x14ac:dyDescent="0.35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</row>
    <row r="164" spans="1:29" ht="15" thickBot="1" x14ac:dyDescent="0.35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</row>
    <row r="165" spans="1:29" ht="15" thickBot="1" x14ac:dyDescent="0.3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</row>
    <row r="166" spans="1:29" ht="15" thickBot="1" x14ac:dyDescent="0.35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</row>
    <row r="167" spans="1:29" ht="15" thickBot="1" x14ac:dyDescent="0.35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</row>
    <row r="168" spans="1:29" ht="15" thickBot="1" x14ac:dyDescent="0.35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</row>
    <row r="169" spans="1:29" ht="15" thickBot="1" x14ac:dyDescent="0.35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</row>
    <row r="170" spans="1:29" ht="15" thickBot="1" x14ac:dyDescent="0.35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</row>
    <row r="171" spans="1:29" ht="15" thickBot="1" x14ac:dyDescent="0.35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</row>
    <row r="172" spans="1:29" ht="15" thickBot="1" x14ac:dyDescent="0.35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</row>
    <row r="173" spans="1:29" ht="15" thickBot="1" x14ac:dyDescent="0.35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</row>
    <row r="174" spans="1:29" ht="15" thickBot="1" x14ac:dyDescent="0.35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</row>
    <row r="175" spans="1:29" ht="15" thickBot="1" x14ac:dyDescent="0.3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</row>
    <row r="176" spans="1:29" ht="15" thickBot="1" x14ac:dyDescent="0.35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</row>
    <row r="177" spans="1:29" ht="15" thickBot="1" x14ac:dyDescent="0.35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</row>
    <row r="178" spans="1:29" ht="15" thickBot="1" x14ac:dyDescent="0.35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</row>
    <row r="179" spans="1:29" ht="15" thickBot="1" x14ac:dyDescent="0.35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</row>
    <row r="180" spans="1:29" ht="15" thickBot="1" x14ac:dyDescent="0.35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</row>
    <row r="181" spans="1:29" ht="15" thickBot="1" x14ac:dyDescent="0.35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</row>
    <row r="182" spans="1:29" ht="15" thickBot="1" x14ac:dyDescent="0.35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</row>
    <row r="183" spans="1:29" ht="15" thickBot="1" x14ac:dyDescent="0.35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</row>
    <row r="184" spans="1:29" ht="15" thickBot="1" x14ac:dyDescent="0.35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</row>
    <row r="185" spans="1:29" ht="15" thickBot="1" x14ac:dyDescent="0.3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</row>
    <row r="186" spans="1:29" ht="15" thickBot="1" x14ac:dyDescent="0.35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</row>
    <row r="187" spans="1:29" ht="15" thickBot="1" x14ac:dyDescent="0.35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</row>
    <row r="188" spans="1:29" ht="15" thickBot="1" x14ac:dyDescent="0.35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</row>
    <row r="189" spans="1:29" ht="15" thickBot="1" x14ac:dyDescent="0.35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</row>
    <row r="190" spans="1:29" ht="15" thickBot="1" x14ac:dyDescent="0.35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</row>
    <row r="191" spans="1:29" ht="15" thickBot="1" x14ac:dyDescent="0.35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</row>
    <row r="192" spans="1:29" ht="15" thickBot="1" x14ac:dyDescent="0.35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</row>
    <row r="193" spans="1:29" ht="15" thickBot="1" x14ac:dyDescent="0.35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</row>
    <row r="194" spans="1:29" ht="15" thickBot="1" x14ac:dyDescent="0.35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</row>
    <row r="195" spans="1:29" ht="15" thickBot="1" x14ac:dyDescent="0.3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</row>
    <row r="196" spans="1:29" ht="15" thickBot="1" x14ac:dyDescent="0.35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</row>
    <row r="197" spans="1:29" ht="15" thickBot="1" x14ac:dyDescent="0.35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</row>
    <row r="198" spans="1:29" ht="15" thickBot="1" x14ac:dyDescent="0.35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</row>
    <row r="199" spans="1:29" ht="15" thickBot="1" x14ac:dyDescent="0.35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</row>
    <row r="200" spans="1:29" ht="15" thickBot="1" x14ac:dyDescent="0.35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</row>
    <row r="201" spans="1:29" ht="15" thickBot="1" x14ac:dyDescent="0.35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</row>
    <row r="202" spans="1:29" ht="15" thickBot="1" x14ac:dyDescent="0.35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</row>
    <row r="203" spans="1:29" ht="15" thickBot="1" x14ac:dyDescent="0.35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</row>
    <row r="204" spans="1:29" ht="15" thickBot="1" x14ac:dyDescent="0.35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</row>
    <row r="205" spans="1:29" ht="15" thickBot="1" x14ac:dyDescent="0.3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</row>
    <row r="206" spans="1:29" ht="15" thickBot="1" x14ac:dyDescent="0.35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</row>
    <row r="207" spans="1:29" ht="15" thickBot="1" x14ac:dyDescent="0.35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</row>
    <row r="208" spans="1:29" ht="15" thickBot="1" x14ac:dyDescent="0.35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</row>
    <row r="209" spans="1:29" ht="15" thickBot="1" x14ac:dyDescent="0.35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</row>
    <row r="210" spans="1:29" ht="15" thickBot="1" x14ac:dyDescent="0.35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</row>
    <row r="211" spans="1:29" ht="15" thickBot="1" x14ac:dyDescent="0.35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</row>
    <row r="212" spans="1:29" ht="15" thickBot="1" x14ac:dyDescent="0.35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</row>
    <row r="213" spans="1:29" ht="15" thickBot="1" x14ac:dyDescent="0.35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</row>
    <row r="214" spans="1:29" ht="15" thickBot="1" x14ac:dyDescent="0.35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</row>
    <row r="215" spans="1:29" ht="15" thickBot="1" x14ac:dyDescent="0.3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</row>
    <row r="216" spans="1:29" ht="15" thickBot="1" x14ac:dyDescent="0.35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</row>
    <row r="217" spans="1:29" ht="15" thickBot="1" x14ac:dyDescent="0.35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</row>
    <row r="218" spans="1:29" ht="15" thickBot="1" x14ac:dyDescent="0.35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</row>
    <row r="219" spans="1:29" ht="15" thickBot="1" x14ac:dyDescent="0.35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</row>
    <row r="220" spans="1:29" ht="15" thickBot="1" x14ac:dyDescent="0.35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</row>
    <row r="221" spans="1:29" ht="15" thickBot="1" x14ac:dyDescent="0.35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</row>
    <row r="222" spans="1:29" ht="15" thickBot="1" x14ac:dyDescent="0.35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</row>
    <row r="223" spans="1:29" ht="15" thickBot="1" x14ac:dyDescent="0.35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</row>
    <row r="224" spans="1:29" ht="15" thickBot="1" x14ac:dyDescent="0.35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</row>
    <row r="225" spans="1:29" ht="15" thickBot="1" x14ac:dyDescent="0.3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</row>
    <row r="226" spans="1:29" ht="15" thickBot="1" x14ac:dyDescent="0.35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</row>
    <row r="227" spans="1:29" ht="15" thickBot="1" x14ac:dyDescent="0.35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</row>
    <row r="228" spans="1:29" ht="15" thickBot="1" x14ac:dyDescent="0.35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</row>
    <row r="229" spans="1:29" ht="15" thickBot="1" x14ac:dyDescent="0.35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</row>
    <row r="230" spans="1:29" ht="15" thickBot="1" x14ac:dyDescent="0.35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</row>
    <row r="231" spans="1:29" ht="15" thickBot="1" x14ac:dyDescent="0.35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</row>
    <row r="232" spans="1:29" ht="15" thickBot="1" x14ac:dyDescent="0.35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</row>
    <row r="233" spans="1:29" ht="15" thickBot="1" x14ac:dyDescent="0.35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</row>
    <row r="234" spans="1:29" ht="15" thickBot="1" x14ac:dyDescent="0.35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</row>
    <row r="235" spans="1:29" ht="15" thickBot="1" x14ac:dyDescent="0.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</row>
    <row r="236" spans="1:29" ht="15" thickBot="1" x14ac:dyDescent="0.35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</row>
    <row r="237" spans="1:29" ht="15" thickBot="1" x14ac:dyDescent="0.35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</row>
    <row r="238" spans="1:29" ht="15" thickBot="1" x14ac:dyDescent="0.35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</row>
    <row r="239" spans="1:29" ht="15" thickBot="1" x14ac:dyDescent="0.35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</row>
    <row r="240" spans="1:29" ht="15" thickBot="1" x14ac:dyDescent="0.35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</row>
    <row r="241" spans="1:29" ht="15" thickBot="1" x14ac:dyDescent="0.35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</row>
    <row r="242" spans="1:29" ht="15" thickBot="1" x14ac:dyDescent="0.35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</row>
    <row r="243" spans="1:29" ht="15" thickBot="1" x14ac:dyDescent="0.35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</row>
    <row r="244" spans="1:29" ht="15" thickBot="1" x14ac:dyDescent="0.35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</row>
    <row r="245" spans="1:29" ht="15" thickBot="1" x14ac:dyDescent="0.3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</row>
    <row r="246" spans="1:29" ht="15" thickBot="1" x14ac:dyDescent="0.35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</row>
    <row r="247" spans="1:29" ht="15" thickBot="1" x14ac:dyDescent="0.35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</row>
    <row r="248" spans="1:29" ht="15" thickBot="1" x14ac:dyDescent="0.35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</row>
    <row r="249" spans="1:29" ht="15" thickBot="1" x14ac:dyDescent="0.35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</row>
    <row r="250" spans="1:29" ht="15" thickBot="1" x14ac:dyDescent="0.35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</row>
    <row r="251" spans="1:29" ht="15" thickBot="1" x14ac:dyDescent="0.35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</row>
    <row r="252" spans="1:29" ht="15" thickBot="1" x14ac:dyDescent="0.35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</row>
    <row r="253" spans="1:29" ht="15" thickBot="1" x14ac:dyDescent="0.35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</row>
    <row r="254" spans="1:29" ht="15" thickBot="1" x14ac:dyDescent="0.35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</row>
    <row r="255" spans="1:29" ht="15" thickBot="1" x14ac:dyDescent="0.3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</row>
    <row r="256" spans="1:29" ht="15" thickBot="1" x14ac:dyDescent="0.35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</row>
    <row r="257" spans="1:29" ht="15" thickBot="1" x14ac:dyDescent="0.35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</row>
    <row r="258" spans="1:29" ht="15" thickBot="1" x14ac:dyDescent="0.35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</row>
    <row r="259" spans="1:29" ht="15" thickBot="1" x14ac:dyDescent="0.35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</row>
    <row r="260" spans="1:29" ht="15" thickBot="1" x14ac:dyDescent="0.35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</row>
    <row r="261" spans="1:29" ht="15" thickBot="1" x14ac:dyDescent="0.35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</row>
    <row r="262" spans="1:29" ht="15" thickBot="1" x14ac:dyDescent="0.35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</row>
    <row r="263" spans="1:29" ht="15" thickBot="1" x14ac:dyDescent="0.35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</row>
    <row r="264" spans="1:29" ht="15" thickBot="1" x14ac:dyDescent="0.35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</row>
    <row r="265" spans="1:29" ht="15" thickBot="1" x14ac:dyDescent="0.3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</row>
    <row r="266" spans="1:29" ht="15" thickBot="1" x14ac:dyDescent="0.35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</row>
    <row r="267" spans="1:29" ht="15" thickBot="1" x14ac:dyDescent="0.35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</row>
    <row r="268" spans="1:29" ht="15" thickBot="1" x14ac:dyDescent="0.35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</row>
    <row r="269" spans="1:29" ht="15" thickBot="1" x14ac:dyDescent="0.35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</row>
    <row r="270" spans="1:29" ht="15" thickBot="1" x14ac:dyDescent="0.35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</row>
    <row r="271" spans="1:29" ht="15" thickBot="1" x14ac:dyDescent="0.35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</row>
    <row r="272" spans="1:29" ht="15" thickBot="1" x14ac:dyDescent="0.35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</row>
    <row r="273" spans="1:29" ht="15" thickBot="1" x14ac:dyDescent="0.35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</row>
    <row r="274" spans="1:29" ht="15" thickBot="1" x14ac:dyDescent="0.35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</row>
    <row r="275" spans="1:29" ht="15" thickBot="1" x14ac:dyDescent="0.3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</row>
    <row r="276" spans="1:29" ht="15" thickBot="1" x14ac:dyDescent="0.35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</row>
    <row r="277" spans="1:29" ht="15" thickBot="1" x14ac:dyDescent="0.35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</row>
    <row r="278" spans="1:29" ht="15" thickBot="1" x14ac:dyDescent="0.35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</row>
    <row r="279" spans="1:29" ht="15" thickBot="1" x14ac:dyDescent="0.35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</row>
    <row r="280" spans="1:29" ht="15" thickBot="1" x14ac:dyDescent="0.35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</row>
    <row r="281" spans="1:29" ht="15" thickBot="1" x14ac:dyDescent="0.35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</row>
    <row r="282" spans="1:29" ht="15" thickBot="1" x14ac:dyDescent="0.35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</row>
    <row r="283" spans="1:29" ht="15" thickBot="1" x14ac:dyDescent="0.35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</row>
    <row r="284" spans="1:29" ht="15" thickBot="1" x14ac:dyDescent="0.35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</row>
    <row r="285" spans="1:29" ht="15" thickBot="1" x14ac:dyDescent="0.3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</row>
    <row r="286" spans="1:29" ht="15" thickBot="1" x14ac:dyDescent="0.35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</row>
    <row r="287" spans="1:29" ht="15" thickBot="1" x14ac:dyDescent="0.35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</row>
    <row r="288" spans="1:29" ht="15" thickBot="1" x14ac:dyDescent="0.35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</row>
    <row r="289" spans="1:29" ht="15" thickBot="1" x14ac:dyDescent="0.35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</row>
    <row r="290" spans="1:29" ht="15" thickBot="1" x14ac:dyDescent="0.35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</row>
    <row r="291" spans="1:29" ht="15" thickBot="1" x14ac:dyDescent="0.35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</row>
    <row r="292" spans="1:29" ht="15" thickBot="1" x14ac:dyDescent="0.35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</row>
    <row r="293" spans="1:29" ht="15" thickBot="1" x14ac:dyDescent="0.35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</row>
    <row r="294" spans="1:29" ht="15" thickBot="1" x14ac:dyDescent="0.35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</row>
    <row r="295" spans="1:29" ht="15" thickBot="1" x14ac:dyDescent="0.3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</row>
    <row r="296" spans="1:29" ht="15" thickBot="1" x14ac:dyDescent="0.35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</row>
    <row r="297" spans="1:29" ht="15" thickBot="1" x14ac:dyDescent="0.35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</row>
    <row r="298" spans="1:29" ht="15" thickBot="1" x14ac:dyDescent="0.35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</row>
    <row r="299" spans="1:29" ht="15" thickBot="1" x14ac:dyDescent="0.35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</row>
    <row r="300" spans="1:29" ht="15" thickBot="1" x14ac:dyDescent="0.35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</row>
    <row r="301" spans="1:29" ht="15" thickBot="1" x14ac:dyDescent="0.35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</row>
    <row r="302" spans="1:29" ht="15" thickBot="1" x14ac:dyDescent="0.35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</row>
    <row r="303" spans="1:29" ht="15" thickBot="1" x14ac:dyDescent="0.35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</row>
    <row r="304" spans="1:29" ht="15" thickBot="1" x14ac:dyDescent="0.35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</row>
    <row r="305" spans="1:29" ht="15" thickBot="1" x14ac:dyDescent="0.3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</row>
    <row r="306" spans="1:29" ht="15" thickBot="1" x14ac:dyDescent="0.35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</row>
    <row r="307" spans="1:29" ht="15" thickBot="1" x14ac:dyDescent="0.35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</row>
    <row r="308" spans="1:29" ht="15" thickBot="1" x14ac:dyDescent="0.35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</row>
    <row r="309" spans="1:29" ht="15" thickBot="1" x14ac:dyDescent="0.35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</row>
    <row r="310" spans="1:29" ht="15" thickBot="1" x14ac:dyDescent="0.35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</row>
    <row r="311" spans="1:29" ht="15" thickBot="1" x14ac:dyDescent="0.35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</row>
    <row r="312" spans="1:29" ht="15" thickBot="1" x14ac:dyDescent="0.35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</row>
    <row r="313" spans="1:29" ht="15" thickBot="1" x14ac:dyDescent="0.35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</row>
    <row r="314" spans="1:29" ht="15" thickBot="1" x14ac:dyDescent="0.35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</row>
    <row r="315" spans="1:29" ht="15" thickBot="1" x14ac:dyDescent="0.3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</row>
    <row r="316" spans="1:29" ht="15" thickBot="1" x14ac:dyDescent="0.35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</row>
    <row r="317" spans="1:29" ht="15" thickBot="1" x14ac:dyDescent="0.35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</row>
    <row r="318" spans="1:29" ht="15" thickBot="1" x14ac:dyDescent="0.35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</row>
    <row r="319" spans="1:29" ht="15" thickBot="1" x14ac:dyDescent="0.35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</row>
    <row r="320" spans="1:29" ht="15" thickBot="1" x14ac:dyDescent="0.35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</row>
    <row r="321" spans="1:29" ht="15" thickBot="1" x14ac:dyDescent="0.35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</row>
    <row r="322" spans="1:29" ht="15" thickBot="1" x14ac:dyDescent="0.35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</row>
    <row r="323" spans="1:29" ht="15" thickBot="1" x14ac:dyDescent="0.35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</row>
    <row r="324" spans="1:29" ht="15" thickBot="1" x14ac:dyDescent="0.35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</row>
    <row r="325" spans="1:29" ht="15" thickBot="1" x14ac:dyDescent="0.3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</row>
    <row r="326" spans="1:29" ht="15" thickBot="1" x14ac:dyDescent="0.35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</row>
    <row r="327" spans="1:29" ht="15" thickBot="1" x14ac:dyDescent="0.35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</row>
    <row r="328" spans="1:29" ht="15" thickBot="1" x14ac:dyDescent="0.35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</row>
    <row r="329" spans="1:29" ht="15" thickBot="1" x14ac:dyDescent="0.35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</row>
    <row r="330" spans="1:29" ht="15" thickBot="1" x14ac:dyDescent="0.35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</row>
    <row r="331" spans="1:29" ht="15" thickBot="1" x14ac:dyDescent="0.35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</row>
    <row r="332" spans="1:29" ht="15" thickBot="1" x14ac:dyDescent="0.35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</row>
    <row r="333" spans="1:29" ht="15" thickBot="1" x14ac:dyDescent="0.35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</row>
    <row r="334" spans="1:29" ht="15" thickBot="1" x14ac:dyDescent="0.35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</row>
    <row r="335" spans="1:29" ht="15" thickBot="1" x14ac:dyDescent="0.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</row>
    <row r="336" spans="1:29" ht="15" thickBot="1" x14ac:dyDescent="0.35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</row>
    <row r="337" spans="1:29" ht="15" thickBot="1" x14ac:dyDescent="0.35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</row>
    <row r="338" spans="1:29" ht="15" thickBot="1" x14ac:dyDescent="0.35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</row>
    <row r="339" spans="1:29" ht="15" thickBot="1" x14ac:dyDescent="0.35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</row>
    <row r="340" spans="1:29" ht="15" thickBot="1" x14ac:dyDescent="0.35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</row>
    <row r="341" spans="1:29" ht="15" thickBot="1" x14ac:dyDescent="0.35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</row>
    <row r="342" spans="1:29" ht="15" thickBot="1" x14ac:dyDescent="0.35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</row>
    <row r="343" spans="1:29" ht="15" thickBot="1" x14ac:dyDescent="0.35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</row>
    <row r="344" spans="1:29" ht="15" thickBot="1" x14ac:dyDescent="0.35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</row>
    <row r="345" spans="1:29" ht="15" thickBot="1" x14ac:dyDescent="0.3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</row>
    <row r="346" spans="1:29" ht="15" thickBot="1" x14ac:dyDescent="0.35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</row>
    <row r="347" spans="1:29" ht="15" thickBot="1" x14ac:dyDescent="0.35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</row>
    <row r="348" spans="1:29" ht="15" thickBot="1" x14ac:dyDescent="0.35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</row>
    <row r="349" spans="1:29" ht="15" thickBot="1" x14ac:dyDescent="0.35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</row>
    <row r="350" spans="1:29" ht="15" thickBot="1" x14ac:dyDescent="0.35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</row>
    <row r="351" spans="1:29" ht="15" thickBot="1" x14ac:dyDescent="0.35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</row>
    <row r="352" spans="1:29" ht="15" thickBot="1" x14ac:dyDescent="0.35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</row>
    <row r="353" spans="1:29" ht="15" thickBot="1" x14ac:dyDescent="0.35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</row>
    <row r="354" spans="1:29" ht="15" thickBot="1" x14ac:dyDescent="0.35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</row>
    <row r="355" spans="1:29" ht="15" thickBot="1" x14ac:dyDescent="0.3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</row>
    <row r="356" spans="1:29" ht="15" thickBot="1" x14ac:dyDescent="0.35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</row>
    <row r="357" spans="1:29" ht="15" thickBot="1" x14ac:dyDescent="0.35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</row>
    <row r="358" spans="1:29" ht="15" thickBot="1" x14ac:dyDescent="0.35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</row>
    <row r="359" spans="1:29" ht="15" thickBot="1" x14ac:dyDescent="0.35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</row>
    <row r="360" spans="1:29" ht="15" thickBot="1" x14ac:dyDescent="0.35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</row>
    <row r="361" spans="1:29" ht="15" thickBot="1" x14ac:dyDescent="0.35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</row>
    <row r="362" spans="1:29" ht="15" thickBot="1" x14ac:dyDescent="0.35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</row>
    <row r="363" spans="1:29" ht="15" thickBot="1" x14ac:dyDescent="0.35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</row>
    <row r="364" spans="1:29" ht="15" thickBot="1" x14ac:dyDescent="0.35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</row>
    <row r="365" spans="1:29" ht="15" thickBot="1" x14ac:dyDescent="0.3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</row>
    <row r="366" spans="1:29" ht="15" thickBot="1" x14ac:dyDescent="0.35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</row>
    <row r="367" spans="1:29" ht="15" thickBot="1" x14ac:dyDescent="0.35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</row>
    <row r="368" spans="1:29" ht="15" thickBot="1" x14ac:dyDescent="0.35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</row>
    <row r="369" spans="1:29" ht="15" thickBot="1" x14ac:dyDescent="0.35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</row>
    <row r="370" spans="1:29" ht="15" thickBot="1" x14ac:dyDescent="0.35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</row>
    <row r="371" spans="1:29" ht="15" thickBot="1" x14ac:dyDescent="0.35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</row>
    <row r="372" spans="1:29" ht="15" thickBot="1" x14ac:dyDescent="0.35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</row>
    <row r="373" spans="1:29" ht="15" thickBot="1" x14ac:dyDescent="0.35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</row>
    <row r="374" spans="1:29" ht="15" thickBot="1" x14ac:dyDescent="0.35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</row>
    <row r="375" spans="1:29" ht="15" thickBot="1" x14ac:dyDescent="0.3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</row>
    <row r="376" spans="1:29" ht="15" thickBot="1" x14ac:dyDescent="0.35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</row>
    <row r="377" spans="1:29" ht="15" thickBot="1" x14ac:dyDescent="0.35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</row>
    <row r="378" spans="1:29" ht="15" thickBot="1" x14ac:dyDescent="0.35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</row>
    <row r="379" spans="1:29" ht="15" thickBot="1" x14ac:dyDescent="0.35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</row>
    <row r="380" spans="1:29" ht="15" thickBot="1" x14ac:dyDescent="0.35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</row>
    <row r="381" spans="1:29" ht="15" thickBot="1" x14ac:dyDescent="0.35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</row>
    <row r="382" spans="1:29" ht="15" thickBot="1" x14ac:dyDescent="0.35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</row>
    <row r="383" spans="1:29" ht="15" thickBot="1" x14ac:dyDescent="0.35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</row>
    <row r="384" spans="1:29" ht="15" thickBot="1" x14ac:dyDescent="0.35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</row>
    <row r="385" spans="1:29" ht="15" thickBot="1" x14ac:dyDescent="0.3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</row>
    <row r="386" spans="1:29" ht="15" thickBot="1" x14ac:dyDescent="0.35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</row>
    <row r="387" spans="1:29" ht="15" thickBot="1" x14ac:dyDescent="0.35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</row>
    <row r="388" spans="1:29" ht="15" thickBot="1" x14ac:dyDescent="0.35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</row>
    <row r="389" spans="1:29" ht="15" thickBot="1" x14ac:dyDescent="0.35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</row>
    <row r="390" spans="1:29" ht="15" thickBot="1" x14ac:dyDescent="0.35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</row>
    <row r="391" spans="1:29" ht="15" thickBot="1" x14ac:dyDescent="0.35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</row>
    <row r="392" spans="1:29" ht="15" thickBot="1" x14ac:dyDescent="0.35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</row>
    <row r="393" spans="1:29" ht="15" thickBot="1" x14ac:dyDescent="0.35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</row>
    <row r="394" spans="1:29" ht="15" thickBot="1" x14ac:dyDescent="0.35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</row>
    <row r="395" spans="1:29" ht="15" thickBot="1" x14ac:dyDescent="0.3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</row>
    <row r="396" spans="1:29" ht="15" thickBot="1" x14ac:dyDescent="0.35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</row>
    <row r="397" spans="1:29" ht="15" thickBot="1" x14ac:dyDescent="0.35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</row>
    <row r="398" spans="1:29" ht="15" thickBot="1" x14ac:dyDescent="0.35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</row>
    <row r="399" spans="1:29" ht="15" thickBot="1" x14ac:dyDescent="0.35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</row>
    <row r="400" spans="1:29" ht="15" thickBot="1" x14ac:dyDescent="0.35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</row>
    <row r="401" spans="1:29" ht="15" thickBot="1" x14ac:dyDescent="0.35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</row>
    <row r="402" spans="1:29" ht="15" thickBot="1" x14ac:dyDescent="0.35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</row>
    <row r="403" spans="1:29" ht="15" thickBot="1" x14ac:dyDescent="0.35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</row>
    <row r="404" spans="1:29" ht="15" thickBot="1" x14ac:dyDescent="0.35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</row>
    <row r="405" spans="1:29" ht="15" thickBot="1" x14ac:dyDescent="0.3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</row>
    <row r="406" spans="1:29" ht="15" thickBot="1" x14ac:dyDescent="0.35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</row>
    <row r="407" spans="1:29" ht="15" thickBot="1" x14ac:dyDescent="0.35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</row>
    <row r="408" spans="1:29" ht="15" thickBot="1" x14ac:dyDescent="0.35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</row>
    <row r="409" spans="1:29" ht="15" thickBot="1" x14ac:dyDescent="0.35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</row>
    <row r="410" spans="1:29" ht="15" thickBot="1" x14ac:dyDescent="0.35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</row>
    <row r="411" spans="1:29" ht="15" thickBot="1" x14ac:dyDescent="0.35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</row>
    <row r="412" spans="1:29" ht="15" thickBot="1" x14ac:dyDescent="0.35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</row>
    <row r="413" spans="1:29" ht="15" thickBot="1" x14ac:dyDescent="0.35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</row>
    <row r="414" spans="1:29" ht="15" thickBot="1" x14ac:dyDescent="0.35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</row>
    <row r="415" spans="1:29" ht="15" thickBot="1" x14ac:dyDescent="0.3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</row>
    <row r="416" spans="1:29" ht="15" thickBot="1" x14ac:dyDescent="0.35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</row>
    <row r="417" spans="1:29" ht="15" thickBot="1" x14ac:dyDescent="0.35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</row>
    <row r="418" spans="1:29" ht="15" thickBot="1" x14ac:dyDescent="0.35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</row>
    <row r="419" spans="1:29" ht="15" thickBot="1" x14ac:dyDescent="0.35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</row>
    <row r="420" spans="1:29" ht="15" thickBot="1" x14ac:dyDescent="0.35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</row>
    <row r="421" spans="1:29" ht="15" thickBot="1" x14ac:dyDescent="0.35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</row>
    <row r="422" spans="1:29" ht="15" thickBot="1" x14ac:dyDescent="0.35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</row>
    <row r="423" spans="1:29" ht="15" thickBot="1" x14ac:dyDescent="0.35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</row>
    <row r="424" spans="1:29" ht="15" thickBot="1" x14ac:dyDescent="0.35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</row>
    <row r="425" spans="1:29" ht="15" thickBot="1" x14ac:dyDescent="0.3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</row>
    <row r="426" spans="1:29" ht="15" thickBot="1" x14ac:dyDescent="0.35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</row>
    <row r="427" spans="1:29" ht="15" thickBot="1" x14ac:dyDescent="0.35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</row>
    <row r="428" spans="1:29" ht="15" thickBot="1" x14ac:dyDescent="0.35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</row>
    <row r="429" spans="1:29" ht="15" thickBot="1" x14ac:dyDescent="0.35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</row>
    <row r="430" spans="1:29" ht="15" thickBot="1" x14ac:dyDescent="0.35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</row>
    <row r="431" spans="1:29" ht="15" thickBot="1" x14ac:dyDescent="0.35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</row>
    <row r="432" spans="1:29" ht="15" thickBot="1" x14ac:dyDescent="0.35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</row>
    <row r="433" spans="1:29" ht="15" thickBot="1" x14ac:dyDescent="0.35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</row>
    <row r="434" spans="1:29" ht="15" thickBot="1" x14ac:dyDescent="0.35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</row>
    <row r="435" spans="1:29" ht="15" thickBot="1" x14ac:dyDescent="0.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</row>
    <row r="436" spans="1:29" ht="15" thickBot="1" x14ac:dyDescent="0.35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</row>
    <row r="437" spans="1:29" ht="15" thickBot="1" x14ac:dyDescent="0.35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</row>
    <row r="438" spans="1:29" ht="15" thickBot="1" x14ac:dyDescent="0.35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</row>
    <row r="439" spans="1:29" ht="15" thickBot="1" x14ac:dyDescent="0.35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</row>
    <row r="440" spans="1:29" ht="15" thickBot="1" x14ac:dyDescent="0.35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</row>
    <row r="441" spans="1:29" ht="15" thickBot="1" x14ac:dyDescent="0.35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</row>
    <row r="442" spans="1:29" ht="15" thickBot="1" x14ac:dyDescent="0.35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</row>
    <row r="443" spans="1:29" ht="15" thickBot="1" x14ac:dyDescent="0.35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</row>
    <row r="444" spans="1:29" ht="15" thickBot="1" x14ac:dyDescent="0.35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</row>
    <row r="445" spans="1:29" ht="15" thickBot="1" x14ac:dyDescent="0.3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</row>
    <row r="446" spans="1:29" ht="15" thickBot="1" x14ac:dyDescent="0.35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</row>
    <row r="447" spans="1:29" ht="15" thickBot="1" x14ac:dyDescent="0.35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</row>
    <row r="448" spans="1:29" ht="15" thickBot="1" x14ac:dyDescent="0.35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</row>
    <row r="449" spans="1:29" ht="15" thickBot="1" x14ac:dyDescent="0.35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</row>
    <row r="450" spans="1:29" ht="15" thickBot="1" x14ac:dyDescent="0.35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</row>
    <row r="451" spans="1:29" ht="15" thickBot="1" x14ac:dyDescent="0.35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</row>
    <row r="452" spans="1:29" ht="15" thickBot="1" x14ac:dyDescent="0.35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</row>
    <row r="453" spans="1:29" ht="15" thickBot="1" x14ac:dyDescent="0.35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</row>
    <row r="454" spans="1:29" ht="15" thickBot="1" x14ac:dyDescent="0.35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</row>
    <row r="455" spans="1:29" ht="15" thickBot="1" x14ac:dyDescent="0.3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</row>
    <row r="456" spans="1:29" ht="15" thickBot="1" x14ac:dyDescent="0.35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</row>
    <row r="457" spans="1:29" ht="15" thickBot="1" x14ac:dyDescent="0.35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</row>
    <row r="458" spans="1:29" ht="15" thickBot="1" x14ac:dyDescent="0.35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</row>
    <row r="459" spans="1:29" ht="15" thickBot="1" x14ac:dyDescent="0.35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</row>
    <row r="460" spans="1:29" ht="15" thickBot="1" x14ac:dyDescent="0.35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</row>
    <row r="461" spans="1:29" ht="15" thickBot="1" x14ac:dyDescent="0.35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</row>
    <row r="462" spans="1:29" ht="15" thickBot="1" x14ac:dyDescent="0.35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</row>
    <row r="463" spans="1:29" ht="15" thickBot="1" x14ac:dyDescent="0.35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</row>
    <row r="464" spans="1:29" ht="15" thickBot="1" x14ac:dyDescent="0.35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</row>
    <row r="465" spans="1:29" ht="15" thickBot="1" x14ac:dyDescent="0.3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</row>
    <row r="466" spans="1:29" ht="15" thickBot="1" x14ac:dyDescent="0.35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</row>
    <row r="467" spans="1:29" ht="15" thickBot="1" x14ac:dyDescent="0.35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</row>
    <row r="468" spans="1:29" ht="15" thickBot="1" x14ac:dyDescent="0.35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</row>
    <row r="469" spans="1:29" ht="15" thickBot="1" x14ac:dyDescent="0.35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</row>
    <row r="470" spans="1:29" ht="15" thickBot="1" x14ac:dyDescent="0.35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</row>
    <row r="471" spans="1:29" ht="15" thickBot="1" x14ac:dyDescent="0.35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</row>
    <row r="472" spans="1:29" ht="15" thickBot="1" x14ac:dyDescent="0.35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</row>
    <row r="473" spans="1:29" ht="15" thickBot="1" x14ac:dyDescent="0.35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</row>
    <row r="474" spans="1:29" ht="15" thickBot="1" x14ac:dyDescent="0.35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</row>
    <row r="475" spans="1:29" ht="15" thickBot="1" x14ac:dyDescent="0.3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</row>
    <row r="476" spans="1:29" ht="15" thickBot="1" x14ac:dyDescent="0.35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</row>
    <row r="477" spans="1:29" ht="15" thickBot="1" x14ac:dyDescent="0.35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</row>
    <row r="478" spans="1:29" ht="15" thickBot="1" x14ac:dyDescent="0.35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</row>
    <row r="479" spans="1:29" ht="15" thickBot="1" x14ac:dyDescent="0.35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</row>
    <row r="480" spans="1:29" ht="15" thickBot="1" x14ac:dyDescent="0.35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</row>
    <row r="481" spans="1:29" ht="15" thickBot="1" x14ac:dyDescent="0.35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</row>
    <row r="482" spans="1:29" ht="15" thickBot="1" x14ac:dyDescent="0.35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</row>
    <row r="483" spans="1:29" ht="15" thickBot="1" x14ac:dyDescent="0.35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</row>
    <row r="484" spans="1:29" ht="15" thickBot="1" x14ac:dyDescent="0.35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</row>
    <row r="485" spans="1:29" ht="15" thickBot="1" x14ac:dyDescent="0.3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</row>
    <row r="486" spans="1:29" ht="15" thickBot="1" x14ac:dyDescent="0.35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</row>
    <row r="487" spans="1:29" ht="15" thickBot="1" x14ac:dyDescent="0.35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</row>
    <row r="488" spans="1:29" ht="15" thickBot="1" x14ac:dyDescent="0.35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</row>
    <row r="489" spans="1:29" ht="15" thickBot="1" x14ac:dyDescent="0.35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</row>
    <row r="490" spans="1:29" ht="15" thickBot="1" x14ac:dyDescent="0.35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</row>
    <row r="491" spans="1:29" ht="15" thickBot="1" x14ac:dyDescent="0.35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</row>
    <row r="492" spans="1:29" ht="15" thickBot="1" x14ac:dyDescent="0.35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</row>
    <row r="493" spans="1:29" ht="15" thickBot="1" x14ac:dyDescent="0.35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</row>
    <row r="494" spans="1:29" ht="15" thickBot="1" x14ac:dyDescent="0.35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</row>
    <row r="495" spans="1:29" ht="15" thickBot="1" x14ac:dyDescent="0.3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</row>
    <row r="496" spans="1:29" ht="15" thickBot="1" x14ac:dyDescent="0.35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</row>
    <row r="497" spans="1:29" ht="15" thickBot="1" x14ac:dyDescent="0.35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</row>
    <row r="498" spans="1:29" ht="15" thickBot="1" x14ac:dyDescent="0.35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</row>
    <row r="499" spans="1:29" ht="15" thickBot="1" x14ac:dyDescent="0.35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</row>
    <row r="500" spans="1:29" ht="15" thickBot="1" x14ac:dyDescent="0.35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</row>
    <row r="501" spans="1:29" ht="15" thickBot="1" x14ac:dyDescent="0.35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</row>
    <row r="502" spans="1:29" ht="15" thickBot="1" x14ac:dyDescent="0.35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</row>
    <row r="503" spans="1:29" ht="15" thickBot="1" x14ac:dyDescent="0.35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</row>
    <row r="504" spans="1:29" ht="15" thickBot="1" x14ac:dyDescent="0.35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</row>
    <row r="505" spans="1:29" ht="15" thickBot="1" x14ac:dyDescent="0.3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</row>
    <row r="506" spans="1:29" ht="15" thickBot="1" x14ac:dyDescent="0.35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</row>
    <row r="507" spans="1:29" ht="15" thickBot="1" x14ac:dyDescent="0.35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</row>
    <row r="508" spans="1:29" ht="15" thickBot="1" x14ac:dyDescent="0.35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</row>
    <row r="509" spans="1:29" ht="15" thickBot="1" x14ac:dyDescent="0.35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</row>
    <row r="510" spans="1:29" ht="15" thickBot="1" x14ac:dyDescent="0.35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</row>
    <row r="511" spans="1:29" ht="15" thickBot="1" x14ac:dyDescent="0.35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</row>
    <row r="512" spans="1:29" ht="15" thickBot="1" x14ac:dyDescent="0.35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</row>
    <row r="513" spans="1:29" ht="15" thickBot="1" x14ac:dyDescent="0.35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</row>
    <row r="514" spans="1:29" ht="15" thickBot="1" x14ac:dyDescent="0.35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</row>
    <row r="515" spans="1:29" ht="15" thickBot="1" x14ac:dyDescent="0.3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</row>
    <row r="516" spans="1:29" ht="15" thickBot="1" x14ac:dyDescent="0.35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</row>
    <row r="517" spans="1:29" ht="15" thickBot="1" x14ac:dyDescent="0.35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</row>
    <row r="518" spans="1:29" ht="15" thickBot="1" x14ac:dyDescent="0.35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</row>
    <row r="519" spans="1:29" ht="15" thickBot="1" x14ac:dyDescent="0.35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</row>
    <row r="520" spans="1:29" ht="15" thickBot="1" x14ac:dyDescent="0.35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</row>
    <row r="521" spans="1:29" ht="15" thickBot="1" x14ac:dyDescent="0.35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</row>
    <row r="522" spans="1:29" ht="15" thickBot="1" x14ac:dyDescent="0.35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</row>
    <row r="523" spans="1:29" ht="15" thickBot="1" x14ac:dyDescent="0.35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</row>
    <row r="524" spans="1:29" ht="15" thickBot="1" x14ac:dyDescent="0.35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</row>
    <row r="525" spans="1:29" ht="15" thickBot="1" x14ac:dyDescent="0.3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</row>
    <row r="526" spans="1:29" ht="15" thickBot="1" x14ac:dyDescent="0.35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</row>
    <row r="527" spans="1:29" ht="15" thickBot="1" x14ac:dyDescent="0.35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</row>
    <row r="528" spans="1:29" ht="15" thickBot="1" x14ac:dyDescent="0.35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</row>
    <row r="529" spans="1:29" ht="15" thickBot="1" x14ac:dyDescent="0.35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</row>
    <row r="530" spans="1:29" ht="15" thickBot="1" x14ac:dyDescent="0.35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</row>
    <row r="531" spans="1:29" ht="15" thickBot="1" x14ac:dyDescent="0.35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</row>
    <row r="532" spans="1:29" ht="15" thickBot="1" x14ac:dyDescent="0.35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</row>
    <row r="533" spans="1:29" ht="15" thickBot="1" x14ac:dyDescent="0.35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</row>
    <row r="534" spans="1:29" ht="15" thickBot="1" x14ac:dyDescent="0.35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</row>
    <row r="535" spans="1:29" ht="15" thickBot="1" x14ac:dyDescent="0.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</row>
    <row r="536" spans="1:29" ht="15" thickBot="1" x14ac:dyDescent="0.35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</row>
    <row r="537" spans="1:29" ht="15" thickBot="1" x14ac:dyDescent="0.35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</row>
    <row r="538" spans="1:29" ht="15" thickBot="1" x14ac:dyDescent="0.35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</row>
    <row r="539" spans="1:29" ht="15" thickBot="1" x14ac:dyDescent="0.35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</row>
    <row r="540" spans="1:29" ht="15" thickBot="1" x14ac:dyDescent="0.35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</row>
    <row r="541" spans="1:29" ht="15" thickBot="1" x14ac:dyDescent="0.35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</row>
    <row r="542" spans="1:29" ht="15" thickBot="1" x14ac:dyDescent="0.35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</row>
    <row r="543" spans="1:29" ht="15" thickBot="1" x14ac:dyDescent="0.35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</row>
    <row r="544" spans="1:29" ht="15" thickBot="1" x14ac:dyDescent="0.35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</row>
    <row r="545" spans="1:29" ht="15" thickBot="1" x14ac:dyDescent="0.3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</row>
    <row r="546" spans="1:29" ht="15" thickBot="1" x14ac:dyDescent="0.35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</row>
    <row r="547" spans="1:29" ht="15" thickBot="1" x14ac:dyDescent="0.35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</row>
    <row r="548" spans="1:29" ht="15" thickBot="1" x14ac:dyDescent="0.35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</row>
    <row r="549" spans="1:29" ht="15" thickBot="1" x14ac:dyDescent="0.35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</row>
    <row r="550" spans="1:29" ht="15" thickBot="1" x14ac:dyDescent="0.35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</row>
    <row r="551" spans="1:29" ht="15" thickBot="1" x14ac:dyDescent="0.35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</row>
    <row r="552" spans="1:29" ht="15" thickBot="1" x14ac:dyDescent="0.35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</row>
    <row r="553" spans="1:29" ht="15" thickBot="1" x14ac:dyDescent="0.35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</row>
    <row r="554" spans="1:29" ht="15" thickBot="1" x14ac:dyDescent="0.35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</row>
    <row r="555" spans="1:29" ht="15" thickBot="1" x14ac:dyDescent="0.3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</row>
    <row r="556" spans="1:29" ht="15" thickBot="1" x14ac:dyDescent="0.35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</row>
    <row r="557" spans="1:29" ht="15" thickBot="1" x14ac:dyDescent="0.35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</row>
    <row r="558" spans="1:29" ht="15" thickBot="1" x14ac:dyDescent="0.35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</row>
    <row r="559" spans="1:29" ht="15" thickBot="1" x14ac:dyDescent="0.35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</row>
    <row r="560" spans="1:29" ht="15" thickBot="1" x14ac:dyDescent="0.35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</row>
    <row r="561" spans="1:29" ht="15" thickBot="1" x14ac:dyDescent="0.35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</row>
    <row r="562" spans="1:29" ht="15" thickBot="1" x14ac:dyDescent="0.35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</row>
    <row r="563" spans="1:29" ht="15" thickBot="1" x14ac:dyDescent="0.35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</row>
    <row r="564" spans="1:29" ht="15" thickBot="1" x14ac:dyDescent="0.35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</row>
    <row r="565" spans="1:29" ht="15" thickBot="1" x14ac:dyDescent="0.3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</row>
    <row r="566" spans="1:29" ht="15" thickBot="1" x14ac:dyDescent="0.35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</row>
    <row r="567" spans="1:29" ht="15" thickBot="1" x14ac:dyDescent="0.35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</row>
    <row r="568" spans="1:29" ht="15" thickBot="1" x14ac:dyDescent="0.35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</row>
    <row r="569" spans="1:29" ht="15" thickBot="1" x14ac:dyDescent="0.35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</row>
    <row r="570" spans="1:29" ht="15" thickBot="1" x14ac:dyDescent="0.35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</row>
    <row r="571" spans="1:29" ht="15" thickBot="1" x14ac:dyDescent="0.35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</row>
    <row r="572" spans="1:29" ht="15" thickBot="1" x14ac:dyDescent="0.35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</row>
    <row r="573" spans="1:29" ht="15" thickBot="1" x14ac:dyDescent="0.35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</row>
    <row r="574" spans="1:29" ht="15" thickBot="1" x14ac:dyDescent="0.35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</row>
    <row r="575" spans="1:29" ht="15" thickBot="1" x14ac:dyDescent="0.3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</row>
    <row r="576" spans="1:29" ht="15" thickBot="1" x14ac:dyDescent="0.35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</row>
    <row r="577" spans="1:29" ht="15" thickBot="1" x14ac:dyDescent="0.35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</row>
    <row r="578" spans="1:29" ht="15" thickBot="1" x14ac:dyDescent="0.35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</row>
    <row r="579" spans="1:29" ht="15" thickBot="1" x14ac:dyDescent="0.35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</row>
    <row r="580" spans="1:29" ht="15" thickBot="1" x14ac:dyDescent="0.35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</row>
    <row r="581" spans="1:29" ht="15" thickBot="1" x14ac:dyDescent="0.35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</row>
    <row r="582" spans="1:29" ht="15" thickBot="1" x14ac:dyDescent="0.35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</row>
    <row r="583" spans="1:29" ht="15" thickBot="1" x14ac:dyDescent="0.35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</row>
    <row r="584" spans="1:29" ht="15" thickBot="1" x14ac:dyDescent="0.35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</row>
    <row r="585" spans="1:29" ht="15" thickBot="1" x14ac:dyDescent="0.3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</row>
    <row r="586" spans="1:29" ht="15" thickBot="1" x14ac:dyDescent="0.35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</row>
    <row r="587" spans="1:29" ht="15" thickBot="1" x14ac:dyDescent="0.35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</row>
    <row r="588" spans="1:29" ht="15" thickBot="1" x14ac:dyDescent="0.35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</row>
    <row r="589" spans="1:29" ht="15" thickBot="1" x14ac:dyDescent="0.35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</row>
    <row r="590" spans="1:29" ht="15" thickBot="1" x14ac:dyDescent="0.35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</row>
    <row r="591" spans="1:29" ht="15" thickBot="1" x14ac:dyDescent="0.35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</row>
    <row r="592" spans="1:29" ht="15" thickBot="1" x14ac:dyDescent="0.35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</row>
    <row r="593" spans="1:29" ht="15" thickBot="1" x14ac:dyDescent="0.35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</row>
    <row r="594" spans="1:29" ht="15" thickBot="1" x14ac:dyDescent="0.35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</row>
    <row r="595" spans="1:29" ht="15" thickBot="1" x14ac:dyDescent="0.3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</row>
    <row r="596" spans="1:29" ht="15" thickBot="1" x14ac:dyDescent="0.35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</row>
    <row r="597" spans="1:29" ht="15" thickBot="1" x14ac:dyDescent="0.35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</row>
    <row r="598" spans="1:29" ht="15" thickBot="1" x14ac:dyDescent="0.35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</row>
    <row r="599" spans="1:29" ht="15" thickBot="1" x14ac:dyDescent="0.35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</row>
    <row r="600" spans="1:29" ht="15" thickBot="1" x14ac:dyDescent="0.35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</row>
    <row r="601" spans="1:29" ht="15" thickBot="1" x14ac:dyDescent="0.35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</row>
    <row r="602" spans="1:29" ht="15" thickBot="1" x14ac:dyDescent="0.35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</row>
    <row r="603" spans="1:29" ht="15" thickBot="1" x14ac:dyDescent="0.35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</row>
    <row r="604" spans="1:29" ht="15" thickBot="1" x14ac:dyDescent="0.35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</row>
    <row r="605" spans="1:29" ht="15" thickBot="1" x14ac:dyDescent="0.3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</row>
    <row r="606" spans="1:29" ht="15" thickBot="1" x14ac:dyDescent="0.35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</row>
    <row r="607" spans="1:29" ht="15" thickBot="1" x14ac:dyDescent="0.35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</row>
    <row r="608" spans="1:29" ht="15" thickBot="1" x14ac:dyDescent="0.35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</row>
    <row r="609" spans="1:29" ht="15" thickBot="1" x14ac:dyDescent="0.35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</row>
    <row r="610" spans="1:29" ht="15" thickBot="1" x14ac:dyDescent="0.35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</row>
    <row r="611" spans="1:29" ht="15" thickBot="1" x14ac:dyDescent="0.35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</row>
    <row r="612" spans="1:29" ht="15" thickBot="1" x14ac:dyDescent="0.35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</row>
    <row r="613" spans="1:29" ht="15" thickBot="1" x14ac:dyDescent="0.35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</row>
    <row r="614" spans="1:29" ht="15" thickBot="1" x14ac:dyDescent="0.35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</row>
    <row r="615" spans="1:29" ht="15" thickBot="1" x14ac:dyDescent="0.3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</row>
    <row r="616" spans="1:29" ht="15" thickBot="1" x14ac:dyDescent="0.35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</row>
    <row r="617" spans="1:29" ht="15" thickBot="1" x14ac:dyDescent="0.35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</row>
    <row r="618" spans="1:29" ht="15" thickBot="1" x14ac:dyDescent="0.35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</row>
    <row r="619" spans="1:29" ht="15" thickBot="1" x14ac:dyDescent="0.35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</row>
    <row r="620" spans="1:29" ht="15" thickBot="1" x14ac:dyDescent="0.35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</row>
    <row r="621" spans="1:29" ht="15" thickBot="1" x14ac:dyDescent="0.35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</row>
    <row r="622" spans="1:29" ht="15" thickBot="1" x14ac:dyDescent="0.35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</row>
    <row r="623" spans="1:29" ht="15" thickBot="1" x14ac:dyDescent="0.35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</row>
    <row r="624" spans="1:29" ht="15" thickBot="1" x14ac:dyDescent="0.35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</row>
    <row r="625" spans="1:29" ht="15" thickBot="1" x14ac:dyDescent="0.3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</row>
    <row r="626" spans="1:29" ht="15" thickBot="1" x14ac:dyDescent="0.35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</row>
    <row r="627" spans="1:29" ht="15" thickBot="1" x14ac:dyDescent="0.35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</row>
    <row r="628" spans="1:29" ht="15" thickBot="1" x14ac:dyDescent="0.35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</row>
    <row r="629" spans="1:29" ht="15" thickBot="1" x14ac:dyDescent="0.35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</row>
    <row r="630" spans="1:29" ht="15" thickBot="1" x14ac:dyDescent="0.35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</row>
    <row r="631" spans="1:29" ht="15" thickBot="1" x14ac:dyDescent="0.35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</row>
    <row r="632" spans="1:29" ht="15" thickBot="1" x14ac:dyDescent="0.35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</row>
    <row r="633" spans="1:29" ht="15" thickBot="1" x14ac:dyDescent="0.35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</row>
    <row r="634" spans="1:29" ht="15" thickBot="1" x14ac:dyDescent="0.35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</row>
    <row r="635" spans="1:29" ht="15" thickBot="1" x14ac:dyDescent="0.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</row>
    <row r="636" spans="1:29" ht="15" thickBot="1" x14ac:dyDescent="0.35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</row>
    <row r="637" spans="1:29" ht="15" thickBot="1" x14ac:dyDescent="0.35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</row>
    <row r="638" spans="1:29" ht="15" thickBot="1" x14ac:dyDescent="0.35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</row>
    <row r="639" spans="1:29" ht="15" thickBot="1" x14ac:dyDescent="0.35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</row>
    <row r="640" spans="1:29" ht="15" thickBot="1" x14ac:dyDescent="0.35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</row>
    <row r="641" spans="1:29" ht="15" thickBot="1" x14ac:dyDescent="0.35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</row>
    <row r="642" spans="1:29" ht="15" thickBot="1" x14ac:dyDescent="0.35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</row>
    <row r="643" spans="1:29" ht="15" thickBot="1" x14ac:dyDescent="0.35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</row>
    <row r="644" spans="1:29" ht="15" thickBot="1" x14ac:dyDescent="0.35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</row>
    <row r="645" spans="1:29" ht="15" thickBot="1" x14ac:dyDescent="0.3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</row>
    <row r="646" spans="1:29" ht="15" thickBot="1" x14ac:dyDescent="0.35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</row>
    <row r="647" spans="1:29" ht="15" thickBot="1" x14ac:dyDescent="0.35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</row>
    <row r="648" spans="1:29" ht="15" thickBot="1" x14ac:dyDescent="0.35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</row>
    <row r="649" spans="1:29" ht="15" thickBot="1" x14ac:dyDescent="0.35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</row>
    <row r="650" spans="1:29" ht="15" thickBot="1" x14ac:dyDescent="0.35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</row>
    <row r="651" spans="1:29" ht="15" thickBot="1" x14ac:dyDescent="0.35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</row>
    <row r="652" spans="1:29" ht="15" thickBot="1" x14ac:dyDescent="0.35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</row>
    <row r="653" spans="1:29" ht="15" thickBot="1" x14ac:dyDescent="0.35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</row>
    <row r="654" spans="1:29" ht="15" thickBot="1" x14ac:dyDescent="0.35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</row>
    <row r="655" spans="1:29" ht="15" thickBot="1" x14ac:dyDescent="0.3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</row>
    <row r="656" spans="1:29" ht="15" thickBot="1" x14ac:dyDescent="0.35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</row>
    <row r="657" spans="1:29" ht="15" thickBot="1" x14ac:dyDescent="0.35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</row>
    <row r="658" spans="1:29" ht="15" thickBot="1" x14ac:dyDescent="0.35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</row>
    <row r="659" spans="1:29" ht="15" thickBot="1" x14ac:dyDescent="0.35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</row>
    <row r="660" spans="1:29" ht="15" thickBot="1" x14ac:dyDescent="0.35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</row>
    <row r="661" spans="1:29" ht="15" thickBot="1" x14ac:dyDescent="0.35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</row>
    <row r="662" spans="1:29" ht="15" thickBot="1" x14ac:dyDescent="0.35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</row>
    <row r="663" spans="1:29" ht="15" thickBot="1" x14ac:dyDescent="0.35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</row>
    <row r="664" spans="1:29" ht="15" thickBot="1" x14ac:dyDescent="0.35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</row>
    <row r="665" spans="1:29" ht="15" thickBot="1" x14ac:dyDescent="0.3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</row>
    <row r="666" spans="1:29" ht="15" thickBot="1" x14ac:dyDescent="0.35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</row>
    <row r="667" spans="1:29" ht="15" thickBot="1" x14ac:dyDescent="0.35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</row>
    <row r="668" spans="1:29" ht="15" thickBot="1" x14ac:dyDescent="0.35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</row>
    <row r="669" spans="1:29" ht="15" thickBot="1" x14ac:dyDescent="0.35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</row>
    <row r="670" spans="1:29" ht="15" thickBot="1" x14ac:dyDescent="0.35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</row>
    <row r="671" spans="1:29" ht="15" thickBot="1" x14ac:dyDescent="0.35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</row>
    <row r="672" spans="1:29" ht="15" thickBot="1" x14ac:dyDescent="0.35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</row>
    <row r="673" spans="1:29" ht="15" thickBot="1" x14ac:dyDescent="0.35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</row>
    <row r="674" spans="1:29" ht="15" thickBot="1" x14ac:dyDescent="0.35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</row>
    <row r="675" spans="1:29" ht="15" thickBot="1" x14ac:dyDescent="0.3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</row>
    <row r="676" spans="1:29" ht="15" thickBot="1" x14ac:dyDescent="0.35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</row>
    <row r="677" spans="1:29" ht="15" thickBot="1" x14ac:dyDescent="0.35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</row>
    <row r="678" spans="1:29" ht="15" thickBot="1" x14ac:dyDescent="0.35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</row>
    <row r="679" spans="1:29" ht="15" thickBot="1" x14ac:dyDescent="0.35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</row>
    <row r="680" spans="1:29" ht="15" thickBot="1" x14ac:dyDescent="0.35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</row>
    <row r="681" spans="1:29" ht="15" thickBot="1" x14ac:dyDescent="0.35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</row>
    <row r="682" spans="1:29" ht="15" thickBot="1" x14ac:dyDescent="0.35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</row>
    <row r="683" spans="1:29" ht="15" thickBot="1" x14ac:dyDescent="0.35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</row>
    <row r="684" spans="1:29" ht="15" thickBot="1" x14ac:dyDescent="0.35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</row>
    <row r="685" spans="1:29" ht="15" thickBot="1" x14ac:dyDescent="0.3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</row>
    <row r="686" spans="1:29" ht="15" thickBot="1" x14ac:dyDescent="0.35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</row>
    <row r="687" spans="1:29" ht="15" thickBot="1" x14ac:dyDescent="0.35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</row>
    <row r="688" spans="1:29" ht="15" thickBot="1" x14ac:dyDescent="0.35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</row>
    <row r="689" spans="1:29" ht="15" thickBot="1" x14ac:dyDescent="0.35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</row>
    <row r="690" spans="1:29" ht="15" thickBot="1" x14ac:dyDescent="0.35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</row>
    <row r="691" spans="1:29" ht="15" thickBot="1" x14ac:dyDescent="0.35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</row>
    <row r="692" spans="1:29" ht="15" thickBot="1" x14ac:dyDescent="0.35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</row>
    <row r="693" spans="1:29" ht="15" thickBot="1" x14ac:dyDescent="0.35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</row>
    <row r="694" spans="1:29" ht="15" thickBot="1" x14ac:dyDescent="0.35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</row>
    <row r="695" spans="1:29" ht="15" thickBot="1" x14ac:dyDescent="0.3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</row>
    <row r="696" spans="1:29" ht="15" thickBot="1" x14ac:dyDescent="0.35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</row>
    <row r="697" spans="1:29" ht="15" thickBot="1" x14ac:dyDescent="0.35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</row>
    <row r="698" spans="1:29" ht="15" thickBot="1" x14ac:dyDescent="0.35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</row>
    <row r="699" spans="1:29" ht="15" thickBot="1" x14ac:dyDescent="0.35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</row>
    <row r="700" spans="1:29" ht="15" thickBot="1" x14ac:dyDescent="0.35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</row>
    <row r="701" spans="1:29" ht="15" thickBot="1" x14ac:dyDescent="0.35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</row>
    <row r="702" spans="1:29" ht="15" thickBot="1" x14ac:dyDescent="0.35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</row>
    <row r="703" spans="1:29" ht="15" thickBot="1" x14ac:dyDescent="0.35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</row>
    <row r="704" spans="1:29" ht="15" thickBot="1" x14ac:dyDescent="0.35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</row>
    <row r="705" spans="1:29" ht="15" thickBot="1" x14ac:dyDescent="0.3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</row>
    <row r="706" spans="1:29" ht="15" thickBot="1" x14ac:dyDescent="0.35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</row>
    <row r="707" spans="1:29" ht="15" thickBot="1" x14ac:dyDescent="0.35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</row>
    <row r="708" spans="1:29" ht="15" thickBot="1" x14ac:dyDescent="0.35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</row>
    <row r="709" spans="1:29" ht="15" thickBot="1" x14ac:dyDescent="0.35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</row>
    <row r="710" spans="1:29" ht="15" thickBot="1" x14ac:dyDescent="0.35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</row>
    <row r="711" spans="1:29" ht="15" thickBot="1" x14ac:dyDescent="0.35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</row>
    <row r="712" spans="1:29" ht="15" thickBot="1" x14ac:dyDescent="0.35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</row>
    <row r="713" spans="1:29" ht="15" thickBot="1" x14ac:dyDescent="0.35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</row>
    <row r="714" spans="1:29" ht="15" thickBot="1" x14ac:dyDescent="0.35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</row>
    <row r="715" spans="1:29" ht="15" thickBot="1" x14ac:dyDescent="0.3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</row>
    <row r="716" spans="1:29" ht="15" thickBot="1" x14ac:dyDescent="0.35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</row>
    <row r="717" spans="1:29" ht="15" thickBot="1" x14ac:dyDescent="0.35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</row>
    <row r="718" spans="1:29" ht="15" thickBot="1" x14ac:dyDescent="0.35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</row>
    <row r="719" spans="1:29" ht="15" thickBot="1" x14ac:dyDescent="0.35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</row>
    <row r="720" spans="1:29" ht="15" thickBot="1" x14ac:dyDescent="0.35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</row>
    <row r="721" spans="1:29" ht="15" thickBot="1" x14ac:dyDescent="0.35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</row>
    <row r="722" spans="1:29" ht="15" thickBot="1" x14ac:dyDescent="0.35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</row>
    <row r="723" spans="1:29" ht="15" thickBot="1" x14ac:dyDescent="0.35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</row>
    <row r="724" spans="1:29" ht="15" thickBot="1" x14ac:dyDescent="0.35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</row>
    <row r="725" spans="1:29" ht="15" thickBot="1" x14ac:dyDescent="0.3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</row>
    <row r="726" spans="1:29" ht="15" thickBot="1" x14ac:dyDescent="0.35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</row>
    <row r="727" spans="1:29" ht="15" thickBot="1" x14ac:dyDescent="0.35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</row>
    <row r="728" spans="1:29" ht="15" thickBot="1" x14ac:dyDescent="0.35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</row>
    <row r="729" spans="1:29" ht="15" thickBot="1" x14ac:dyDescent="0.35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</row>
    <row r="730" spans="1:29" ht="15" thickBot="1" x14ac:dyDescent="0.35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</row>
    <row r="731" spans="1:29" ht="15" thickBot="1" x14ac:dyDescent="0.35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</row>
    <row r="732" spans="1:29" ht="15" thickBot="1" x14ac:dyDescent="0.35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</row>
    <row r="733" spans="1:29" ht="15" thickBot="1" x14ac:dyDescent="0.35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</row>
    <row r="734" spans="1:29" ht="15" thickBot="1" x14ac:dyDescent="0.35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</row>
    <row r="735" spans="1:29" ht="15" thickBot="1" x14ac:dyDescent="0.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</row>
    <row r="736" spans="1:29" ht="15" thickBot="1" x14ac:dyDescent="0.35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</row>
    <row r="737" spans="1:29" ht="15" thickBot="1" x14ac:dyDescent="0.35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</row>
    <row r="738" spans="1:29" ht="15" thickBot="1" x14ac:dyDescent="0.35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</row>
    <row r="739" spans="1:29" ht="15" thickBot="1" x14ac:dyDescent="0.35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</row>
    <row r="740" spans="1:29" ht="15" thickBot="1" x14ac:dyDescent="0.35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</row>
    <row r="741" spans="1:29" ht="15" thickBot="1" x14ac:dyDescent="0.35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</row>
    <row r="742" spans="1:29" ht="15" thickBot="1" x14ac:dyDescent="0.35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</row>
    <row r="743" spans="1:29" ht="15" thickBot="1" x14ac:dyDescent="0.35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</row>
    <row r="744" spans="1:29" ht="15" thickBot="1" x14ac:dyDescent="0.35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</row>
    <row r="745" spans="1:29" ht="15" thickBot="1" x14ac:dyDescent="0.3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</row>
    <row r="746" spans="1:29" ht="15" thickBot="1" x14ac:dyDescent="0.35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</row>
    <row r="747" spans="1:29" ht="15" thickBot="1" x14ac:dyDescent="0.35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</row>
    <row r="748" spans="1:29" ht="15" thickBot="1" x14ac:dyDescent="0.35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</row>
    <row r="749" spans="1:29" ht="15" thickBot="1" x14ac:dyDescent="0.35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</row>
    <row r="750" spans="1:29" ht="15" thickBot="1" x14ac:dyDescent="0.35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</row>
    <row r="751" spans="1:29" ht="15" thickBot="1" x14ac:dyDescent="0.35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</row>
    <row r="752" spans="1:29" ht="15" thickBot="1" x14ac:dyDescent="0.35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</row>
    <row r="753" spans="1:29" ht="15" thickBot="1" x14ac:dyDescent="0.35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</row>
    <row r="754" spans="1:29" ht="15" thickBot="1" x14ac:dyDescent="0.35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</row>
    <row r="755" spans="1:29" ht="15" thickBot="1" x14ac:dyDescent="0.3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</row>
    <row r="756" spans="1:29" ht="15" thickBot="1" x14ac:dyDescent="0.35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</row>
    <row r="757" spans="1:29" ht="15" thickBot="1" x14ac:dyDescent="0.35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</row>
    <row r="758" spans="1:29" ht="15" thickBot="1" x14ac:dyDescent="0.35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</row>
    <row r="759" spans="1:29" ht="15" thickBot="1" x14ac:dyDescent="0.35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</row>
    <row r="760" spans="1:29" ht="15" thickBot="1" x14ac:dyDescent="0.35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</row>
    <row r="761" spans="1:29" ht="15" thickBot="1" x14ac:dyDescent="0.35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</row>
    <row r="762" spans="1:29" ht="15" thickBot="1" x14ac:dyDescent="0.35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</row>
    <row r="763" spans="1:29" ht="15" thickBot="1" x14ac:dyDescent="0.35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</row>
    <row r="764" spans="1:29" ht="15" thickBot="1" x14ac:dyDescent="0.35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</row>
    <row r="765" spans="1:29" ht="15" thickBot="1" x14ac:dyDescent="0.3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</row>
    <row r="766" spans="1:29" ht="15" thickBot="1" x14ac:dyDescent="0.35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</row>
    <row r="767" spans="1:29" ht="15" thickBot="1" x14ac:dyDescent="0.35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</row>
    <row r="768" spans="1:29" ht="15" thickBot="1" x14ac:dyDescent="0.35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</row>
    <row r="769" spans="1:29" ht="15" thickBot="1" x14ac:dyDescent="0.35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</row>
    <row r="770" spans="1:29" ht="15" thickBot="1" x14ac:dyDescent="0.35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</row>
    <row r="771" spans="1:29" ht="15" thickBot="1" x14ac:dyDescent="0.35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</row>
    <row r="772" spans="1:29" ht="15" thickBot="1" x14ac:dyDescent="0.35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</row>
    <row r="773" spans="1:29" ht="15" thickBot="1" x14ac:dyDescent="0.35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</row>
    <row r="774" spans="1:29" ht="15" thickBot="1" x14ac:dyDescent="0.35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</row>
    <row r="775" spans="1:29" ht="15" thickBot="1" x14ac:dyDescent="0.3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</row>
    <row r="776" spans="1:29" ht="15" thickBot="1" x14ac:dyDescent="0.35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</row>
    <row r="777" spans="1:29" ht="15" thickBot="1" x14ac:dyDescent="0.35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</row>
    <row r="778" spans="1:29" ht="15" thickBot="1" x14ac:dyDescent="0.35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</row>
    <row r="779" spans="1:29" ht="15" thickBot="1" x14ac:dyDescent="0.35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</row>
    <row r="780" spans="1:29" ht="15" thickBot="1" x14ac:dyDescent="0.35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</row>
    <row r="781" spans="1:29" ht="15" thickBot="1" x14ac:dyDescent="0.35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</row>
    <row r="782" spans="1:29" ht="15" thickBot="1" x14ac:dyDescent="0.35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</row>
    <row r="783" spans="1:29" ht="15" thickBot="1" x14ac:dyDescent="0.35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</row>
    <row r="784" spans="1:29" ht="15" thickBot="1" x14ac:dyDescent="0.35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</row>
    <row r="785" spans="1:29" ht="15" thickBot="1" x14ac:dyDescent="0.3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</row>
    <row r="786" spans="1:29" ht="15" thickBot="1" x14ac:dyDescent="0.35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</row>
    <row r="787" spans="1:29" ht="15" thickBot="1" x14ac:dyDescent="0.35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</row>
    <row r="788" spans="1:29" ht="15" thickBot="1" x14ac:dyDescent="0.35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</row>
    <row r="789" spans="1:29" ht="15" thickBot="1" x14ac:dyDescent="0.35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</row>
    <row r="790" spans="1:29" ht="15" thickBot="1" x14ac:dyDescent="0.35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</row>
    <row r="791" spans="1:29" ht="15" thickBot="1" x14ac:dyDescent="0.35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</row>
    <row r="792" spans="1:29" ht="15" thickBot="1" x14ac:dyDescent="0.35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</row>
    <row r="793" spans="1:29" ht="15" thickBot="1" x14ac:dyDescent="0.35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</row>
    <row r="794" spans="1:29" ht="15" thickBot="1" x14ac:dyDescent="0.35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</row>
    <row r="795" spans="1:29" ht="15" thickBot="1" x14ac:dyDescent="0.3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</row>
    <row r="796" spans="1:29" ht="15" thickBot="1" x14ac:dyDescent="0.35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</row>
    <row r="797" spans="1:29" ht="15" thickBot="1" x14ac:dyDescent="0.35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</row>
    <row r="798" spans="1:29" ht="15" thickBot="1" x14ac:dyDescent="0.35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</row>
    <row r="799" spans="1:29" ht="15" thickBot="1" x14ac:dyDescent="0.35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</row>
    <row r="800" spans="1:29" ht="15" thickBot="1" x14ac:dyDescent="0.35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</row>
    <row r="801" spans="1:29" ht="15" thickBot="1" x14ac:dyDescent="0.35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</row>
    <row r="802" spans="1:29" ht="15" thickBot="1" x14ac:dyDescent="0.35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</row>
    <row r="803" spans="1:29" ht="15" thickBot="1" x14ac:dyDescent="0.35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</row>
    <row r="804" spans="1:29" ht="15" thickBot="1" x14ac:dyDescent="0.35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</row>
    <row r="805" spans="1:29" ht="15" thickBot="1" x14ac:dyDescent="0.3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</row>
    <row r="806" spans="1:29" ht="15" thickBot="1" x14ac:dyDescent="0.35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</row>
    <row r="807" spans="1:29" ht="15" thickBot="1" x14ac:dyDescent="0.35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</row>
    <row r="808" spans="1:29" ht="15" thickBot="1" x14ac:dyDescent="0.35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</row>
    <row r="809" spans="1:29" ht="15" thickBot="1" x14ac:dyDescent="0.35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</row>
    <row r="810" spans="1:29" ht="15" thickBot="1" x14ac:dyDescent="0.35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</row>
    <row r="811" spans="1:29" ht="15" thickBot="1" x14ac:dyDescent="0.35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</row>
    <row r="812" spans="1:29" ht="15" thickBot="1" x14ac:dyDescent="0.35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</row>
    <row r="813" spans="1:29" ht="15" thickBot="1" x14ac:dyDescent="0.35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</row>
    <row r="814" spans="1:29" ht="15" thickBot="1" x14ac:dyDescent="0.35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</row>
    <row r="815" spans="1:29" ht="15" thickBot="1" x14ac:dyDescent="0.3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</row>
    <row r="816" spans="1:29" ht="15" thickBot="1" x14ac:dyDescent="0.35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</row>
    <row r="817" spans="1:29" ht="15" thickBot="1" x14ac:dyDescent="0.35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</row>
    <row r="818" spans="1:29" ht="15" thickBot="1" x14ac:dyDescent="0.35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</row>
    <row r="819" spans="1:29" ht="15" thickBot="1" x14ac:dyDescent="0.35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</row>
    <row r="820" spans="1:29" ht="15" thickBot="1" x14ac:dyDescent="0.35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</row>
    <row r="821" spans="1:29" ht="15" thickBot="1" x14ac:dyDescent="0.35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</row>
    <row r="822" spans="1:29" ht="15" thickBot="1" x14ac:dyDescent="0.35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</row>
    <row r="823" spans="1:29" ht="15" thickBot="1" x14ac:dyDescent="0.35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</row>
    <row r="824" spans="1:29" ht="15" thickBot="1" x14ac:dyDescent="0.35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</row>
    <row r="825" spans="1:29" ht="15" thickBot="1" x14ac:dyDescent="0.3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</row>
    <row r="826" spans="1:29" ht="15" thickBot="1" x14ac:dyDescent="0.35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</row>
    <row r="827" spans="1:29" ht="15" thickBot="1" x14ac:dyDescent="0.35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</row>
    <row r="828" spans="1:29" ht="15" thickBot="1" x14ac:dyDescent="0.35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</row>
    <row r="829" spans="1:29" ht="15" thickBot="1" x14ac:dyDescent="0.35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</row>
    <row r="830" spans="1:29" ht="15" thickBot="1" x14ac:dyDescent="0.35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</row>
    <row r="831" spans="1:29" ht="15" thickBot="1" x14ac:dyDescent="0.35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</row>
    <row r="832" spans="1:29" ht="15" thickBot="1" x14ac:dyDescent="0.35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</row>
    <row r="833" spans="1:29" ht="15" thickBot="1" x14ac:dyDescent="0.35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</row>
    <row r="834" spans="1:29" ht="15" thickBot="1" x14ac:dyDescent="0.35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</row>
    <row r="835" spans="1:29" ht="15" thickBot="1" x14ac:dyDescent="0.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</row>
    <row r="836" spans="1:29" ht="15" thickBot="1" x14ac:dyDescent="0.35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</row>
    <row r="837" spans="1:29" ht="15" thickBot="1" x14ac:dyDescent="0.35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</row>
    <row r="838" spans="1:29" ht="15" thickBot="1" x14ac:dyDescent="0.35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</row>
    <row r="839" spans="1:29" ht="15" thickBot="1" x14ac:dyDescent="0.35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</row>
    <row r="840" spans="1:29" ht="15" thickBot="1" x14ac:dyDescent="0.35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</row>
    <row r="841" spans="1:29" ht="15" thickBot="1" x14ac:dyDescent="0.35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</row>
    <row r="842" spans="1:29" ht="15" thickBot="1" x14ac:dyDescent="0.35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</row>
    <row r="843" spans="1:29" ht="15" thickBot="1" x14ac:dyDescent="0.35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</row>
    <row r="844" spans="1:29" ht="15" thickBot="1" x14ac:dyDescent="0.35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</row>
    <row r="845" spans="1:29" ht="15" thickBot="1" x14ac:dyDescent="0.3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</row>
    <row r="846" spans="1:29" ht="15" thickBot="1" x14ac:dyDescent="0.35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</row>
    <row r="847" spans="1:29" ht="15" thickBot="1" x14ac:dyDescent="0.35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</row>
    <row r="848" spans="1:29" ht="15" thickBot="1" x14ac:dyDescent="0.35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</row>
    <row r="849" spans="1:29" ht="15" thickBot="1" x14ac:dyDescent="0.35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</row>
    <row r="850" spans="1:29" ht="15" thickBot="1" x14ac:dyDescent="0.35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</row>
    <row r="851" spans="1:29" ht="15" thickBot="1" x14ac:dyDescent="0.35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</row>
    <row r="852" spans="1:29" ht="15" thickBot="1" x14ac:dyDescent="0.35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</row>
    <row r="853" spans="1:29" ht="15" thickBot="1" x14ac:dyDescent="0.35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</row>
    <row r="854" spans="1:29" ht="15" thickBot="1" x14ac:dyDescent="0.35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</row>
    <row r="855" spans="1:29" ht="15" thickBot="1" x14ac:dyDescent="0.3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</row>
    <row r="856" spans="1:29" ht="15" thickBot="1" x14ac:dyDescent="0.35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</row>
    <row r="857" spans="1:29" ht="15" thickBot="1" x14ac:dyDescent="0.35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</row>
    <row r="858" spans="1:29" ht="15" thickBot="1" x14ac:dyDescent="0.35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</row>
    <row r="859" spans="1:29" ht="15" thickBot="1" x14ac:dyDescent="0.35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</row>
    <row r="860" spans="1:29" ht="15" thickBot="1" x14ac:dyDescent="0.35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</row>
    <row r="861" spans="1:29" ht="15" thickBot="1" x14ac:dyDescent="0.35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</row>
    <row r="862" spans="1:29" ht="15" thickBot="1" x14ac:dyDescent="0.35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</row>
    <row r="863" spans="1:29" ht="15" thickBot="1" x14ac:dyDescent="0.35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</row>
    <row r="864" spans="1:29" ht="15" thickBot="1" x14ac:dyDescent="0.35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</row>
    <row r="865" spans="1:29" ht="15" thickBot="1" x14ac:dyDescent="0.3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</row>
    <row r="866" spans="1:29" ht="15" thickBot="1" x14ac:dyDescent="0.35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</row>
    <row r="867" spans="1:29" ht="15" thickBot="1" x14ac:dyDescent="0.35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</row>
    <row r="868" spans="1:29" ht="15" thickBot="1" x14ac:dyDescent="0.35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</row>
    <row r="869" spans="1:29" ht="15" thickBot="1" x14ac:dyDescent="0.35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</row>
    <row r="870" spans="1:29" ht="15" thickBot="1" x14ac:dyDescent="0.35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</row>
    <row r="871" spans="1:29" ht="15" thickBot="1" x14ac:dyDescent="0.35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</row>
    <row r="872" spans="1:29" ht="15" thickBot="1" x14ac:dyDescent="0.35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</row>
    <row r="873" spans="1:29" ht="15" thickBot="1" x14ac:dyDescent="0.35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</row>
    <row r="874" spans="1:29" ht="15" thickBot="1" x14ac:dyDescent="0.35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</row>
    <row r="875" spans="1:29" ht="15" thickBot="1" x14ac:dyDescent="0.3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</row>
    <row r="876" spans="1:29" ht="15" thickBot="1" x14ac:dyDescent="0.35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</row>
    <row r="877" spans="1:29" ht="15" thickBot="1" x14ac:dyDescent="0.35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</row>
    <row r="878" spans="1:29" ht="15" thickBot="1" x14ac:dyDescent="0.35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</row>
    <row r="879" spans="1:29" ht="15" thickBot="1" x14ac:dyDescent="0.35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</row>
    <row r="880" spans="1:29" ht="15" thickBot="1" x14ac:dyDescent="0.35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</row>
    <row r="881" spans="1:29" ht="15" thickBot="1" x14ac:dyDescent="0.35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</row>
    <row r="882" spans="1:29" ht="15" thickBot="1" x14ac:dyDescent="0.35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</row>
    <row r="883" spans="1:29" ht="15" thickBot="1" x14ac:dyDescent="0.35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</row>
    <row r="884" spans="1:29" ht="15" thickBot="1" x14ac:dyDescent="0.35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</row>
    <row r="885" spans="1:29" ht="15" thickBot="1" x14ac:dyDescent="0.3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</row>
    <row r="886" spans="1:29" ht="15" thickBot="1" x14ac:dyDescent="0.35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</row>
    <row r="887" spans="1:29" ht="15" thickBot="1" x14ac:dyDescent="0.35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</row>
    <row r="888" spans="1:29" ht="15" thickBot="1" x14ac:dyDescent="0.35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</row>
    <row r="889" spans="1:29" ht="15" thickBot="1" x14ac:dyDescent="0.35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</row>
    <row r="890" spans="1:29" ht="15" thickBot="1" x14ac:dyDescent="0.35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</row>
    <row r="891" spans="1:29" ht="15" thickBot="1" x14ac:dyDescent="0.35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</row>
    <row r="892" spans="1:29" ht="15" thickBot="1" x14ac:dyDescent="0.35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</row>
    <row r="893" spans="1:29" ht="15" thickBot="1" x14ac:dyDescent="0.35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</row>
    <row r="894" spans="1:29" ht="15" thickBot="1" x14ac:dyDescent="0.35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</row>
    <row r="895" spans="1:29" ht="15" thickBot="1" x14ac:dyDescent="0.3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</row>
    <row r="896" spans="1:29" ht="15" thickBot="1" x14ac:dyDescent="0.35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</row>
    <row r="897" spans="1:29" ht="15" thickBot="1" x14ac:dyDescent="0.35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</row>
    <row r="898" spans="1:29" ht="15" thickBot="1" x14ac:dyDescent="0.35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</row>
    <row r="899" spans="1:29" ht="15" thickBot="1" x14ac:dyDescent="0.35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</row>
    <row r="900" spans="1:29" ht="15" thickBot="1" x14ac:dyDescent="0.35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</row>
    <row r="901" spans="1:29" ht="15" thickBot="1" x14ac:dyDescent="0.35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</row>
    <row r="902" spans="1:29" ht="15" thickBot="1" x14ac:dyDescent="0.35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</row>
    <row r="903" spans="1:29" ht="15" thickBot="1" x14ac:dyDescent="0.35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</row>
    <row r="904" spans="1:29" ht="15" thickBot="1" x14ac:dyDescent="0.35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</row>
    <row r="905" spans="1:29" ht="15" thickBot="1" x14ac:dyDescent="0.3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</row>
    <row r="906" spans="1:29" ht="15" thickBot="1" x14ac:dyDescent="0.35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</row>
    <row r="907" spans="1:29" ht="15" thickBot="1" x14ac:dyDescent="0.35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</row>
    <row r="908" spans="1:29" ht="15" thickBot="1" x14ac:dyDescent="0.35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</row>
    <row r="909" spans="1:29" ht="15" thickBot="1" x14ac:dyDescent="0.35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</row>
    <row r="910" spans="1:29" ht="15" thickBot="1" x14ac:dyDescent="0.35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</row>
    <row r="911" spans="1:29" ht="15" thickBot="1" x14ac:dyDescent="0.35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</row>
    <row r="912" spans="1:29" ht="15" thickBot="1" x14ac:dyDescent="0.35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</row>
    <row r="913" spans="1:29" ht="15" thickBot="1" x14ac:dyDescent="0.35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</row>
    <row r="914" spans="1:29" ht="15" thickBot="1" x14ac:dyDescent="0.35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</row>
    <row r="915" spans="1:29" ht="15" thickBot="1" x14ac:dyDescent="0.3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</row>
    <row r="916" spans="1:29" ht="15" thickBot="1" x14ac:dyDescent="0.35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</row>
    <row r="917" spans="1:29" ht="15" thickBot="1" x14ac:dyDescent="0.35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</row>
    <row r="918" spans="1:29" ht="15" thickBot="1" x14ac:dyDescent="0.35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</row>
    <row r="919" spans="1:29" ht="15" thickBot="1" x14ac:dyDescent="0.35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</row>
    <row r="920" spans="1:29" ht="15" thickBot="1" x14ac:dyDescent="0.35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</row>
    <row r="921" spans="1:29" ht="15" thickBot="1" x14ac:dyDescent="0.35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</row>
    <row r="922" spans="1:29" ht="15" thickBot="1" x14ac:dyDescent="0.35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</row>
    <row r="923" spans="1:29" ht="15" thickBot="1" x14ac:dyDescent="0.35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</row>
    <row r="924" spans="1:29" ht="15" thickBot="1" x14ac:dyDescent="0.35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</row>
    <row r="925" spans="1:29" ht="15" thickBot="1" x14ac:dyDescent="0.3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</row>
    <row r="926" spans="1:29" ht="15" thickBot="1" x14ac:dyDescent="0.35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</row>
    <row r="927" spans="1:29" ht="15" thickBot="1" x14ac:dyDescent="0.35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</row>
    <row r="928" spans="1:29" ht="15" thickBot="1" x14ac:dyDescent="0.35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</row>
    <row r="929" spans="1:29" ht="15" thickBot="1" x14ac:dyDescent="0.35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</row>
    <row r="930" spans="1:29" ht="15" thickBot="1" x14ac:dyDescent="0.35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</row>
    <row r="931" spans="1:29" ht="15" thickBot="1" x14ac:dyDescent="0.35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</row>
    <row r="932" spans="1:29" ht="15" thickBot="1" x14ac:dyDescent="0.35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</row>
    <row r="933" spans="1:29" ht="15" thickBot="1" x14ac:dyDescent="0.35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</row>
    <row r="934" spans="1:29" ht="15" thickBot="1" x14ac:dyDescent="0.35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</row>
    <row r="935" spans="1:29" ht="15" thickBot="1" x14ac:dyDescent="0.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</row>
    <row r="936" spans="1:29" ht="15" thickBot="1" x14ac:dyDescent="0.35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</row>
    <row r="937" spans="1:29" ht="15" thickBot="1" x14ac:dyDescent="0.35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</row>
    <row r="938" spans="1:29" ht="15" thickBot="1" x14ac:dyDescent="0.35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</row>
    <row r="939" spans="1:29" ht="15" thickBot="1" x14ac:dyDescent="0.35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</row>
    <row r="940" spans="1:29" ht="15" thickBot="1" x14ac:dyDescent="0.35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</row>
    <row r="941" spans="1:29" ht="15" thickBot="1" x14ac:dyDescent="0.35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</row>
    <row r="942" spans="1:29" ht="15" thickBot="1" x14ac:dyDescent="0.35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</row>
    <row r="943" spans="1:29" ht="15" thickBot="1" x14ac:dyDescent="0.35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</row>
    <row r="944" spans="1:29" ht="15" thickBot="1" x14ac:dyDescent="0.35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</row>
    <row r="945" spans="1:29" ht="15" thickBot="1" x14ac:dyDescent="0.3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</row>
    <row r="946" spans="1:29" ht="15" thickBot="1" x14ac:dyDescent="0.35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</row>
    <row r="947" spans="1:29" ht="15" thickBot="1" x14ac:dyDescent="0.35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</row>
    <row r="948" spans="1:29" ht="15" thickBot="1" x14ac:dyDescent="0.35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</row>
    <row r="949" spans="1:29" ht="15" thickBot="1" x14ac:dyDescent="0.35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</row>
    <row r="950" spans="1:29" ht="15" thickBot="1" x14ac:dyDescent="0.35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</row>
    <row r="951" spans="1:29" ht="15" thickBot="1" x14ac:dyDescent="0.35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</row>
    <row r="952" spans="1:29" ht="15" thickBot="1" x14ac:dyDescent="0.35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</row>
    <row r="953" spans="1:29" ht="15" thickBot="1" x14ac:dyDescent="0.35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</row>
    <row r="954" spans="1:29" ht="15" thickBot="1" x14ac:dyDescent="0.35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</row>
    <row r="955" spans="1:29" ht="15" thickBot="1" x14ac:dyDescent="0.3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</row>
    <row r="956" spans="1:29" ht="15" thickBot="1" x14ac:dyDescent="0.35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</row>
    <row r="957" spans="1:29" ht="15" thickBot="1" x14ac:dyDescent="0.35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</row>
    <row r="958" spans="1:29" ht="15" thickBot="1" x14ac:dyDescent="0.35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</row>
    <row r="959" spans="1:29" ht="15" thickBot="1" x14ac:dyDescent="0.35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</row>
    <row r="960" spans="1:29" ht="15" thickBot="1" x14ac:dyDescent="0.35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</row>
    <row r="961" spans="1:29" ht="15" thickBot="1" x14ac:dyDescent="0.35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</row>
    <row r="962" spans="1:29" ht="15" thickBot="1" x14ac:dyDescent="0.35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</row>
    <row r="963" spans="1:29" ht="15" thickBot="1" x14ac:dyDescent="0.35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</row>
    <row r="964" spans="1:29" ht="15" thickBot="1" x14ac:dyDescent="0.35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</row>
    <row r="965" spans="1:29" ht="15" thickBot="1" x14ac:dyDescent="0.3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</row>
    <row r="966" spans="1:29" ht="15" thickBot="1" x14ac:dyDescent="0.35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</row>
    <row r="967" spans="1:29" ht="15" thickBot="1" x14ac:dyDescent="0.35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</row>
    <row r="968" spans="1:29" ht="15" thickBot="1" x14ac:dyDescent="0.35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</row>
    <row r="969" spans="1:29" ht="15" thickBot="1" x14ac:dyDescent="0.35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</row>
    <row r="970" spans="1:29" ht="15" thickBot="1" x14ac:dyDescent="0.35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</row>
    <row r="971" spans="1:29" ht="15" thickBot="1" x14ac:dyDescent="0.35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</row>
    <row r="972" spans="1:29" ht="15" thickBot="1" x14ac:dyDescent="0.35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</row>
    <row r="973" spans="1:29" ht="15" thickBot="1" x14ac:dyDescent="0.35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</row>
    <row r="974" spans="1:29" ht="15" thickBot="1" x14ac:dyDescent="0.35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</row>
    <row r="975" spans="1:29" ht="15" thickBot="1" x14ac:dyDescent="0.3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</row>
    <row r="976" spans="1:29" ht="15" thickBot="1" x14ac:dyDescent="0.35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</row>
    <row r="977" spans="1:29" ht="15" thickBot="1" x14ac:dyDescent="0.35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</row>
    <row r="978" spans="1:29" ht="15" thickBot="1" x14ac:dyDescent="0.35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</row>
    <row r="979" spans="1:29" ht="15" thickBot="1" x14ac:dyDescent="0.35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</row>
    <row r="980" spans="1:29" ht="15" thickBot="1" x14ac:dyDescent="0.35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</row>
    <row r="981" spans="1:29" ht="15" thickBot="1" x14ac:dyDescent="0.35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</row>
    <row r="982" spans="1:29" ht="15" thickBot="1" x14ac:dyDescent="0.35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</row>
    <row r="983" spans="1:29" ht="15" thickBot="1" x14ac:dyDescent="0.35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</row>
    <row r="984" spans="1:29" ht="15" thickBot="1" x14ac:dyDescent="0.35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</row>
    <row r="985" spans="1:29" ht="15" thickBot="1" x14ac:dyDescent="0.3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</row>
    <row r="986" spans="1:29" ht="15" thickBot="1" x14ac:dyDescent="0.35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</row>
    <row r="987" spans="1:29" ht="15" thickBot="1" x14ac:dyDescent="0.35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</row>
    <row r="988" spans="1:29" ht="15" thickBot="1" x14ac:dyDescent="0.35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</row>
    <row r="989" spans="1:29" ht="15" thickBot="1" x14ac:dyDescent="0.35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</row>
    <row r="990" spans="1:29" ht="15" thickBot="1" x14ac:dyDescent="0.35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</row>
    <row r="991" spans="1:29" ht="15" thickBot="1" x14ac:dyDescent="0.35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</row>
    <row r="992" spans="1:29" ht="15" thickBot="1" x14ac:dyDescent="0.35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</row>
    <row r="993" spans="1:29" ht="15" thickBot="1" x14ac:dyDescent="0.35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</row>
    <row r="994" spans="1:29" ht="15" thickBot="1" x14ac:dyDescent="0.35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</row>
    <row r="995" spans="1:29" ht="15" thickBot="1" x14ac:dyDescent="0.3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</row>
    <row r="996" spans="1:29" ht="15" thickBot="1" x14ac:dyDescent="0.35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</row>
    <row r="997" spans="1:29" ht="15" thickBot="1" x14ac:dyDescent="0.35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</row>
    <row r="998" spans="1:29" ht="15" thickBot="1" x14ac:dyDescent="0.35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</row>
    <row r="999" spans="1:29" ht="15" thickBot="1" x14ac:dyDescent="0.35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</row>
    <row r="1000" spans="1:29" ht="15" thickBot="1" x14ac:dyDescent="0.35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</row>
    <row r="1001" spans="1:29" ht="15" thickBot="1" x14ac:dyDescent="0.35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</row>
    <row r="1002" spans="1:29" ht="15" thickBot="1" x14ac:dyDescent="0.35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</row>
    <row r="1003" spans="1:29" ht="15" thickBot="1" x14ac:dyDescent="0.35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</row>
    <row r="1004" spans="1:29" ht="15" thickBot="1" x14ac:dyDescent="0.35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7"/>
    </row>
    <row r="1005" spans="1:29" ht="15" thickBot="1" x14ac:dyDescent="0.35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</row>
    <row r="1006" spans="1:29" ht="15" thickBot="1" x14ac:dyDescent="0.35">
      <c r="A1006" s="17"/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17"/>
    </row>
    <row r="1007" spans="1:29" ht="15" thickBot="1" x14ac:dyDescent="0.35">
      <c r="A1007" s="17"/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17"/>
    </row>
    <row r="1008" spans="1:29" ht="15" thickBot="1" x14ac:dyDescent="0.35">
      <c r="A1008" s="17"/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17"/>
    </row>
    <row r="1009" spans="1:29" ht="15" thickBot="1" x14ac:dyDescent="0.35">
      <c r="A1009" s="17"/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7"/>
    </row>
    <row r="1010" spans="1:29" ht="15" thickBot="1" x14ac:dyDescent="0.35">
      <c r="A1010" s="17"/>
      <c r="B1010" s="17"/>
      <c r="C1010" s="17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  <c r="AC1010" s="17"/>
    </row>
    <row r="1011" spans="1:29" ht="15" thickBot="1" x14ac:dyDescent="0.35">
      <c r="A1011" s="17"/>
      <c r="B1011" s="17"/>
      <c r="C1011" s="17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17"/>
    </row>
    <row r="1012" spans="1:29" ht="15" thickBot="1" x14ac:dyDescent="0.35">
      <c r="A1012" s="17"/>
      <c r="B1012" s="17"/>
      <c r="C1012" s="17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  <c r="AC1012" s="17"/>
    </row>
    <row r="1013" spans="1:29" ht="15" thickBot="1" x14ac:dyDescent="0.35">
      <c r="A1013" s="17"/>
      <c r="B1013" s="17"/>
      <c r="C1013" s="17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17"/>
    </row>
  </sheetData>
  <mergeCells count="26">
    <mergeCell ref="S2:S3"/>
    <mergeCell ref="T2:T3"/>
    <mergeCell ref="M12:M13"/>
    <mergeCell ref="O2:O3"/>
    <mergeCell ref="P2:P3"/>
    <mergeCell ref="Q2:Q3"/>
    <mergeCell ref="R2:R3"/>
    <mergeCell ref="G12:G13"/>
    <mergeCell ref="I12:I13"/>
    <mergeCell ref="J12:J13"/>
    <mergeCell ref="K12:K13"/>
    <mergeCell ref="L12:L13"/>
    <mergeCell ref="W12:W13"/>
    <mergeCell ref="X12:X13"/>
    <mergeCell ref="Y12:Y13"/>
    <mergeCell ref="N12:N13"/>
    <mergeCell ref="O12:O13"/>
    <mergeCell ref="P12:P13"/>
    <mergeCell ref="Q12:Q13"/>
    <mergeCell ref="R12:R13"/>
    <mergeCell ref="S12:S13"/>
    <mergeCell ref="S16:S17"/>
    <mergeCell ref="T16:T17"/>
    <mergeCell ref="T12:T13"/>
    <mergeCell ref="U12:U13"/>
    <mergeCell ref="V12:V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8A673-6B51-4183-9641-F7AF44C71DA8}">
  <dimension ref="A1:B97"/>
  <sheetViews>
    <sheetView topLeftCell="A41" workbookViewId="0">
      <selection activeCell="B101" sqref="B101"/>
    </sheetView>
  </sheetViews>
  <sheetFormatPr baseColWidth="10" defaultRowHeight="14.4" x14ac:dyDescent="0.3"/>
  <cols>
    <col min="1" max="1" width="36.44140625" bestFit="1" customWidth="1"/>
    <col min="2" max="2" width="68.44140625" bestFit="1" customWidth="1"/>
  </cols>
  <sheetData>
    <row r="1" spans="1:2" x14ac:dyDescent="0.3">
      <c r="A1" t="s">
        <v>3</v>
      </c>
      <c r="B1" t="s">
        <v>4</v>
      </c>
    </row>
    <row r="2" spans="1:2" ht="15.6" x14ac:dyDescent="0.3">
      <c r="A2" s="2" t="s">
        <v>25</v>
      </c>
      <c r="B2" t="s">
        <v>76</v>
      </c>
    </row>
    <row r="3" spans="1:2" x14ac:dyDescent="0.3">
      <c r="A3" s="1" t="s">
        <v>27</v>
      </c>
      <c r="B3" s="3" t="s">
        <v>26</v>
      </c>
    </row>
    <row r="4" spans="1:2" x14ac:dyDescent="0.3">
      <c r="A4" s="1" t="s">
        <v>11</v>
      </c>
      <c r="B4" s="3" t="s">
        <v>71</v>
      </c>
    </row>
    <row r="5" spans="1:2" ht="16.8" x14ac:dyDescent="0.4">
      <c r="A5" s="4" t="s">
        <v>17</v>
      </c>
      <c r="B5" s="3" t="s">
        <v>40</v>
      </c>
    </row>
    <row r="6" spans="1:2" ht="16.8" x14ac:dyDescent="0.4">
      <c r="A6" s="4" t="s">
        <v>49</v>
      </c>
      <c r="B6" s="3" t="s">
        <v>75</v>
      </c>
    </row>
    <row r="7" spans="1:2" ht="16.8" x14ac:dyDescent="0.4">
      <c r="A7" s="4" t="s">
        <v>77</v>
      </c>
      <c r="B7" s="5" t="s">
        <v>10</v>
      </c>
    </row>
    <row r="8" spans="1:2" ht="16.8" x14ac:dyDescent="0.4">
      <c r="A8" s="4" t="s">
        <v>59</v>
      </c>
      <c r="B8" s="5" t="s">
        <v>18</v>
      </c>
    </row>
    <row r="9" spans="1:2" ht="16.8" x14ac:dyDescent="0.4">
      <c r="A9" s="4" t="s">
        <v>61</v>
      </c>
      <c r="B9" s="3" t="s">
        <v>19</v>
      </c>
    </row>
    <row r="10" spans="1:2" ht="16.8" x14ac:dyDescent="0.4">
      <c r="A10" s="4" t="s">
        <v>21</v>
      </c>
      <c r="B10" s="3" t="s">
        <v>24</v>
      </c>
    </row>
    <row r="11" spans="1:2" ht="16.8" x14ac:dyDescent="0.4">
      <c r="A11" s="4" t="s">
        <v>71</v>
      </c>
      <c r="B11" s="3" t="s">
        <v>13</v>
      </c>
    </row>
    <row r="12" spans="1:2" ht="16.8" x14ac:dyDescent="0.4">
      <c r="A12" s="4" t="s">
        <v>72</v>
      </c>
      <c r="B12" s="3" t="s">
        <v>39</v>
      </c>
    </row>
    <row r="13" spans="1:2" ht="19.2" x14ac:dyDescent="0.45">
      <c r="A13" s="6" t="s">
        <v>73</v>
      </c>
      <c r="B13" s="3" t="s">
        <v>0</v>
      </c>
    </row>
    <row r="14" spans="1:2" ht="16.8" x14ac:dyDescent="0.4">
      <c r="A14" s="4" t="s">
        <v>78</v>
      </c>
      <c r="B14" s="3" t="s">
        <v>50</v>
      </c>
    </row>
    <row r="15" spans="1:2" ht="16.8" x14ac:dyDescent="0.4">
      <c r="A15" s="4" t="s">
        <v>23</v>
      </c>
      <c r="B15" s="3" t="s">
        <v>51</v>
      </c>
    </row>
    <row r="16" spans="1:2" ht="16.8" x14ac:dyDescent="0.4">
      <c r="A16" s="4" t="s">
        <v>7</v>
      </c>
      <c r="B16" s="3" t="s">
        <v>64</v>
      </c>
    </row>
    <row r="17" spans="2:2" x14ac:dyDescent="0.3">
      <c r="B17" s="5" t="s">
        <v>35</v>
      </c>
    </row>
    <row r="18" spans="2:2" x14ac:dyDescent="0.3">
      <c r="B18" s="3" t="s">
        <v>63</v>
      </c>
    </row>
    <row r="19" spans="2:2" x14ac:dyDescent="0.3">
      <c r="B19" s="3" t="s">
        <v>79</v>
      </c>
    </row>
    <row r="20" spans="2:2" x14ac:dyDescent="0.3">
      <c r="B20" s="3" t="s">
        <v>29</v>
      </c>
    </row>
    <row r="21" spans="2:2" x14ac:dyDescent="0.3">
      <c r="B21" s="5" t="s">
        <v>30</v>
      </c>
    </row>
    <row r="22" spans="2:2" x14ac:dyDescent="0.3">
      <c r="B22" s="3" t="s">
        <v>8</v>
      </c>
    </row>
    <row r="23" spans="2:2" x14ac:dyDescent="0.3">
      <c r="B23" s="3" t="s">
        <v>31</v>
      </c>
    </row>
    <row r="24" spans="2:2" x14ac:dyDescent="0.3">
      <c r="B24" s="3" t="s">
        <v>66</v>
      </c>
    </row>
    <row r="25" spans="2:2" x14ac:dyDescent="0.3">
      <c r="B25" s="5" t="s">
        <v>45</v>
      </c>
    </row>
    <row r="26" spans="2:2" x14ac:dyDescent="0.3">
      <c r="B26" s="5" t="s">
        <v>32</v>
      </c>
    </row>
    <row r="27" spans="2:2" x14ac:dyDescent="0.3">
      <c r="B27" s="5" t="s">
        <v>47</v>
      </c>
    </row>
    <row r="28" spans="2:2" x14ac:dyDescent="0.3">
      <c r="B28" s="5" t="s">
        <v>48</v>
      </c>
    </row>
    <row r="29" spans="2:2" x14ac:dyDescent="0.3">
      <c r="B29" s="3" t="s">
        <v>80</v>
      </c>
    </row>
    <row r="30" spans="2:2" x14ac:dyDescent="0.3">
      <c r="B30" s="5" t="s">
        <v>81</v>
      </c>
    </row>
    <row r="31" spans="2:2" x14ac:dyDescent="0.3">
      <c r="B31" s="3" t="s">
        <v>36</v>
      </c>
    </row>
    <row r="32" spans="2:2" x14ac:dyDescent="0.3">
      <c r="B32" s="3" t="s">
        <v>82</v>
      </c>
    </row>
    <row r="33" spans="2:2" x14ac:dyDescent="0.3">
      <c r="B33" s="3" t="s">
        <v>15</v>
      </c>
    </row>
    <row r="34" spans="2:2" x14ac:dyDescent="0.3">
      <c r="B34" s="3" t="s">
        <v>83</v>
      </c>
    </row>
    <row r="35" spans="2:2" x14ac:dyDescent="0.3">
      <c r="B35" s="3" t="s">
        <v>84</v>
      </c>
    </row>
    <row r="36" spans="2:2" x14ac:dyDescent="0.3">
      <c r="B36" s="3" t="s">
        <v>57</v>
      </c>
    </row>
    <row r="37" spans="2:2" x14ac:dyDescent="0.3">
      <c r="B37" s="5" t="s">
        <v>58</v>
      </c>
    </row>
    <row r="38" spans="2:2" x14ac:dyDescent="0.3">
      <c r="B38" s="5" t="s">
        <v>85</v>
      </c>
    </row>
    <row r="39" spans="2:2" x14ac:dyDescent="0.3">
      <c r="B39" s="5" t="s">
        <v>86</v>
      </c>
    </row>
    <row r="40" spans="2:2" x14ac:dyDescent="0.3">
      <c r="B40" s="5" t="s">
        <v>37</v>
      </c>
    </row>
    <row r="41" spans="2:2" x14ac:dyDescent="0.3">
      <c r="B41" s="5" t="s">
        <v>74</v>
      </c>
    </row>
    <row r="42" spans="2:2" x14ac:dyDescent="0.3">
      <c r="B42" s="5" t="s">
        <v>87</v>
      </c>
    </row>
    <row r="43" spans="2:2" x14ac:dyDescent="0.3">
      <c r="B43" s="5" t="s">
        <v>14</v>
      </c>
    </row>
    <row r="44" spans="2:2" x14ac:dyDescent="0.3">
      <c r="B44" s="5" t="s">
        <v>88</v>
      </c>
    </row>
    <row r="45" spans="2:2" x14ac:dyDescent="0.3">
      <c r="B45" s="5" t="s">
        <v>89</v>
      </c>
    </row>
    <row r="46" spans="2:2" x14ac:dyDescent="0.3">
      <c r="B46" s="3" t="s">
        <v>9</v>
      </c>
    </row>
    <row r="47" spans="2:2" x14ac:dyDescent="0.3">
      <c r="B47" s="3" t="s">
        <v>52</v>
      </c>
    </row>
    <row r="48" spans="2:2" x14ac:dyDescent="0.3">
      <c r="B48" s="3" t="s">
        <v>68</v>
      </c>
    </row>
    <row r="49" spans="2:2" x14ac:dyDescent="0.3">
      <c r="B49" s="3" t="s">
        <v>90</v>
      </c>
    </row>
    <row r="50" spans="2:2" x14ac:dyDescent="0.3">
      <c r="B50" s="3" t="s">
        <v>91</v>
      </c>
    </row>
    <row r="51" spans="2:2" x14ac:dyDescent="0.3">
      <c r="B51" s="3" t="s">
        <v>38</v>
      </c>
    </row>
    <row r="52" spans="2:2" x14ac:dyDescent="0.3">
      <c r="B52" s="3" t="s">
        <v>12</v>
      </c>
    </row>
    <row r="53" spans="2:2" x14ac:dyDescent="0.3">
      <c r="B53" s="3" t="s">
        <v>92</v>
      </c>
    </row>
    <row r="54" spans="2:2" x14ac:dyDescent="0.3">
      <c r="B54" s="3" t="s">
        <v>93</v>
      </c>
    </row>
    <row r="55" spans="2:2" x14ac:dyDescent="0.3">
      <c r="B55" s="3" t="s">
        <v>28</v>
      </c>
    </row>
    <row r="56" spans="2:2" x14ac:dyDescent="0.3">
      <c r="B56" s="3" t="s">
        <v>55</v>
      </c>
    </row>
    <row r="57" spans="2:2" x14ac:dyDescent="0.3">
      <c r="B57" s="7" t="s">
        <v>42</v>
      </c>
    </row>
    <row r="58" spans="2:2" x14ac:dyDescent="0.3">
      <c r="B58" s="3" t="s">
        <v>94</v>
      </c>
    </row>
    <row r="59" spans="2:2" x14ac:dyDescent="0.3">
      <c r="B59" s="3" t="s">
        <v>69</v>
      </c>
    </row>
    <row r="60" spans="2:2" x14ac:dyDescent="0.3">
      <c r="B60" s="3" t="s">
        <v>43</v>
      </c>
    </row>
    <row r="61" spans="2:2" x14ac:dyDescent="0.3">
      <c r="B61" s="7" t="s">
        <v>44</v>
      </c>
    </row>
    <row r="62" spans="2:2" x14ac:dyDescent="0.3">
      <c r="B62" s="3" t="s">
        <v>2</v>
      </c>
    </row>
    <row r="63" spans="2:2" x14ac:dyDescent="0.3">
      <c r="B63" s="3" t="s">
        <v>46</v>
      </c>
    </row>
    <row r="64" spans="2:2" x14ac:dyDescent="0.3">
      <c r="B64" s="3" t="s">
        <v>95</v>
      </c>
    </row>
    <row r="65" spans="2:2" x14ac:dyDescent="0.3">
      <c r="B65" s="3" t="s">
        <v>96</v>
      </c>
    </row>
    <row r="66" spans="2:2" x14ac:dyDescent="0.3">
      <c r="B66" s="3" t="s">
        <v>70</v>
      </c>
    </row>
    <row r="67" spans="2:2" x14ac:dyDescent="0.3">
      <c r="B67" s="5" t="s">
        <v>53</v>
      </c>
    </row>
    <row r="68" spans="2:2" x14ac:dyDescent="0.3">
      <c r="B68" s="5" t="s">
        <v>41</v>
      </c>
    </row>
    <row r="69" spans="2:2" x14ac:dyDescent="0.3">
      <c r="B69" s="8" t="s">
        <v>97</v>
      </c>
    </row>
    <row r="70" spans="2:2" x14ac:dyDescent="0.3">
      <c r="B70" s="3" t="s">
        <v>60</v>
      </c>
    </row>
    <row r="71" spans="2:2" x14ac:dyDescent="0.3">
      <c r="B71" s="5" t="s">
        <v>98</v>
      </c>
    </row>
    <row r="72" spans="2:2" x14ac:dyDescent="0.3">
      <c r="B72" t="s">
        <v>5</v>
      </c>
    </row>
    <row r="73" spans="2:2" x14ac:dyDescent="0.3">
      <c r="B73" s="5" t="s">
        <v>65</v>
      </c>
    </row>
    <row r="74" spans="2:2" x14ac:dyDescent="0.3">
      <c r="B74" s="5" t="s">
        <v>99</v>
      </c>
    </row>
    <row r="75" spans="2:2" x14ac:dyDescent="0.3">
      <c r="B75" s="5" t="s">
        <v>100</v>
      </c>
    </row>
    <row r="76" spans="2:2" x14ac:dyDescent="0.3">
      <c r="B76" s="5" t="s">
        <v>62</v>
      </c>
    </row>
    <row r="77" spans="2:2" x14ac:dyDescent="0.3">
      <c r="B77" s="5" t="s">
        <v>22</v>
      </c>
    </row>
    <row r="78" spans="2:2" x14ac:dyDescent="0.3">
      <c r="B78" s="5" t="s">
        <v>109</v>
      </c>
    </row>
    <row r="79" spans="2:2" x14ac:dyDescent="0.3">
      <c r="B79" s="5" t="s">
        <v>101</v>
      </c>
    </row>
    <row r="80" spans="2:2" x14ac:dyDescent="0.3">
      <c r="B80" s="5" t="s">
        <v>63</v>
      </c>
    </row>
    <row r="81" spans="2:2" x14ac:dyDescent="0.3">
      <c r="B81" s="5" t="s">
        <v>56</v>
      </c>
    </row>
    <row r="82" spans="2:2" x14ac:dyDescent="0.3">
      <c r="B82" s="5" t="s">
        <v>54</v>
      </c>
    </row>
    <row r="83" spans="2:2" x14ac:dyDescent="0.3">
      <c r="B83" s="5" t="s">
        <v>16</v>
      </c>
    </row>
    <row r="84" spans="2:2" x14ac:dyDescent="0.3">
      <c r="B84" s="5" t="s">
        <v>102</v>
      </c>
    </row>
    <row r="85" spans="2:2" x14ac:dyDescent="0.3">
      <c r="B85" s="5" t="s">
        <v>67</v>
      </c>
    </row>
    <row r="86" spans="2:2" x14ac:dyDescent="0.3">
      <c r="B86" s="5" t="s">
        <v>103</v>
      </c>
    </row>
    <row r="87" spans="2:2" x14ac:dyDescent="0.3">
      <c r="B87" s="5" t="s">
        <v>33</v>
      </c>
    </row>
    <row r="88" spans="2:2" x14ac:dyDescent="0.3">
      <c r="B88" s="5" t="s">
        <v>34</v>
      </c>
    </row>
    <row r="89" spans="2:2" x14ac:dyDescent="0.3">
      <c r="B89" s="5" t="s">
        <v>20</v>
      </c>
    </row>
    <row r="90" spans="2:2" x14ac:dyDescent="0.3">
      <c r="B90" s="9" t="s">
        <v>104</v>
      </c>
    </row>
    <row r="91" spans="2:2" x14ac:dyDescent="0.3">
      <c r="B91" s="5" t="s">
        <v>6</v>
      </c>
    </row>
    <row r="92" spans="2:2" x14ac:dyDescent="0.3">
      <c r="B92" s="5" t="s">
        <v>105</v>
      </c>
    </row>
    <row r="93" spans="2:2" x14ac:dyDescent="0.3">
      <c r="B93" s="5" t="s">
        <v>110</v>
      </c>
    </row>
    <row r="94" spans="2:2" x14ac:dyDescent="0.3">
      <c r="B94" t="s">
        <v>106</v>
      </c>
    </row>
    <row r="95" spans="2:2" x14ac:dyDescent="0.3">
      <c r="B95" s="5" t="s">
        <v>107</v>
      </c>
    </row>
    <row r="96" spans="2:2" x14ac:dyDescent="0.3">
      <c r="B96" s="5" t="s">
        <v>108</v>
      </c>
    </row>
    <row r="97" spans="2:2" x14ac:dyDescent="0.3">
      <c r="B97" s="5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Ventas Dic'24</vt:lpstr>
      <vt:lpstr>LISTA CONCEPTOS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Italmexy S.A.P.I</dc:creator>
  <cp:lastModifiedBy>Italmexy S.A.P.I</cp:lastModifiedBy>
  <dcterms:created xsi:type="dcterms:W3CDTF">2024-08-22T23:17:32Z</dcterms:created>
  <dcterms:modified xsi:type="dcterms:W3CDTF">2026-02-11T16:08:13Z</dcterms:modified>
</cp:coreProperties>
</file>