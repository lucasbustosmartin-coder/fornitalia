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F9A70963-ACEB-4F20-A7CC-07B116B171B7}" xr6:coauthVersionLast="47" xr6:coauthVersionMax="47" xr10:uidLastSave="{00000000-0000-0000-0000-000000000000}"/>
  <bookViews>
    <workbookView xWindow="-108" yWindow="-108" windowWidth="23256" windowHeight="12456" tabRatio="599" activeTab="1" xr2:uid="{30A6164E-A0D3-4996-9EF3-92045D51F006}"/>
  </bookViews>
  <sheets>
    <sheet name="Dic'25" sheetId="23" r:id="rId1"/>
    <sheet name="Gastos" sheetId="24" r:id="rId2"/>
    <sheet name="Ventas Dic 2025 " sheetId="25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3" l="1"/>
  <c r="B6" i="23"/>
  <c r="B4" i="23"/>
  <c r="F39" i="25"/>
  <c r="L39" i="25" l="1"/>
  <c r="K39" i="25"/>
  <c r="J39" i="25"/>
  <c r="L38" i="25"/>
  <c r="L34" i="25"/>
  <c r="L37" i="25"/>
  <c r="L36" i="25"/>
  <c r="L35" i="25"/>
  <c r="L32" i="25"/>
  <c r="L30" i="25"/>
  <c r="L26" i="25"/>
  <c r="L25" i="25"/>
  <c r="L24" i="25"/>
  <c r="L22" i="25"/>
  <c r="L18" i="25"/>
  <c r="L16" i="25"/>
  <c r="L15" i="25"/>
  <c r="L14" i="25"/>
  <c r="L13" i="25"/>
  <c r="L12" i="25"/>
  <c r="L10" i="25"/>
  <c r="L9" i="25"/>
  <c r="L7" i="25"/>
  <c r="L6" i="25"/>
  <c r="L5" i="25"/>
  <c r="L4" i="25"/>
  <c r="L3" i="25"/>
  <c r="K2" i="25"/>
  <c r="L2" i="25" s="1"/>
  <c r="C155" i="24" l="1"/>
  <c r="C27" i="24"/>
  <c r="C9" i="24"/>
  <c r="C32" i="24"/>
  <c r="B22" i="23" l="1"/>
  <c r="C12" i="24"/>
  <c r="B13" i="23" s="1"/>
  <c r="B14" i="23"/>
  <c r="B15" i="23"/>
  <c r="C140" i="24"/>
  <c r="B21" i="23" s="1"/>
  <c r="C129" i="24"/>
  <c r="B16" i="23" s="1"/>
  <c r="C14" i="24"/>
  <c r="B12" i="23" s="1"/>
  <c r="B11" i="23"/>
  <c r="B10" i="23" l="1"/>
  <c r="B20" i="23" l="1"/>
  <c r="B24" i="23" l="1"/>
  <c r="B5" i="23" l="1"/>
  <c r="C4" i="23" l="1"/>
  <c r="C16" i="23"/>
  <c r="C15" i="23"/>
  <c r="C10" i="23"/>
  <c r="C11" i="23"/>
  <c r="B7" i="23"/>
  <c r="C18" i="23"/>
  <c r="C17" i="23"/>
  <c r="C21" i="23"/>
  <c r="C12" i="23"/>
  <c r="C14" i="23"/>
  <c r="C13" i="23"/>
  <c r="C20" i="23"/>
  <c r="C22" i="23"/>
  <c r="C7" i="23" l="1"/>
  <c r="B26" i="23"/>
  <c r="C26" i="23" s="1"/>
</calcChain>
</file>

<file path=xl/sharedStrings.xml><?xml version="1.0" encoding="utf-8"?>
<sst xmlns="http://schemas.openxmlformats.org/spreadsheetml/2006/main" count="966" uniqueCount="381">
  <si>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</si>
  <si>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</si>
  <si>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</si>
  <si>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</si>
  <si>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</si>
  <si>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</si>
  <si>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</si>
  <si>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</si>
  <si>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</si>
  <si>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</si>
  <si>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</si>
  <si>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</si>
  <si>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</si>
  <si>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</si>
  <si>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</si>
  <si>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</si>
  <si>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</si>
  <si>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</si>
  <si>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</si>
  <si>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</si>
  <si>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</si>
  <si>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</si>
  <si>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</si>
  <si>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</si>
  <si>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</si>
  <si>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</si>
  <si>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</si>
  <si>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</si>
  <si>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</si>
  <si>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</si>
  <si>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</si>
  <si>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</si>
  <si>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</si>
  <si>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</si>
  <si>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</si>
  <si>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</si>
  <si>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</si>
  <si>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</si>
  <si>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</si>
  <si>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</si>
  <si>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</si>
  <si>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</si>
  <si>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</si>
  <si>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</si>
  <si>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</si>
  <si>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</si>
  <si>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</si>
  <si>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</si>
  <si>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</si>
  <si>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</si>
  <si>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</si>
  <si>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</si>
  <si>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</si>
  <si>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</si>
  <si>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</si>
  <si>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</si>
  <si>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</si>
  <si>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</si>
  <si>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</si>
  <si>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</si>
  <si>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</si>
  <si>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</si>
  <si>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</si>
  <si>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</si>
  <si>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</si>
  <si>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</si>
  <si>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</si>
  <si>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</si>
  <si>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</si>
  <si>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</si>
  <si>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</si>
  <si>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</si>
  <si>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</si>
  <si>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</si>
  <si>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</si>
  <si>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</si>
  <si>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</si>
  <si>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</si>
  <si>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</si>
  <si>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</si>
  <si>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</si>
  <si>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</si>
  <si>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</si>
  <si>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</si>
  <si>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</si>
  <si>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</si>
  <si>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</si>
  <si>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</si>
  <si>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</si>
  <si>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</si>
  <si>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</si>
  <si>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</si>
  <si>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</si>
  <si>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</si>
  <si>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</si>
  <si>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</si>
  <si>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</si>
  <si>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</si>
  <si>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</si>
  <si>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</si>
  <si>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</si>
  <si>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</si>
  <si>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</si>
  <si>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</si>
  <si>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</si>
  <si>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</si>
  <si>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</si>
  <si>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</si>
  <si>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</si>
  <si>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</si>
  <si>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</si>
  <si>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</si>
  <si>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</si>
  <si>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</si>
  <si>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</si>
  <si>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</si>
  <si>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</si>
  <si>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IVA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</si>
  <si>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</si>
  <si>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</si>
  <si>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</si>
  <si>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</si>
  <si>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</si>
  <si>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</si>
  <si>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</si>
  <si>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</si>
  <si>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Honorarios Contables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</si>
  <si>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</si>
  <si>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</si>
  <si>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</si>
  <si>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</si>
  <si>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</si>
  <si>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</si>
  <si>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</si>
  <si>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</si>
  <si>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</si>
  <si>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</si>
  <si>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</si>
  <si>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</si>
  <si>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</si>
  <si>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</si>
  <si>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</si>
  <si>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</si>
  <si>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</si>
  <si>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</si>
  <si>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</si>
  <si>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</si>
  <si>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</si>
  <si>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</si>
  <si>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</si>
  <si>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</si>
  <si>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</si>
  <si>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</si>
  <si>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</si>
  <si>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</si>
  <si>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</si>
  <si>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</si>
  <si>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</si>
  <si>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</si>
  <si>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</si>
  <si>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</si>
  <si>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</si>
  <si>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Vendedor</t>
  </si>
  <si>
    <t>Referido</t>
  </si>
  <si>
    <t>Correo</t>
  </si>
  <si>
    <t>Venta</t>
  </si>
  <si>
    <t>Stefania</t>
  </si>
  <si>
    <t>Seguridad</t>
  </si>
  <si>
    <t>Percep IVA</t>
  </si>
  <si>
    <t>Imp. Ing. Brutos Capital Federal</t>
  </si>
  <si>
    <t>Imp. Ing. Brutos Sircreb</t>
  </si>
  <si>
    <t>Impuesto Deb. Ley 25.413</t>
  </si>
  <si>
    <t>Impuesto Cre. Ley 25.413</t>
  </si>
  <si>
    <t xml:space="preserve">Pago | Servicios Imp Afip </t>
  </si>
  <si>
    <t>Iva</t>
  </si>
  <si>
    <t>AFIP</t>
  </si>
  <si>
    <t xml:space="preserve">Pago | Pay Per Tic | Deb Autom </t>
  </si>
  <si>
    <t xml:space="preserve">Pago | Personal Flow | Deb Autom </t>
  </si>
  <si>
    <t>Marketing</t>
  </si>
  <si>
    <t>Otros Servicios</t>
  </si>
  <si>
    <t>Publicidad</t>
  </si>
  <si>
    <t xml:space="preserve">Activos </t>
  </si>
  <si>
    <t>Debito Com. Varias | Transf. al Ext.</t>
  </si>
  <si>
    <t>Pago | Edenor | Energia Electrica</t>
  </si>
  <si>
    <t>Gastos Administrativos</t>
  </si>
  <si>
    <t>Comisiones de Ventas</t>
  </si>
  <si>
    <t>Comisiones Distribuidores</t>
  </si>
  <si>
    <t>Equipo</t>
  </si>
  <si>
    <t>Descuento</t>
  </si>
  <si>
    <t>Unitario</t>
  </si>
  <si>
    <t>Regulador</t>
  </si>
  <si>
    <t>Costo</t>
  </si>
  <si>
    <t>Servicio APP Noviembre 2025</t>
  </si>
  <si>
    <t>Puesta en Marcha</t>
  </si>
  <si>
    <t>Instalacion de Mesa Fria</t>
  </si>
  <si>
    <t>Logistica</t>
  </si>
  <si>
    <t>Fletes y Transportes</t>
  </si>
  <si>
    <t>Anticipo OP 08 (Importacion)</t>
  </si>
  <si>
    <t>Pago | Leonardo Agustin Pascual | Fact 00002-00000078</t>
  </si>
  <si>
    <t>Avisos publicitarios y film maker en RRSS y MIMA</t>
  </si>
  <si>
    <t>Precio con Descuento</t>
  </si>
  <si>
    <t>Horno FN2 Pro</t>
  </si>
  <si>
    <t>Horno Pro Gas 6-1</t>
  </si>
  <si>
    <t>Horno Pro Gas 12-2</t>
  </si>
  <si>
    <t>Pago | Prosegur Diciembre 2025 Deb Autom.</t>
  </si>
  <si>
    <t xml:space="preserve">Importacion </t>
  </si>
  <si>
    <t>Hornos</t>
  </si>
  <si>
    <t>Pago | Autoelevadores y Gruas | Dic 2025 | Fact 7600</t>
  </si>
  <si>
    <t>Pago | Veronica Valeria Rigante | Noviembre 2025 | Fact 979</t>
  </si>
  <si>
    <t>Pago | Sueldo Rosselin Dionar | Nov'25</t>
  </si>
  <si>
    <t>Pago | Viviana Fuertes | Alquiler | Fact 269 | Alquiler Diciembre 2025</t>
  </si>
  <si>
    <t>Pago | Desarrollo de Soluciones Digitales | Fact 0035 | Servicio APP Dic 2025</t>
  </si>
  <si>
    <t>Pago | Sueldo Steffania Alien | Nov'25</t>
  </si>
  <si>
    <t>Pago | Sueldo Cynthia Fernández | Nov'25</t>
  </si>
  <si>
    <t>Pago | Sueldo Lelia Bertoni | Nov'25</t>
  </si>
  <si>
    <t>Pago | Sueldo Diego Argiró | Nov'25</t>
  </si>
  <si>
    <t>Pago | Cargas Sociales | La Estrella | Nov'25</t>
  </si>
  <si>
    <t>Pago | Cargas Sociales | SEC | Nov'25</t>
  </si>
  <si>
    <t>Pago | Fernandez Vaniva Alejandra | Fact 0087</t>
  </si>
  <si>
    <t>XVR de 8 Canales</t>
  </si>
  <si>
    <t>Implememtacion XVR de 8 Canales</t>
  </si>
  <si>
    <t>Pago | Soluciones Online | Dic 2025 | Deb. Autom. | Fact 490772</t>
  </si>
  <si>
    <t>10/12/225</t>
  </si>
  <si>
    <t>Pago | Transferencia entre cuentas propias</t>
  </si>
  <si>
    <t>Transferencia entre cuentas propias</t>
  </si>
  <si>
    <t>Debito Com. Varias</t>
  </si>
  <si>
    <t>Pago | Guangdong Mingtai Baking Equipment Co LTD | Fact ARG04/06/25-03A</t>
  </si>
  <si>
    <t>Pago | Battaglia Daniel Damian | Flete | Fact 1026</t>
  </si>
  <si>
    <t>Entregar Hornos en Local</t>
  </si>
  <si>
    <t>Pago | Corp All Comercio Exterior | Fact 9173</t>
  </si>
  <si>
    <t>Pago | Corp All Comercio Exterior | Nota Debito 5776 | Pago Final</t>
  </si>
  <si>
    <t>Pago | Lagatta Carlos Adrian | Fact 4564</t>
  </si>
  <si>
    <t>Refacciones</t>
  </si>
  <si>
    <t>Motocompresores y conexiones de cobre</t>
  </si>
  <si>
    <t>Pago | Sueldo Rosselin Dionar | Aguinaldo</t>
  </si>
  <si>
    <t>Pago | Sueldo Steffania Alien | Aguinaldo</t>
  </si>
  <si>
    <t>Pago | Sueldo Cynthia Fernández | Liquidacion 1 de 2</t>
  </si>
  <si>
    <t>Pago | Sueldo Diego Argiró | Aguinaldo</t>
  </si>
  <si>
    <t>Pago | Cargas Sociales | FAECYS | Nov'25</t>
  </si>
  <si>
    <t>Pago | Jaremczuk Carlos Basilio | Fact 2222</t>
  </si>
  <si>
    <t>Renovacion Certificados Hornos Gastronomicos</t>
  </si>
  <si>
    <t>Comision Gestion Transferancia Fondos entre Bancos</t>
  </si>
  <si>
    <t>Pago | Muñoz Ciro Tiziano | Fact 0007</t>
  </si>
  <si>
    <t>Pago | Autoelevadores y Gruas | Fact 7615</t>
  </si>
  <si>
    <t>Renta de autoelevador y Flete de Hornos</t>
  </si>
  <si>
    <t>Pago | Sueldo Cynthia Fernández | Liquidacion 2 de 2</t>
  </si>
  <si>
    <t>Pago | Sueldo Lelia Bertoni | Liquidacion</t>
  </si>
  <si>
    <t>Pago | Veronica Valeria Rigante | Diciembre 2025 | Fact 981</t>
  </si>
  <si>
    <t>Pago | Tecnica Lift SA Fact 4285</t>
  </si>
  <si>
    <t>Stacker Electrico Cap 1500 kgs</t>
  </si>
  <si>
    <t>Pago | Sueldo Steffania Alien | Dic'25</t>
  </si>
  <si>
    <t>Pago | Autoelevadores y Gruas | Fact 7606</t>
  </si>
  <si>
    <t>Fletes, Transportes y Guarda</t>
  </si>
  <si>
    <t>Desconsolidacion de contenedor y guarda mensual</t>
  </si>
  <si>
    <t>Pago | Sueldo Diego Argiró | Dic´2025</t>
  </si>
  <si>
    <t>Pago | Autoelevadores y Gruas | Fact 7607</t>
  </si>
  <si>
    <t>Renta de autoelevador y flete para hornos</t>
  </si>
  <si>
    <t>Gastos Aduanales</t>
  </si>
  <si>
    <t>Comisiones Javier Nov´25</t>
  </si>
  <si>
    <t>Pago | Comisiones de Ventas Nov´2025 | Cynthia Magali Fernandez</t>
  </si>
  <si>
    <t>Pago | Comisiones de Ventas Nov´2025 | Lelia Mariel Bertoni</t>
  </si>
  <si>
    <t>IVA 10-5%</t>
  </si>
  <si>
    <t>IVA 21%</t>
  </si>
  <si>
    <t>Total Cotización</t>
  </si>
  <si>
    <t>% Factura</t>
  </si>
  <si>
    <t>Total Factura</t>
  </si>
  <si>
    <t>Monto Factura</t>
  </si>
  <si>
    <t>Monto Efectivo</t>
  </si>
  <si>
    <t>Pendiente Despacho</t>
  </si>
  <si>
    <t>Gonzalo Sacco</t>
  </si>
  <si>
    <t>Horno Pro Gas 90</t>
  </si>
  <si>
    <t>saco.gonzalo@gmail.com</t>
  </si>
  <si>
    <t>319.725,00</t>
  </si>
  <si>
    <t>0,00</t>
  </si>
  <si>
    <t>3.364.725,00</t>
  </si>
  <si>
    <t>3.045.000,00</t>
  </si>
  <si>
    <t xml:space="preserve">Franca  Grisolia </t>
  </si>
  <si>
    <t>nannafranca@yahoo.com.ar</t>
  </si>
  <si>
    <t>598.510,50</t>
  </si>
  <si>
    <t>6.298.610,50</t>
  </si>
  <si>
    <t>5.700.100,00</t>
  </si>
  <si>
    <t>Esteban Bonorino</t>
  </si>
  <si>
    <t>estebanbonorino@gmail.com</t>
  </si>
  <si>
    <t>3.149.305,25</t>
  </si>
  <si>
    <t>2.850.050,00</t>
  </si>
  <si>
    <t xml:space="preserve">Guillermo Raul  Torrado </t>
  </si>
  <si>
    <t>Cervelew   Srl</t>
  </si>
  <si>
    <t>Sebastián  Crespo</t>
  </si>
  <si>
    <t>322.076,32</t>
  </si>
  <si>
    <t>22.260,00</t>
  </si>
  <si>
    <t>3.517.729,88</t>
  </si>
  <si>
    <t>1.758.864,94</t>
  </si>
  <si>
    <t>1.586.696,78</t>
  </si>
  <si>
    <t>Carolina  Perez</t>
  </si>
  <si>
    <t>APYCE</t>
  </si>
  <si>
    <t>3.020.050,00</t>
  </si>
  <si>
    <t>317.105,25</t>
  </si>
  <si>
    <t>3.337.155,25</t>
  </si>
  <si>
    <t xml:space="preserve">Jorge Alejandro   Boscana </t>
  </si>
  <si>
    <t>Roselin</t>
  </si>
  <si>
    <t>Jor.bosca@gmail.com</t>
  </si>
  <si>
    <t>Sergio Gustavo Pizzi</t>
  </si>
  <si>
    <t>tanopizzi@hotmail.com</t>
  </si>
  <si>
    <t>232.155,00</t>
  </si>
  <si>
    <t>2.443.155,00</t>
  </si>
  <si>
    <t>1.221.577,50</t>
  </si>
  <si>
    <t>1.105.500,00</t>
  </si>
  <si>
    <t>Alberto  Dominguez</t>
  </si>
  <si>
    <t>dalberto@hotmail.com</t>
  </si>
  <si>
    <t>Jorge Daniel Portillo</t>
  </si>
  <si>
    <t>5.504.426,35</t>
  </si>
  <si>
    <t>577.964,77</t>
  </si>
  <si>
    <t>6.082.391,12</t>
  </si>
  <si>
    <t xml:space="preserve">Sergio  Guastadini </t>
  </si>
  <si>
    <t>4.039.312,85</t>
  </si>
  <si>
    <t>424.127,85</t>
  </si>
  <si>
    <t>4.463.440,70</t>
  </si>
  <si>
    <t xml:space="preserve">Laurence Javier Druscovich </t>
  </si>
  <si>
    <t>laurence@313led.com.ar</t>
  </si>
  <si>
    <t>361.124,93</t>
  </si>
  <si>
    <t>3.800.409,93</t>
  </si>
  <si>
    <t>1.900.204,96</t>
  </si>
  <si>
    <t>1.719.642,50</t>
  </si>
  <si>
    <t xml:space="preserve">Sergio Adrián Franchi </t>
  </si>
  <si>
    <t>Sergioadrianfranchi@gmail.com</t>
  </si>
  <si>
    <t>Patricio Hernan   Rienzi</t>
  </si>
  <si>
    <t>106.000,00</t>
  </si>
  <si>
    <t>128.260,00</t>
  </si>
  <si>
    <t xml:space="preserve"> Lucila De Camillis</t>
  </si>
  <si>
    <t>Ana GPT</t>
  </si>
  <si>
    <t>Elestabloalmacendecampo@hotmail.com</t>
  </si>
  <si>
    <t>7.000.000,00</t>
  </si>
  <si>
    <t>735.000,00</t>
  </si>
  <si>
    <t>7.735.000,00</t>
  </si>
  <si>
    <t>Geronimo  Capello Avanzino</t>
  </si>
  <si>
    <t xml:space="preserve"> Tomas  Alurralde</t>
  </si>
  <si>
    <t>Jonatan  Silvestri</t>
  </si>
  <si>
    <t xml:space="preserve">JAVIER </t>
  </si>
  <si>
    <t>100.050,00</t>
  </si>
  <si>
    <t>10.505,25</t>
  </si>
  <si>
    <t>110.555,25</t>
  </si>
  <si>
    <t>11.979,98</t>
  </si>
  <si>
    <t>126.074,98</t>
  </si>
  <si>
    <t>63.037,49</t>
  </si>
  <si>
    <t>57.047,50</t>
  </si>
  <si>
    <t xml:space="preserve">Claudia Romina  Gutiérrez </t>
  </si>
  <si>
    <t>cjara3367@gmail.com</t>
  </si>
  <si>
    <t>298.100,00</t>
  </si>
  <si>
    <t>31.300,50</t>
  </si>
  <si>
    <t>329.400,50</t>
  </si>
  <si>
    <t>Alcides   Viterman Miranda</t>
  </si>
  <si>
    <t>698.250,00</t>
  </si>
  <si>
    <t>7.348.250,00</t>
  </si>
  <si>
    <t>3.674.125,00</t>
  </si>
  <si>
    <t>3.325.000,00</t>
  </si>
  <si>
    <t xml:space="preserve">Silvia Elizabeth  De La Iglesia </t>
  </si>
  <si>
    <t>Juan Pedro  Pacheco</t>
  </si>
  <si>
    <t>Diego   Tanjinson</t>
  </si>
  <si>
    <t>12.610,50</t>
  </si>
  <si>
    <t>132.710,50</t>
  </si>
  <si>
    <t>66.355,25</t>
  </si>
  <si>
    <t>60.050,00</t>
  </si>
  <si>
    <t xml:space="preserve">Daniel Alvaro Cruz </t>
  </si>
  <si>
    <t>236.784,98</t>
  </si>
  <si>
    <t>2.491.879,98</t>
  </si>
  <si>
    <t>1.245.939,99</t>
  </si>
  <si>
    <t>1.127.547,50</t>
  </si>
  <si>
    <t xml:space="preserve">Mauricio Alejandro   Dutra </t>
  </si>
  <si>
    <t>dutra_mauricio87@hotmail.com</t>
  </si>
  <si>
    <t>3.915.000,00</t>
  </si>
  <si>
    <t>411.075,00</t>
  </si>
  <si>
    <t>4.326.075,00</t>
  </si>
  <si>
    <t>Horno Pro Gas 3-1</t>
  </si>
  <si>
    <t>Amasadora 5.2 kg</t>
  </si>
  <si>
    <t>Mesa Fria 2 Puertas</t>
  </si>
  <si>
    <t>Perchero para Palas</t>
  </si>
  <si>
    <t>Horno Pro Electrico 90</t>
  </si>
  <si>
    <t>Cepillo para Piedra</t>
  </si>
  <si>
    <t>Pala Redonda de Giro</t>
  </si>
  <si>
    <t>Cuchilla Cortador</t>
  </si>
  <si>
    <t>Aceitera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</si>
</sst>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65" fontId="0" fillId="0" borderId="0" xfId="6" applyFont="1" applyAlignment="1">
      <alignment vertical="center"/>
    </xf>
    <xf numFmtId="0" fontId="16" fillId="0" borderId="0" xfId="0" applyFont="1"/>
    <xf numFmtId="44" fontId="0" fillId="0" borderId="0" xfId="2" applyFont="1"/>
    <xf numFmtId="44" fontId="0" fillId="0" borderId="0" xfId="0" applyNumberFormat="1"/>
    <xf numFmtId="0" fontId="12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6" applyFont="1"/>
    <xf numFmtId="165" fontId="0" fillId="0" borderId="0" xfId="0" applyNumberFormat="1"/>
    <xf numFmtId="165" fontId="0" fillId="0" borderId="0" xfId="6" applyFont="1" applyAlignment="1">
      <alignment horizontal="center"/>
    </xf>
    <xf numFmtId="165" fontId="0" fillId="3" borderId="0" xfId="0" applyNumberFormat="1" applyFill="1"/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9B017-B05F-43EB-85AA-4A3A0C765D6C}" name="ExportFacturacion3" displayName="ExportFacturacion3" ref="A1:S39" totalsRowCount="1">
  <autoFilter ref="A1:S38" xr:uid="{1E19B017-B05F-43EB-85AA-4A3A0C765D6C}"/>
  <tableColumns count="19">
    <tableColumn id="1" xr3:uid="{6B928CAA-BF66-41FB-98A1-8CE2ABFECEAA}" name="Tipo de Operacion"/>
    <tableColumn id="2" xr3:uid="{09A344BB-BA2C-499C-82A3-8AC1EFF3A72E}" name="ID Operacion" dataDxfId="6" totalsRowDxfId="5"/>
    <tableColumn id="3" xr3:uid="{D2DB57D7-673B-4583-9EF7-DD7777253883}" name="Status"/>
    <tableColumn id="4" xr3:uid="{F0557E36-2408-481C-AD2B-0BB01334EAC1}" name="Cliente"/>
    <tableColumn id="16" xr3:uid="{7582AAB1-F23F-4659-82AA-90D1A21E4986}" name="Equipo"/>
    <tableColumn id="17" xr3:uid="{9D7E0FE8-241D-40ED-92B1-A9590C7710C6}" name="Costo" totalsRowFunction="custom" totalsRowDxfId="4" dataCellStyle="Moneda">
      <totalsRowFormula>SUM(F2:F38)</totalsRowFormula>
    </tableColumn>
    <tableColumn id="5" xr3:uid="{7A461437-3302-4D64-8455-42990309B46C}" name="Vendedor"/>
    <tableColumn id="6" xr3:uid="{1B72CFF9-64EB-41D6-977C-88B8FFE43DF5}" name="Referido"/>
    <tableColumn id="7" xr3:uid="{58F5DB6C-8DA1-45CC-B021-CFE33E0F509F}" name="Correo"/>
    <tableColumn id="18" xr3:uid="{034CFB50-1460-4964-9181-9C0F15142B8F}" name="Unitario" totalsRowFunction="custom" totalsRowDxfId="3" dataCellStyle="Moneda">
      <totalsRowFormula>SUM(J2:J38)</totalsRowFormula>
    </tableColumn>
    <tableColumn id="19" xr3:uid="{1E86F3F9-5D60-482E-9D5F-CBBD7932307C}" name="Descuento" totalsRowFunction="custom" dataDxfId="2" totalsRowDxfId="1">
      <calculatedColumnFormula>ExportFacturacion3[[#This Row],[Unitario]]*30%</calculatedColumnFormula>
      <totalsRowFormula>SUM(K2:K38)</totalsRowFormula>
    </tableColumn>
    <tableColumn id="8" xr3:uid="{93711F7F-9197-460A-944B-920857695E08}" name="Precio con Descuento" totalsRowFunction="custom" totalsRowDxfId="0" dataCellStyle="Moneda">
      <totalsRowFormula>SUM(L2:L38)</totalsRowFormula>
    </tableColumn>
    <tableColumn id="9" xr3:uid="{9F043A18-5A56-400D-BC7A-A5EE822C9396}" name="IVA 10-5%"/>
    <tableColumn id="10" xr3:uid="{D0584225-8DF0-4A5C-B0CC-DB0C1DFA2B97}" name="IVA 21%"/>
    <tableColumn id="11" xr3:uid="{D204CDA1-61C5-4D04-A0CA-22FAC39A8CB3}" name="Total Cotización"/>
    <tableColumn id="12" xr3:uid="{E2F7CBF8-FFED-4F2F-8860-A3E9CA522441}" name="% Factura"/>
    <tableColumn id="13" xr3:uid="{9549EFCD-C002-4F3F-B134-32B4C3E2885D}" name="Total Factura"/>
    <tableColumn id="14" xr3:uid="{47B2F946-3210-403A-8ECE-23441E525485}" name="Monto Factura"/>
    <tableColumn id="15" xr3:uid="{E6F96548-D01F-446D-AE5E-99615B1339D3}" name="Monto Efe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zoomScaleNormal="100" workbookViewId="0">
      <selection activeCell="A2" sqref="A2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142</v>
      </c>
      <c r="B1" s="11"/>
      <c r="C1" s="2"/>
    </row>
    <row r="2" spans="1:5" ht="20.399999999999999" x14ac:dyDescent="0.3">
      <c r="A2" s="37" t="s">
        <v>24</v>
      </c>
      <c r="B2" s="38">
        <v>45992</v>
      </c>
      <c r="C2" s="39" t="s">
        <v>149</v>
      </c>
    </row>
    <row r="3" spans="1:5" x14ac:dyDescent="0.3">
      <c r="A3" s="13" t="s">
        <v>25</v>
      </c>
      <c r="B3" s="58">
        <f>ExportFacturacion3[[#Totals],[Precio con Descuento]]</f>
        <v>103874707.76000001</v>
      </c>
      <c r="C3" s="16">
        <v>1</v>
      </c>
    </row>
    <row r="4" spans="1:5" x14ac:dyDescent="0.3">
      <c r="A4" s="13" t="s">
        <v>137</v>
      </c>
      <c r="B4" s="36">
        <f>ExportFacturacion3[[#Totals],[Descuento]]</f>
        <v>14803728.24</v>
      </c>
      <c r="C4" s="18">
        <f>(B4*C3)/B3</f>
        <v>0.14251523358509616</v>
      </c>
    </row>
    <row r="5" spans="1:5" x14ac:dyDescent="0.3">
      <c r="A5" s="19" t="s">
        <v>26</v>
      </c>
      <c r="B5" s="17">
        <f>B3-B4</f>
        <v>89070979.520000011</v>
      </c>
      <c r="C5" s="16">
        <v>1</v>
      </c>
    </row>
    <row r="6" spans="1:5" x14ac:dyDescent="0.3">
      <c r="A6" s="20" t="s">
        <v>27</v>
      </c>
      <c r="B6" s="15">
        <f>ExportFacturacion3[[#Totals],[Costo]]</f>
        <v>21297687.719999999</v>
      </c>
      <c r="C6" s="18">
        <v>0.33</v>
      </c>
    </row>
    <row r="7" spans="1:5" x14ac:dyDescent="0.3">
      <c r="A7" s="20" t="s">
        <v>28</v>
      </c>
      <c r="B7" s="17">
        <f>B5-B6</f>
        <v>67773291.800000012</v>
      </c>
      <c r="C7" s="18">
        <f>(B7*C5)/B5</f>
        <v>0.76089083296521043</v>
      </c>
    </row>
    <row r="10" spans="1:5" s="26" customFormat="1" x14ac:dyDescent="0.3">
      <c r="A10" s="21" t="s">
        <v>139</v>
      </c>
      <c r="B10" s="35">
        <f>SUM(B11:B18)</f>
        <v>78590580.399999976</v>
      </c>
      <c r="C10" s="23">
        <f>(B10*$C$5)/$B$5</f>
        <v>0.88233654579214815</v>
      </c>
      <c r="D10" s="24"/>
      <c r="E10" s="25"/>
    </row>
    <row r="11" spans="1:5" x14ac:dyDescent="0.3">
      <c r="A11" s="27" t="s">
        <v>17</v>
      </c>
      <c r="B11" s="47">
        <f>+Gastos!C9</f>
        <v>254695.69</v>
      </c>
      <c r="C11" s="18">
        <f>(B11*$C$5)/$B$5</f>
        <v>2.8594688345468413E-3</v>
      </c>
    </row>
    <row r="12" spans="1:5" x14ac:dyDescent="0.3">
      <c r="A12" s="27" t="s">
        <v>138</v>
      </c>
      <c r="B12" s="47">
        <f>+Gastos!C14</f>
        <v>2904720</v>
      </c>
      <c r="C12" s="18">
        <f>(B12*$C$5)/$B$5</f>
        <v>3.2611295122759641E-2</v>
      </c>
    </row>
    <row r="13" spans="1:5" x14ac:dyDescent="0.3">
      <c r="A13" s="27" t="s">
        <v>132</v>
      </c>
      <c r="B13" s="47">
        <f>+Gastos!C12</f>
        <v>2460259</v>
      </c>
      <c r="C13" s="18">
        <f t="shared" ref="C13:C18" si="0">(B13*$C$5)/$B$5</f>
        <v>2.7621330912248169E-2</v>
      </c>
    </row>
    <row r="14" spans="1:5" x14ac:dyDescent="0.3">
      <c r="A14" s="27" t="s">
        <v>131</v>
      </c>
      <c r="B14" s="47">
        <f>+Gastos!C27</f>
        <v>41388350.179999992</v>
      </c>
      <c r="C14" s="18">
        <f>(B14*$C$5)/$B$5</f>
        <v>0.46466705994522767</v>
      </c>
    </row>
    <row r="15" spans="1:5" x14ac:dyDescent="0.3">
      <c r="A15" s="27" t="s">
        <v>135</v>
      </c>
      <c r="B15" s="47">
        <f>+Gastos!C32</f>
        <v>1629673.6</v>
      </c>
      <c r="C15" s="18">
        <f t="shared" si="0"/>
        <v>1.8296347573387502E-2</v>
      </c>
    </row>
    <row r="16" spans="1:5" x14ac:dyDescent="0.3">
      <c r="A16" s="27" t="s">
        <v>130</v>
      </c>
      <c r="B16" s="47">
        <f>+Gastos!C129</f>
        <v>29952881.929999989</v>
      </c>
      <c r="C16" s="18">
        <f t="shared" si="0"/>
        <v>0.33628104340397835</v>
      </c>
    </row>
    <row r="17" spans="1:3" x14ac:dyDescent="0.3">
      <c r="A17" s="27" t="s">
        <v>151</v>
      </c>
      <c r="B17" s="47">
        <v>0</v>
      </c>
      <c r="C17" s="18">
        <f t="shared" si="0"/>
        <v>0</v>
      </c>
    </row>
    <row r="18" spans="1:3" x14ac:dyDescent="0.3">
      <c r="A18" s="27" t="s">
        <v>147</v>
      </c>
      <c r="B18" s="47">
        <v>0</v>
      </c>
      <c r="C18" s="18">
        <f t="shared" si="0"/>
        <v>0</v>
      </c>
    </row>
    <row r="20" spans="1:3" x14ac:dyDescent="0.3">
      <c r="A20" s="21" t="s">
        <v>140</v>
      </c>
      <c r="B20" s="35">
        <f>SUM(B21:B22)</f>
        <v>13061571.640000001</v>
      </c>
      <c r="C20" s="23">
        <f>(B20*$C$5)/$B$5</f>
        <v>0.14664228136244031</v>
      </c>
    </row>
    <row r="21" spans="1:3" x14ac:dyDescent="0.3">
      <c r="A21" s="27" t="s">
        <v>129</v>
      </c>
      <c r="B21" s="47">
        <f>+Gastos!C140</f>
        <v>1871177.64</v>
      </c>
      <c r="C21" s="18">
        <f>(B21*$C$5)/$B$5</f>
        <v>2.1007713736659262E-2</v>
      </c>
    </row>
    <row r="22" spans="1:3" x14ac:dyDescent="0.3">
      <c r="A22" s="27" t="s">
        <v>128</v>
      </c>
      <c r="B22" s="47">
        <f>+Gastos!C155</f>
        <v>11190394</v>
      </c>
      <c r="C22" s="18">
        <f>(B22*$C$5)/$B$5</f>
        <v>0.12563456762578104</v>
      </c>
    </row>
    <row r="23" spans="1:3" x14ac:dyDescent="0.3">
      <c r="A23" s="27"/>
      <c r="C23" s="18"/>
    </row>
    <row r="24" spans="1:3" x14ac:dyDescent="0.3">
      <c r="A24" s="21" t="s">
        <v>141</v>
      </c>
      <c r="B24" s="22">
        <f>+B10+B20</f>
        <v>91652152.039999977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-23878860.239999965</v>
      </c>
      <c r="C26" s="31">
        <f>(B26*C5)/B5</f>
        <v>-0.26808799418937795</v>
      </c>
    </row>
    <row r="29" spans="1:3" hidden="1" x14ac:dyDescent="0.3">
      <c r="A29" s="32" t="s">
        <v>150</v>
      </c>
      <c r="B29" s="33"/>
      <c r="C29" s="34"/>
    </row>
    <row r="30" spans="1:3" x14ac:dyDescent="0.3">
      <c r="A30" s="32" t="s">
        <v>150</v>
      </c>
      <c r="B30" s="48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57"/>
  <sheetViews>
    <sheetView tabSelected="1" zoomScale="90" zoomScaleNormal="90" workbookViewId="0"/>
  </sheetViews>
  <sheetFormatPr baseColWidth="10" defaultColWidth="11.44140625" defaultRowHeight="13.8" x14ac:dyDescent="0.3"/>
  <cols>
    <col min="1" max="1" width="12.88671875" style="42" bestFit="1" customWidth="1"/>
    <col min="2" max="2" width="78.88671875" style="42" customWidth="1"/>
    <col min="3" max="3" width="27.44140625" style="53" bestFit="1" customWidth="1"/>
    <col min="4" max="4" width="23.6640625" style="42" customWidth="1"/>
    <col min="5" max="5" width="25.88671875" style="42" bestFit="1" customWidth="1"/>
    <col min="6" max="6" width="61.88671875" style="59" customWidth="1"/>
    <col min="7" max="16384" width="11.44140625" style="42"/>
  </cols>
  <sheetData>
    <row r="1" spans="1:6" ht="19.5" customHeight="1" thickBot="1" x14ac:dyDescent="0.35">
      <c r="A1" s="44" t="s">
        <v>133</v>
      </c>
      <c r="B1" s="44" t="s">
        <v>134</v>
      </c>
      <c r="C1" s="51" t="s">
        <v>158</v>
      </c>
      <c r="D1" s="44" t="s">
        <v>145</v>
      </c>
      <c r="E1" s="44" t="s">
        <v>146</v>
      </c>
    </row>
    <row r="2" spans="1:6" ht="15" thickBot="1" x14ac:dyDescent="0.35">
      <c r="A2" s="43">
        <v>46006</v>
      </c>
      <c r="B2" s="40" t="s">
        <v>182</v>
      </c>
      <c r="C2" s="52">
        <v>14837.15</v>
      </c>
      <c r="D2" s="40" t="s">
        <v>121</v>
      </c>
      <c r="E2" s="40" t="s">
        <v>136</v>
      </c>
    </row>
    <row r="3" spans="1:6" ht="15" thickBot="1" x14ac:dyDescent="0.35">
      <c r="A3" s="43">
        <v>46006</v>
      </c>
      <c r="B3" s="40" t="s">
        <v>182</v>
      </c>
      <c r="C3" s="52">
        <v>185464.38</v>
      </c>
      <c r="D3" s="40" t="s">
        <v>121</v>
      </c>
      <c r="E3" s="40" t="s">
        <v>136</v>
      </c>
    </row>
    <row r="4" spans="1:6" ht="15" thickBot="1" x14ac:dyDescent="0.35">
      <c r="A4" s="43">
        <v>46007</v>
      </c>
      <c r="B4" s="40" t="s">
        <v>225</v>
      </c>
      <c r="C4" s="52">
        <v>50394.16</v>
      </c>
      <c r="D4" s="40" t="s">
        <v>121</v>
      </c>
      <c r="E4" s="40" t="s">
        <v>136</v>
      </c>
    </row>
    <row r="5" spans="1:6" ht="19.5" customHeight="1" thickBot="1" x14ac:dyDescent="0.35">
      <c r="A5" s="43">
        <v>46010</v>
      </c>
      <c r="B5" s="40" t="s">
        <v>241</v>
      </c>
      <c r="C5" s="52">
        <v>1000</v>
      </c>
      <c r="D5" s="40" t="s">
        <v>136</v>
      </c>
      <c r="E5" s="40" t="s">
        <v>136</v>
      </c>
    </row>
    <row r="6" spans="1:6" ht="19.5" customHeight="1" thickBot="1" x14ac:dyDescent="0.35">
      <c r="A6" s="43">
        <v>46014</v>
      </c>
      <c r="B6" s="40" t="s">
        <v>241</v>
      </c>
      <c r="C6" s="52">
        <v>1000</v>
      </c>
      <c r="D6" s="40" t="s">
        <v>136</v>
      </c>
      <c r="E6" s="40" t="s">
        <v>136</v>
      </c>
    </row>
    <row r="7" spans="1:6" ht="19.5" customHeight="1" thickBot="1" x14ac:dyDescent="0.35">
      <c r="A7" s="43">
        <v>46021</v>
      </c>
      <c r="B7" s="40" t="s">
        <v>241</v>
      </c>
      <c r="C7" s="52">
        <v>1000</v>
      </c>
      <c r="D7" s="40" t="s">
        <v>136</v>
      </c>
      <c r="E7" s="40" t="s">
        <v>136</v>
      </c>
    </row>
    <row r="8" spans="1:6" ht="19.5" customHeight="1" thickBot="1" x14ac:dyDescent="0.35">
      <c r="A8" s="43">
        <v>46021</v>
      </c>
      <c r="B8" s="40" t="s">
        <v>241</v>
      </c>
      <c r="C8" s="52">
        <v>1000</v>
      </c>
      <c r="D8" s="40" t="s">
        <v>136</v>
      </c>
      <c r="E8" s="40" t="s">
        <v>136</v>
      </c>
    </row>
    <row r="9" spans="1:6" ht="14.4" thickBot="1" x14ac:dyDescent="0.35">
      <c r="A9" s="44"/>
      <c r="B9" s="45" t="s">
        <v>136</v>
      </c>
      <c r="C9" s="46">
        <f>SUM(C2:C8)</f>
        <v>254695.69</v>
      </c>
      <c r="D9" s="44"/>
      <c r="E9" s="44"/>
    </row>
    <row r="10" spans="1:6" ht="15" thickBot="1" x14ac:dyDescent="0.35">
      <c r="A10" s="43">
        <v>46017</v>
      </c>
      <c r="B10" s="40" t="s">
        <v>259</v>
      </c>
      <c r="C10" s="52">
        <v>1020640</v>
      </c>
      <c r="D10" s="40" t="s">
        <v>155</v>
      </c>
      <c r="E10" s="40" t="s">
        <v>155</v>
      </c>
    </row>
    <row r="11" spans="1:6" ht="15" thickBot="1" x14ac:dyDescent="0.35">
      <c r="A11" s="43">
        <v>46017</v>
      </c>
      <c r="B11" s="40" t="s">
        <v>260</v>
      </c>
      <c r="C11" s="52">
        <v>1439619</v>
      </c>
      <c r="D11" s="40" t="s">
        <v>155</v>
      </c>
      <c r="E11" s="40" t="s">
        <v>155</v>
      </c>
    </row>
    <row r="12" spans="1:6" ht="14.4" thickBot="1" x14ac:dyDescent="0.35">
      <c r="A12" s="44"/>
      <c r="B12" s="45" t="s">
        <v>185</v>
      </c>
      <c r="C12" s="46">
        <f>SUM(C10:C11)</f>
        <v>2460259</v>
      </c>
      <c r="D12" s="44"/>
      <c r="E12" s="44"/>
    </row>
    <row r="13" spans="1:6" ht="16.5" customHeight="1" thickBot="1" x14ac:dyDescent="0.35">
      <c r="A13" s="54">
        <v>46021</v>
      </c>
      <c r="B13" s="56" t="s">
        <v>258</v>
      </c>
      <c r="C13" s="57">
        <v>2904720</v>
      </c>
      <c r="D13" s="40" t="s">
        <v>155</v>
      </c>
      <c r="E13" s="40" t="s">
        <v>155</v>
      </c>
    </row>
    <row r="14" spans="1:6" ht="14.4" thickBot="1" x14ac:dyDescent="0.35">
      <c r="A14" s="44"/>
      <c r="B14" s="45" t="s">
        <v>186</v>
      </c>
      <c r="C14" s="46">
        <f>SUM(C13)</f>
        <v>2904720</v>
      </c>
      <c r="D14" s="44"/>
      <c r="E14" s="44"/>
    </row>
    <row r="15" spans="1:6" ht="16.5" customHeight="1" thickBot="1" x14ac:dyDescent="0.35">
      <c r="A15" s="43">
        <v>45995</v>
      </c>
      <c r="B15" s="41" t="s">
        <v>211</v>
      </c>
      <c r="C15" s="52">
        <v>581706.4</v>
      </c>
      <c r="D15" s="40" t="s">
        <v>179</v>
      </c>
      <c r="E15" s="40" t="s">
        <v>156</v>
      </c>
      <c r="F15" s="59" t="s">
        <v>192</v>
      </c>
    </row>
    <row r="16" spans="1:6" ht="16.5" customHeight="1" thickBot="1" x14ac:dyDescent="0.35">
      <c r="A16" s="43">
        <v>46000</v>
      </c>
      <c r="B16" s="41" t="s">
        <v>218</v>
      </c>
      <c r="C16" s="52">
        <v>130696.4</v>
      </c>
      <c r="D16" s="40" t="s">
        <v>181</v>
      </c>
      <c r="E16" s="40" t="s">
        <v>219</v>
      </c>
      <c r="F16" s="59" t="s">
        <v>220</v>
      </c>
    </row>
    <row r="17" spans="1:6" ht="16.5" customHeight="1" thickBot="1" x14ac:dyDescent="0.35">
      <c r="A17" s="43">
        <v>46003</v>
      </c>
      <c r="B17" s="41" t="s">
        <v>223</v>
      </c>
      <c r="C17" s="52">
        <v>36385.43</v>
      </c>
      <c r="D17" s="40" t="s">
        <v>179</v>
      </c>
      <c r="E17" s="40" t="s">
        <v>184</v>
      </c>
      <c r="F17" s="59" t="s">
        <v>224</v>
      </c>
    </row>
    <row r="18" spans="1:6" ht="15" thickBot="1" x14ac:dyDescent="0.35">
      <c r="A18" s="43">
        <v>46006</v>
      </c>
      <c r="B18" s="41" t="s">
        <v>226</v>
      </c>
      <c r="C18" s="52">
        <v>27202430.809999999</v>
      </c>
      <c r="D18" s="40" t="s">
        <v>181</v>
      </c>
      <c r="E18" s="40" t="s">
        <v>205</v>
      </c>
      <c r="F18" s="59" t="s">
        <v>206</v>
      </c>
    </row>
    <row r="19" spans="1:6" ht="15" thickBot="1" x14ac:dyDescent="0.35">
      <c r="A19" s="43">
        <v>46008</v>
      </c>
      <c r="B19" s="41" t="s">
        <v>229</v>
      </c>
      <c r="C19" s="52">
        <v>2106245.15</v>
      </c>
      <c r="D19" s="40" t="s">
        <v>179</v>
      </c>
      <c r="E19" s="40" t="s">
        <v>257</v>
      </c>
      <c r="F19" s="59" t="s">
        <v>197</v>
      </c>
    </row>
    <row r="20" spans="1:6" ht="15" thickBot="1" x14ac:dyDescent="0.35">
      <c r="A20" s="43">
        <v>46008</v>
      </c>
      <c r="B20" s="41" t="s">
        <v>230</v>
      </c>
      <c r="C20" s="52">
        <v>4276954.6500000004</v>
      </c>
      <c r="D20" s="40" t="s">
        <v>179</v>
      </c>
      <c r="E20" s="40" t="s">
        <v>257</v>
      </c>
      <c r="F20" s="59" t="s">
        <v>197</v>
      </c>
    </row>
    <row r="21" spans="1:6" ht="15" thickBot="1" x14ac:dyDescent="0.35">
      <c r="A21" s="43">
        <v>46008</v>
      </c>
      <c r="B21" s="41" t="s">
        <v>231</v>
      </c>
      <c r="C21" s="52">
        <v>1013513.14</v>
      </c>
      <c r="D21" s="40" t="s">
        <v>181</v>
      </c>
      <c r="E21" s="40" t="s">
        <v>232</v>
      </c>
      <c r="F21" s="59" t="s">
        <v>233</v>
      </c>
    </row>
    <row r="22" spans="1:6" ht="15" thickBot="1" x14ac:dyDescent="0.35">
      <c r="A22" s="43">
        <v>46010</v>
      </c>
      <c r="B22" s="41" t="s">
        <v>239</v>
      </c>
      <c r="C22" s="52">
        <v>1929143.4</v>
      </c>
      <c r="D22" s="40" t="s">
        <v>179</v>
      </c>
      <c r="E22" s="40" t="s">
        <v>184</v>
      </c>
      <c r="F22" s="59" t="s">
        <v>240</v>
      </c>
    </row>
    <row r="23" spans="1:6" ht="16.5" customHeight="1" thickBot="1" x14ac:dyDescent="0.35">
      <c r="A23" s="43">
        <v>46014</v>
      </c>
      <c r="B23" s="41" t="s">
        <v>242</v>
      </c>
      <c r="C23" s="52">
        <v>300000</v>
      </c>
      <c r="D23" s="40" t="s">
        <v>179</v>
      </c>
      <c r="E23" s="40" t="s">
        <v>193</v>
      </c>
      <c r="F23" s="59" t="s">
        <v>194</v>
      </c>
    </row>
    <row r="24" spans="1:6" ht="15" thickBot="1" x14ac:dyDescent="0.35">
      <c r="A24" s="43">
        <v>46014</v>
      </c>
      <c r="B24" s="41" t="s">
        <v>198</v>
      </c>
      <c r="C24" s="52">
        <v>2200000</v>
      </c>
      <c r="D24" s="40" t="s">
        <v>178</v>
      </c>
      <c r="E24" s="40" t="s">
        <v>180</v>
      </c>
      <c r="F24" s="59" t="s">
        <v>199</v>
      </c>
    </row>
    <row r="25" spans="1:6" ht="15" thickBot="1" x14ac:dyDescent="0.35">
      <c r="A25" s="43">
        <v>46021</v>
      </c>
      <c r="B25" s="41" t="s">
        <v>248</v>
      </c>
      <c r="C25" s="52">
        <v>424031.4</v>
      </c>
      <c r="D25" s="40" t="s">
        <v>181</v>
      </c>
      <c r="E25" s="40" t="s">
        <v>187</v>
      </c>
      <c r="F25" s="59" t="s">
        <v>249</v>
      </c>
    </row>
    <row r="26" spans="1:6" ht="15" thickBot="1" x14ac:dyDescent="0.35">
      <c r="A26" s="43">
        <v>46021</v>
      </c>
      <c r="B26" s="62" t="s">
        <v>251</v>
      </c>
      <c r="C26" s="52">
        <v>1187243.3999999999</v>
      </c>
      <c r="D26" s="40" t="s">
        <v>179</v>
      </c>
      <c r="E26" s="40" t="s">
        <v>252</v>
      </c>
      <c r="F26" s="59" t="s">
        <v>253</v>
      </c>
    </row>
    <row r="27" spans="1:6" ht="14.4" thickBot="1" x14ac:dyDescent="0.35">
      <c r="A27" s="44"/>
      <c r="B27" s="45" t="s">
        <v>157</v>
      </c>
      <c r="C27" s="46">
        <f>SUM(C15:C26)</f>
        <v>41388350.179999992</v>
      </c>
      <c r="D27" s="44"/>
      <c r="E27" s="44"/>
    </row>
    <row r="28" spans="1:6" ht="15" thickBot="1" x14ac:dyDescent="0.35">
      <c r="A28" s="43">
        <v>46008</v>
      </c>
      <c r="B28" s="62" t="s">
        <v>227</v>
      </c>
      <c r="C28" s="52">
        <v>394043.4</v>
      </c>
      <c r="D28" s="40" t="s">
        <v>195</v>
      </c>
      <c r="E28" s="40" t="s">
        <v>196</v>
      </c>
      <c r="F28" s="59" t="s">
        <v>228</v>
      </c>
    </row>
    <row r="29" spans="1:6" ht="15" thickBot="1" x14ac:dyDescent="0.35">
      <c r="A29" s="43">
        <v>46008</v>
      </c>
      <c r="B29" s="62" t="s">
        <v>255</v>
      </c>
      <c r="C29" s="52">
        <v>142343.4</v>
      </c>
      <c r="D29" s="40" t="s">
        <v>195</v>
      </c>
      <c r="E29" s="40" t="s">
        <v>196</v>
      </c>
      <c r="F29" s="59" t="s">
        <v>256</v>
      </c>
    </row>
    <row r="30" spans="1:6" ht="15" thickBot="1" x14ac:dyDescent="0.35">
      <c r="A30" s="43">
        <v>46008</v>
      </c>
      <c r="B30" s="62" t="s">
        <v>227</v>
      </c>
      <c r="C30" s="52">
        <v>394043.4</v>
      </c>
      <c r="D30" s="40" t="s">
        <v>195</v>
      </c>
      <c r="E30" s="40" t="s">
        <v>196</v>
      </c>
      <c r="F30" s="59" t="s">
        <v>228</v>
      </c>
    </row>
    <row r="31" spans="1:6" ht="15" thickBot="1" x14ac:dyDescent="0.35">
      <c r="A31" s="43">
        <v>46014</v>
      </c>
      <c r="B31" s="62" t="s">
        <v>243</v>
      </c>
      <c r="C31" s="52">
        <v>699243.4</v>
      </c>
      <c r="D31" s="40" t="s">
        <v>179</v>
      </c>
      <c r="E31" s="40" t="s">
        <v>196</v>
      </c>
      <c r="F31" s="59" t="s">
        <v>244</v>
      </c>
    </row>
    <row r="32" spans="1:6" ht="14.4" thickBot="1" x14ac:dyDescent="0.35">
      <c r="A32" s="44"/>
      <c r="B32" s="45" t="s">
        <v>154</v>
      </c>
      <c r="C32" s="46">
        <f>SUM(C28:C31)</f>
        <v>1629673.6</v>
      </c>
      <c r="D32" s="44"/>
      <c r="E32" s="44"/>
    </row>
    <row r="33" spans="1:5" ht="15" thickBot="1" x14ac:dyDescent="0.35">
      <c r="A33" s="43">
        <v>45992</v>
      </c>
      <c r="B33" s="40" t="s">
        <v>170</v>
      </c>
      <c r="C33" s="52">
        <v>20</v>
      </c>
      <c r="D33" s="40" t="s">
        <v>121</v>
      </c>
      <c r="E33" s="40" t="s">
        <v>123</v>
      </c>
    </row>
    <row r="34" spans="1:5" ht="15" thickBot="1" x14ac:dyDescent="0.35">
      <c r="A34" s="43">
        <v>45992</v>
      </c>
      <c r="B34" s="40" t="s">
        <v>170</v>
      </c>
      <c r="C34" s="52">
        <v>79.33</v>
      </c>
      <c r="D34" s="40" t="s">
        <v>121</v>
      </c>
      <c r="E34" s="40" t="s">
        <v>123</v>
      </c>
    </row>
    <row r="35" spans="1:5" ht="15" thickBot="1" x14ac:dyDescent="0.35">
      <c r="A35" s="43">
        <v>45992</v>
      </c>
      <c r="B35" s="40" t="s">
        <v>173</v>
      </c>
      <c r="C35" s="52">
        <v>27125589</v>
      </c>
      <c r="D35" s="40" t="s">
        <v>121</v>
      </c>
      <c r="E35" s="40" t="s">
        <v>175</v>
      </c>
    </row>
    <row r="36" spans="1:5" ht="15" thickBot="1" x14ac:dyDescent="0.35">
      <c r="A36" s="43">
        <v>45992</v>
      </c>
      <c r="B36" s="40" t="s">
        <v>170</v>
      </c>
      <c r="C36" s="52">
        <v>79.33</v>
      </c>
      <c r="D36" s="40" t="s">
        <v>121</v>
      </c>
      <c r="E36" s="40" t="s">
        <v>123</v>
      </c>
    </row>
    <row r="37" spans="1:5" ht="15" thickBot="1" x14ac:dyDescent="0.35">
      <c r="A37" s="43">
        <v>45992</v>
      </c>
      <c r="B37" s="40" t="s">
        <v>170</v>
      </c>
      <c r="C37" s="52">
        <v>314.93</v>
      </c>
      <c r="D37" s="40" t="s">
        <v>121</v>
      </c>
      <c r="E37" s="40" t="s">
        <v>123</v>
      </c>
    </row>
    <row r="38" spans="1:5" ht="15" thickBot="1" x14ac:dyDescent="0.35">
      <c r="A38" s="43">
        <v>45992</v>
      </c>
      <c r="B38" s="40" t="s">
        <v>172</v>
      </c>
      <c r="C38" s="52">
        <v>163368.75</v>
      </c>
      <c r="D38" s="40" t="s">
        <v>121</v>
      </c>
      <c r="E38" s="40" t="s">
        <v>122</v>
      </c>
    </row>
    <row r="39" spans="1:5" ht="15" thickBot="1" x14ac:dyDescent="0.35">
      <c r="A39" s="43">
        <v>45992</v>
      </c>
      <c r="B39" s="40" t="s">
        <v>172</v>
      </c>
      <c r="C39" s="52">
        <v>29614.83</v>
      </c>
      <c r="D39" s="40" t="s">
        <v>121</v>
      </c>
      <c r="E39" s="40" t="s">
        <v>122</v>
      </c>
    </row>
    <row r="40" spans="1:5" ht="15" thickBot="1" x14ac:dyDescent="0.35">
      <c r="A40" s="43">
        <v>45992</v>
      </c>
      <c r="B40" s="40" t="s">
        <v>171</v>
      </c>
      <c r="C40" s="52">
        <v>2.96</v>
      </c>
      <c r="D40" s="40" t="s">
        <v>121</v>
      </c>
      <c r="E40" s="40" t="s">
        <v>122</v>
      </c>
    </row>
    <row r="41" spans="1:5" ht="15" thickBot="1" x14ac:dyDescent="0.35">
      <c r="A41" s="43">
        <v>45994</v>
      </c>
      <c r="B41" s="40" t="s">
        <v>170</v>
      </c>
      <c r="C41" s="52">
        <v>10.49</v>
      </c>
      <c r="D41" s="40" t="s">
        <v>121</v>
      </c>
      <c r="E41" s="40" t="s">
        <v>123</v>
      </c>
    </row>
    <row r="42" spans="1:5" ht="15" thickBot="1" x14ac:dyDescent="0.35">
      <c r="A42" s="43">
        <v>45994</v>
      </c>
      <c r="B42" s="40" t="s">
        <v>170</v>
      </c>
      <c r="C42" s="52">
        <v>314.93</v>
      </c>
      <c r="D42" s="40" t="s">
        <v>121</v>
      </c>
      <c r="E42" s="40" t="s">
        <v>123</v>
      </c>
    </row>
    <row r="43" spans="1:5" ht="15" thickBot="1" x14ac:dyDescent="0.35">
      <c r="A43" s="43">
        <v>45994</v>
      </c>
      <c r="B43" s="40" t="s">
        <v>172</v>
      </c>
      <c r="C43" s="52">
        <v>19525.02</v>
      </c>
      <c r="D43" s="40" t="s">
        <v>121</v>
      </c>
      <c r="E43" s="40" t="s">
        <v>122</v>
      </c>
    </row>
    <row r="44" spans="1:5" ht="15" thickBot="1" x14ac:dyDescent="0.35">
      <c r="A44" s="43">
        <v>45994</v>
      </c>
      <c r="B44" s="40" t="s">
        <v>171</v>
      </c>
      <c r="C44" s="52">
        <v>1.95</v>
      </c>
      <c r="D44" s="40" t="s">
        <v>121</v>
      </c>
      <c r="E44" s="40" t="s">
        <v>122</v>
      </c>
    </row>
    <row r="45" spans="1:5" ht="15" thickBot="1" x14ac:dyDescent="0.35">
      <c r="A45" s="43">
        <v>45995</v>
      </c>
      <c r="B45" s="40" t="s">
        <v>170</v>
      </c>
      <c r="C45" s="52">
        <v>9.31</v>
      </c>
      <c r="D45" s="40" t="s">
        <v>121</v>
      </c>
      <c r="E45" s="40" t="s">
        <v>123</v>
      </c>
    </row>
    <row r="46" spans="1:5" ht="15" thickBot="1" x14ac:dyDescent="0.35">
      <c r="A46" s="43">
        <v>45995</v>
      </c>
      <c r="B46" s="40" t="s">
        <v>170</v>
      </c>
      <c r="C46" s="52">
        <v>7.0000000000000007E-2</v>
      </c>
      <c r="D46" s="40" t="s">
        <v>121</v>
      </c>
      <c r="E46" s="40" t="s">
        <v>123</v>
      </c>
    </row>
    <row r="47" spans="1:5" ht="15" thickBot="1" x14ac:dyDescent="0.35">
      <c r="A47" s="43">
        <v>45995</v>
      </c>
      <c r="B47" s="40" t="s">
        <v>171</v>
      </c>
      <c r="C47" s="52">
        <v>34224.14</v>
      </c>
      <c r="D47" s="40" t="s">
        <v>121</v>
      </c>
      <c r="E47" s="40" t="s">
        <v>122</v>
      </c>
    </row>
    <row r="48" spans="1:5" ht="15" thickBot="1" x14ac:dyDescent="0.35">
      <c r="A48" s="43">
        <v>45995</v>
      </c>
      <c r="B48" s="40" t="s">
        <v>172</v>
      </c>
      <c r="C48" s="52">
        <v>562.83000000000004</v>
      </c>
      <c r="D48" s="40" t="s">
        <v>121</v>
      </c>
      <c r="E48" s="40" t="s">
        <v>122</v>
      </c>
    </row>
    <row r="49" spans="1:5" ht="15" thickBot="1" x14ac:dyDescent="0.35">
      <c r="A49" s="43">
        <v>45995</v>
      </c>
      <c r="B49" s="40" t="s">
        <v>171</v>
      </c>
      <c r="C49" s="52">
        <v>0.06</v>
      </c>
      <c r="D49" s="40" t="s">
        <v>121</v>
      </c>
      <c r="E49" s="40" t="s">
        <v>122</v>
      </c>
    </row>
    <row r="50" spans="1:5" ht="15" thickBot="1" x14ac:dyDescent="0.35">
      <c r="A50" s="43">
        <v>45996</v>
      </c>
      <c r="B50" s="40" t="s">
        <v>170</v>
      </c>
      <c r="C50" s="52">
        <v>122.2</v>
      </c>
      <c r="D50" s="40" t="s">
        <v>121</v>
      </c>
      <c r="E50" s="40" t="s">
        <v>123</v>
      </c>
    </row>
    <row r="51" spans="1:5" ht="15" thickBot="1" x14ac:dyDescent="0.35">
      <c r="A51" s="43">
        <v>45996</v>
      </c>
      <c r="B51" s="40" t="s">
        <v>170</v>
      </c>
      <c r="C51" s="52">
        <v>20</v>
      </c>
      <c r="D51" s="40" t="s">
        <v>121</v>
      </c>
      <c r="E51" s="40" t="s">
        <v>123</v>
      </c>
    </row>
    <row r="52" spans="1:5" ht="15" thickBot="1" x14ac:dyDescent="0.35">
      <c r="A52" s="43">
        <v>45996</v>
      </c>
      <c r="B52" s="40" t="s">
        <v>170</v>
      </c>
      <c r="C52" s="52">
        <v>333.72</v>
      </c>
      <c r="D52" s="40" t="s">
        <v>121</v>
      </c>
      <c r="E52" s="40" t="s">
        <v>123</v>
      </c>
    </row>
    <row r="53" spans="1:5" ht="15" thickBot="1" x14ac:dyDescent="0.35">
      <c r="A53" s="43">
        <v>45996</v>
      </c>
      <c r="B53" s="40" t="s">
        <v>170</v>
      </c>
      <c r="C53" s="52">
        <v>35</v>
      </c>
      <c r="D53" s="40" t="s">
        <v>121</v>
      </c>
      <c r="E53" s="40" t="s">
        <v>123</v>
      </c>
    </row>
    <row r="54" spans="1:5" ht="15" thickBot="1" x14ac:dyDescent="0.35">
      <c r="A54" s="43">
        <v>45996</v>
      </c>
      <c r="B54" s="40" t="s">
        <v>171</v>
      </c>
      <c r="C54" s="52">
        <v>1221.01</v>
      </c>
      <c r="D54" s="40" t="s">
        <v>121</v>
      </c>
      <c r="E54" s="40" t="s">
        <v>122</v>
      </c>
    </row>
    <row r="55" spans="1:5" ht="15" thickBot="1" x14ac:dyDescent="0.35">
      <c r="A55" s="43">
        <v>45996</v>
      </c>
      <c r="B55" s="40" t="s">
        <v>172</v>
      </c>
      <c r="C55" s="52">
        <v>30654.93</v>
      </c>
      <c r="D55" s="40" t="s">
        <v>121</v>
      </c>
      <c r="E55" s="40" t="s">
        <v>122</v>
      </c>
    </row>
    <row r="56" spans="1:5" ht="15" thickBot="1" x14ac:dyDescent="0.35">
      <c r="A56" s="43">
        <v>45996</v>
      </c>
      <c r="B56" s="40" t="s">
        <v>171</v>
      </c>
      <c r="C56" s="52">
        <v>3.07</v>
      </c>
      <c r="D56" s="40" t="s">
        <v>121</v>
      </c>
      <c r="E56" s="40" t="s">
        <v>122</v>
      </c>
    </row>
    <row r="57" spans="1:5" ht="15" thickBot="1" x14ac:dyDescent="0.35">
      <c r="A57" s="43">
        <v>46000</v>
      </c>
      <c r="B57" s="40" t="s">
        <v>170</v>
      </c>
      <c r="C57" s="52">
        <v>314.93</v>
      </c>
      <c r="D57" s="40" t="s">
        <v>121</v>
      </c>
      <c r="E57" s="40" t="s">
        <v>123</v>
      </c>
    </row>
    <row r="58" spans="1:5" ht="15" thickBot="1" x14ac:dyDescent="0.35">
      <c r="A58" s="43">
        <v>46000</v>
      </c>
      <c r="B58" s="40" t="s">
        <v>216</v>
      </c>
      <c r="C58" s="52">
        <v>39600.519999999997</v>
      </c>
      <c r="D58" s="40" t="s">
        <v>121</v>
      </c>
      <c r="E58" s="40" t="s">
        <v>153</v>
      </c>
    </row>
    <row r="59" spans="1:5" ht="15" thickBot="1" x14ac:dyDescent="0.35">
      <c r="A59" s="43">
        <v>46000</v>
      </c>
      <c r="B59" s="40" t="s">
        <v>217</v>
      </c>
      <c r="C59" s="52">
        <v>51373.59</v>
      </c>
      <c r="D59" s="40" t="s">
        <v>121</v>
      </c>
      <c r="E59" s="40" t="s">
        <v>144</v>
      </c>
    </row>
    <row r="60" spans="1:5" ht="15" thickBot="1" x14ac:dyDescent="0.35">
      <c r="A60" s="43">
        <v>46000</v>
      </c>
      <c r="B60" s="40" t="s">
        <v>173</v>
      </c>
      <c r="C60" s="52">
        <v>1264024.27</v>
      </c>
      <c r="D60" s="40" t="s">
        <v>121</v>
      </c>
      <c r="E60" s="40" t="s">
        <v>175</v>
      </c>
    </row>
    <row r="61" spans="1:5" ht="15" thickBot="1" x14ac:dyDescent="0.35">
      <c r="A61" s="43">
        <v>46000</v>
      </c>
      <c r="B61" s="40" t="s">
        <v>171</v>
      </c>
      <c r="C61" s="52">
        <v>8914.17</v>
      </c>
      <c r="D61" s="40" t="s">
        <v>121</v>
      </c>
      <c r="E61" s="40" t="s">
        <v>122</v>
      </c>
    </row>
    <row r="62" spans="1:5" ht="15" thickBot="1" x14ac:dyDescent="0.35">
      <c r="A62" s="43">
        <v>46000</v>
      </c>
      <c r="B62" s="40" t="s">
        <v>172</v>
      </c>
      <c r="C62" s="52">
        <v>18895.5</v>
      </c>
      <c r="D62" s="40" t="s">
        <v>121</v>
      </c>
      <c r="E62" s="40" t="s">
        <v>122</v>
      </c>
    </row>
    <row r="63" spans="1:5" ht="15" thickBot="1" x14ac:dyDescent="0.35">
      <c r="A63" s="43">
        <v>46000</v>
      </c>
      <c r="B63" s="40" t="s">
        <v>171</v>
      </c>
      <c r="C63" s="52">
        <v>1.89</v>
      </c>
      <c r="D63" s="40" t="s">
        <v>121</v>
      </c>
      <c r="E63" s="40" t="s">
        <v>122</v>
      </c>
    </row>
    <row r="64" spans="1:5" ht="15" thickBot="1" x14ac:dyDescent="0.35">
      <c r="A64" s="43" t="s">
        <v>222</v>
      </c>
      <c r="B64" s="40" t="s">
        <v>170</v>
      </c>
      <c r="C64" s="52">
        <v>166.86</v>
      </c>
      <c r="D64" s="40" t="s">
        <v>121</v>
      </c>
      <c r="E64" s="40" t="s">
        <v>123</v>
      </c>
    </row>
    <row r="65" spans="1:5" ht="15" thickBot="1" x14ac:dyDescent="0.35">
      <c r="A65" s="43" t="s">
        <v>222</v>
      </c>
      <c r="B65" s="40" t="s">
        <v>170</v>
      </c>
      <c r="C65" s="52">
        <v>17.239999999999998</v>
      </c>
      <c r="D65" s="40" t="s">
        <v>121</v>
      </c>
      <c r="E65" s="40" t="s">
        <v>123</v>
      </c>
    </row>
    <row r="66" spans="1:5" ht="15" thickBot="1" x14ac:dyDescent="0.35">
      <c r="A66" s="43" t="s">
        <v>222</v>
      </c>
      <c r="B66" s="40" t="s">
        <v>170</v>
      </c>
      <c r="C66" s="52">
        <v>12.83</v>
      </c>
      <c r="D66" s="40" t="s">
        <v>121</v>
      </c>
      <c r="E66" s="40" t="s">
        <v>123</v>
      </c>
    </row>
    <row r="67" spans="1:5" ht="15" thickBot="1" x14ac:dyDescent="0.35">
      <c r="A67" s="43" t="s">
        <v>222</v>
      </c>
      <c r="B67" s="40" t="s">
        <v>171</v>
      </c>
      <c r="C67" s="52">
        <v>924.2</v>
      </c>
      <c r="D67" s="40" t="s">
        <v>121</v>
      </c>
      <c r="E67" s="40" t="s">
        <v>122</v>
      </c>
    </row>
    <row r="68" spans="1:5" ht="15" thickBot="1" x14ac:dyDescent="0.35">
      <c r="A68" s="43" t="s">
        <v>222</v>
      </c>
      <c r="B68" s="40" t="s">
        <v>172</v>
      </c>
      <c r="C68" s="52">
        <v>11815.22</v>
      </c>
      <c r="D68" s="40" t="s">
        <v>121</v>
      </c>
      <c r="E68" s="40" t="s">
        <v>122</v>
      </c>
    </row>
    <row r="69" spans="1:5" ht="15" thickBot="1" x14ac:dyDescent="0.35">
      <c r="A69" s="43" t="s">
        <v>222</v>
      </c>
      <c r="B69" s="40" t="s">
        <v>171</v>
      </c>
      <c r="C69" s="52">
        <v>1.18</v>
      </c>
      <c r="D69" s="40" t="s">
        <v>121</v>
      </c>
      <c r="E69" s="40" t="s">
        <v>122</v>
      </c>
    </row>
    <row r="70" spans="1:5" ht="15" thickBot="1" x14ac:dyDescent="0.35">
      <c r="A70" s="43">
        <v>46002</v>
      </c>
      <c r="B70" s="40" t="s">
        <v>170</v>
      </c>
      <c r="C70" s="52">
        <v>329.9</v>
      </c>
      <c r="D70" s="40" t="s">
        <v>121</v>
      </c>
      <c r="E70" s="40" t="s">
        <v>123</v>
      </c>
    </row>
    <row r="71" spans="1:5" ht="15" thickBot="1" x14ac:dyDescent="0.35">
      <c r="A71" s="43">
        <v>46002</v>
      </c>
      <c r="B71" s="40" t="s">
        <v>170</v>
      </c>
      <c r="C71" s="52">
        <v>443.34</v>
      </c>
      <c r="D71" s="40" t="s">
        <v>121</v>
      </c>
      <c r="E71" s="40" t="s">
        <v>123</v>
      </c>
    </row>
    <row r="72" spans="1:5" ht="15" thickBot="1" x14ac:dyDescent="0.35">
      <c r="A72" s="43">
        <v>46002</v>
      </c>
      <c r="B72" s="40" t="s">
        <v>171</v>
      </c>
      <c r="C72" s="52">
        <v>125.5</v>
      </c>
      <c r="D72" s="40" t="s">
        <v>121</v>
      </c>
      <c r="E72" s="40" t="s">
        <v>122</v>
      </c>
    </row>
    <row r="73" spans="1:5" ht="15" thickBot="1" x14ac:dyDescent="0.35">
      <c r="A73" s="43">
        <v>46002</v>
      </c>
      <c r="B73" s="40" t="s">
        <v>170</v>
      </c>
      <c r="C73" s="52">
        <v>190.02</v>
      </c>
      <c r="D73" s="40" t="s">
        <v>121</v>
      </c>
      <c r="E73" s="40" t="s">
        <v>123</v>
      </c>
    </row>
    <row r="74" spans="1:5" ht="15" thickBot="1" x14ac:dyDescent="0.35">
      <c r="A74" s="43">
        <v>46002</v>
      </c>
      <c r="B74" s="40" t="s">
        <v>172</v>
      </c>
      <c r="C74" s="52">
        <v>11401.23</v>
      </c>
      <c r="D74" s="40" t="s">
        <v>121</v>
      </c>
      <c r="E74" s="40" t="s">
        <v>122</v>
      </c>
    </row>
    <row r="75" spans="1:5" ht="15" thickBot="1" x14ac:dyDescent="0.35">
      <c r="A75" s="43">
        <v>46002</v>
      </c>
      <c r="B75" s="40" t="s">
        <v>171</v>
      </c>
      <c r="C75" s="52">
        <v>1.1399999999999999</v>
      </c>
      <c r="D75" s="40" t="s">
        <v>121</v>
      </c>
      <c r="E75" s="40" t="s">
        <v>122</v>
      </c>
    </row>
    <row r="76" spans="1:5" ht="15" thickBot="1" x14ac:dyDescent="0.35">
      <c r="A76" s="43">
        <v>46006</v>
      </c>
      <c r="B76" s="40" t="s">
        <v>170</v>
      </c>
      <c r="C76" s="52">
        <v>61.1</v>
      </c>
      <c r="D76" s="40" t="s">
        <v>121</v>
      </c>
      <c r="E76" s="40" t="s">
        <v>123</v>
      </c>
    </row>
    <row r="77" spans="1:5" ht="15" thickBot="1" x14ac:dyDescent="0.35">
      <c r="A77" s="43">
        <v>46006</v>
      </c>
      <c r="B77" s="40" t="s">
        <v>117</v>
      </c>
      <c r="C77" s="52">
        <v>3115.8</v>
      </c>
      <c r="D77" s="40" t="s">
        <v>121</v>
      </c>
      <c r="E77" s="40" t="s">
        <v>174</v>
      </c>
    </row>
    <row r="78" spans="1:5" ht="15" thickBot="1" x14ac:dyDescent="0.35">
      <c r="A78" s="43">
        <v>46006</v>
      </c>
      <c r="B78" s="40" t="s">
        <v>168</v>
      </c>
      <c r="C78" s="52">
        <v>445.11</v>
      </c>
      <c r="D78" s="40" t="s">
        <v>121</v>
      </c>
      <c r="E78" s="40" t="s">
        <v>174</v>
      </c>
    </row>
    <row r="79" spans="1:5" ht="15" thickBot="1" x14ac:dyDescent="0.35">
      <c r="A79" s="43">
        <v>46006</v>
      </c>
      <c r="B79" s="40" t="s">
        <v>169</v>
      </c>
      <c r="C79" s="52">
        <v>445.11</v>
      </c>
      <c r="D79" s="40" t="s">
        <v>121</v>
      </c>
      <c r="E79" s="40" t="s">
        <v>118</v>
      </c>
    </row>
    <row r="80" spans="1:5" ht="15" thickBot="1" x14ac:dyDescent="0.35">
      <c r="A80" s="43">
        <v>46006</v>
      </c>
      <c r="B80" s="40" t="s">
        <v>117</v>
      </c>
      <c r="C80" s="52">
        <v>38947.519999999997</v>
      </c>
      <c r="D80" s="40" t="s">
        <v>121</v>
      </c>
      <c r="E80" s="40" t="s">
        <v>174</v>
      </c>
    </row>
    <row r="81" spans="1:5" ht="15" thickBot="1" x14ac:dyDescent="0.35">
      <c r="A81" s="43">
        <v>46006</v>
      </c>
      <c r="B81" s="40" t="s">
        <v>168</v>
      </c>
      <c r="C81" s="52">
        <v>5563.93</v>
      </c>
      <c r="D81" s="40" t="s">
        <v>121</v>
      </c>
      <c r="E81" s="40" t="s">
        <v>174</v>
      </c>
    </row>
    <row r="82" spans="1:5" ht="15" thickBot="1" x14ac:dyDescent="0.35">
      <c r="A82" s="43">
        <v>46006</v>
      </c>
      <c r="B82" s="40" t="s">
        <v>169</v>
      </c>
      <c r="C82" s="52">
        <v>5563.93</v>
      </c>
      <c r="D82" s="40" t="s">
        <v>121</v>
      </c>
      <c r="E82" s="40" t="s">
        <v>118</v>
      </c>
    </row>
    <row r="83" spans="1:5" ht="15" thickBot="1" x14ac:dyDescent="0.35">
      <c r="A83" s="43">
        <v>46006</v>
      </c>
      <c r="B83" s="40" t="s">
        <v>170</v>
      </c>
      <c r="C83" s="52">
        <v>6.3</v>
      </c>
      <c r="D83" s="40" t="s">
        <v>121</v>
      </c>
      <c r="E83" s="40" t="s">
        <v>123</v>
      </c>
    </row>
    <row r="84" spans="1:5" ht="15" thickBot="1" x14ac:dyDescent="0.35">
      <c r="A84" s="43">
        <v>46006</v>
      </c>
      <c r="B84" s="40" t="s">
        <v>171</v>
      </c>
      <c r="C84" s="52">
        <v>164740.88</v>
      </c>
      <c r="D84" s="40" t="s">
        <v>121</v>
      </c>
      <c r="E84" s="40" t="s">
        <v>122</v>
      </c>
    </row>
    <row r="85" spans="1:5" ht="15" thickBot="1" x14ac:dyDescent="0.35">
      <c r="A85" s="43">
        <v>46006</v>
      </c>
      <c r="B85" s="40" t="s">
        <v>172</v>
      </c>
      <c r="C85" s="52">
        <v>4044.22</v>
      </c>
      <c r="D85" s="40" t="s">
        <v>121</v>
      </c>
      <c r="E85" s="40" t="s">
        <v>122</v>
      </c>
    </row>
    <row r="86" spans="1:5" ht="15" thickBot="1" x14ac:dyDescent="0.35">
      <c r="A86" s="43">
        <v>46006</v>
      </c>
      <c r="B86" s="40" t="s">
        <v>171</v>
      </c>
      <c r="C86" s="52">
        <v>0.4</v>
      </c>
      <c r="D86" s="40" t="s">
        <v>121</v>
      </c>
      <c r="E86" s="40" t="s">
        <v>122</v>
      </c>
    </row>
    <row r="87" spans="1:5" ht="15" thickBot="1" x14ac:dyDescent="0.35">
      <c r="A87" s="43">
        <v>46007</v>
      </c>
      <c r="B87" s="40" t="s">
        <v>117</v>
      </c>
      <c r="C87" s="52">
        <v>10582.77</v>
      </c>
      <c r="D87" s="40" t="s">
        <v>121</v>
      </c>
      <c r="E87" s="40" t="s">
        <v>174</v>
      </c>
    </row>
    <row r="88" spans="1:5" ht="15" thickBot="1" x14ac:dyDescent="0.35">
      <c r="A88" s="43">
        <v>46007</v>
      </c>
      <c r="B88" s="40" t="s">
        <v>168</v>
      </c>
      <c r="C88" s="52">
        <v>1511.82</v>
      </c>
      <c r="D88" s="40" t="s">
        <v>121</v>
      </c>
      <c r="E88" s="40" t="s">
        <v>174</v>
      </c>
    </row>
    <row r="89" spans="1:5" ht="15" thickBot="1" x14ac:dyDescent="0.35">
      <c r="A89" s="43">
        <v>46007</v>
      </c>
      <c r="B89" s="40" t="s">
        <v>169</v>
      </c>
      <c r="C89" s="52">
        <v>1511.82</v>
      </c>
      <c r="D89" s="40" t="s">
        <v>121</v>
      </c>
      <c r="E89" s="40" t="s">
        <v>118</v>
      </c>
    </row>
    <row r="90" spans="1:5" ht="15" thickBot="1" x14ac:dyDescent="0.35">
      <c r="A90" s="43">
        <v>46007</v>
      </c>
      <c r="B90" s="40" t="s">
        <v>171</v>
      </c>
      <c r="C90" s="52">
        <v>384</v>
      </c>
      <c r="D90" s="40" t="s">
        <v>121</v>
      </c>
      <c r="E90" s="40" t="s">
        <v>122</v>
      </c>
    </row>
    <row r="91" spans="1:5" ht="15" thickBot="1" x14ac:dyDescent="0.35">
      <c r="A91" s="43">
        <v>46008</v>
      </c>
      <c r="B91" s="40" t="s">
        <v>170</v>
      </c>
      <c r="C91" s="52">
        <v>314.93</v>
      </c>
      <c r="D91" s="40" t="s">
        <v>121</v>
      </c>
      <c r="E91" s="40" t="s">
        <v>123</v>
      </c>
    </row>
    <row r="92" spans="1:5" ht="15" thickBot="1" x14ac:dyDescent="0.35">
      <c r="A92" s="43">
        <v>46008</v>
      </c>
      <c r="B92" s="40" t="s">
        <v>170</v>
      </c>
      <c r="C92" s="52">
        <v>0.01</v>
      </c>
      <c r="D92" s="40" t="s">
        <v>121</v>
      </c>
      <c r="E92" s="40" t="s">
        <v>123</v>
      </c>
    </row>
    <row r="93" spans="1:5" ht="15" thickBot="1" x14ac:dyDescent="0.35">
      <c r="A93" s="43">
        <v>46008</v>
      </c>
      <c r="B93" s="40" t="s">
        <v>170</v>
      </c>
      <c r="C93" s="52">
        <v>50</v>
      </c>
      <c r="D93" s="40" t="s">
        <v>121</v>
      </c>
      <c r="E93" s="40" t="s">
        <v>123</v>
      </c>
    </row>
    <row r="94" spans="1:5" ht="15" thickBot="1" x14ac:dyDescent="0.35">
      <c r="A94" s="43">
        <v>46008</v>
      </c>
      <c r="B94" s="40" t="s">
        <v>171</v>
      </c>
      <c r="C94" s="52">
        <v>47598.6</v>
      </c>
      <c r="D94" s="40" t="s">
        <v>121</v>
      </c>
      <c r="E94" s="40" t="s">
        <v>122</v>
      </c>
    </row>
    <row r="95" spans="1:5" ht="15" thickBot="1" x14ac:dyDescent="0.35">
      <c r="A95" s="43">
        <v>46008</v>
      </c>
      <c r="B95" s="40" t="s">
        <v>172</v>
      </c>
      <c r="C95" s="52">
        <v>21895.83</v>
      </c>
      <c r="D95" s="40" t="s">
        <v>121</v>
      </c>
      <c r="E95" s="40" t="s">
        <v>122</v>
      </c>
    </row>
    <row r="96" spans="1:5" ht="15" thickBot="1" x14ac:dyDescent="0.35">
      <c r="A96" s="43">
        <v>46008</v>
      </c>
      <c r="B96" s="40" t="s">
        <v>171</v>
      </c>
      <c r="C96" s="52">
        <v>2.19</v>
      </c>
      <c r="D96" s="40" t="s">
        <v>121</v>
      </c>
      <c r="E96" s="40" t="s">
        <v>122</v>
      </c>
    </row>
    <row r="97" spans="1:5" ht="15" thickBot="1" x14ac:dyDescent="0.35">
      <c r="A97" s="43">
        <v>46009</v>
      </c>
      <c r="B97" s="40" t="s">
        <v>170</v>
      </c>
      <c r="C97" s="52">
        <v>314.91000000000003</v>
      </c>
      <c r="D97" s="40" t="s">
        <v>121</v>
      </c>
      <c r="E97" s="40" t="s">
        <v>123</v>
      </c>
    </row>
    <row r="98" spans="1:5" ht="15" thickBot="1" x14ac:dyDescent="0.35">
      <c r="A98" s="43">
        <v>46009</v>
      </c>
      <c r="B98" s="40" t="s">
        <v>238</v>
      </c>
      <c r="C98" s="52">
        <v>13078.85</v>
      </c>
      <c r="D98" s="40" t="s">
        <v>121</v>
      </c>
      <c r="E98" s="40" t="s">
        <v>152</v>
      </c>
    </row>
    <row r="99" spans="1:5" ht="15" thickBot="1" x14ac:dyDescent="0.35">
      <c r="A99" s="43">
        <v>46009</v>
      </c>
      <c r="B99" s="40" t="s">
        <v>171</v>
      </c>
      <c r="C99" s="52">
        <v>10033.64</v>
      </c>
      <c r="D99" s="40" t="s">
        <v>121</v>
      </c>
      <c r="E99" s="40" t="s">
        <v>122</v>
      </c>
    </row>
    <row r="100" spans="1:5" ht="15" thickBot="1" x14ac:dyDescent="0.35">
      <c r="A100" s="43">
        <v>46009</v>
      </c>
      <c r="B100" s="40" t="s">
        <v>172</v>
      </c>
      <c r="C100" s="52">
        <v>18894.66</v>
      </c>
      <c r="D100" s="40" t="s">
        <v>121</v>
      </c>
      <c r="E100" s="40" t="s">
        <v>122</v>
      </c>
    </row>
    <row r="101" spans="1:5" ht="15" thickBot="1" x14ac:dyDescent="0.35">
      <c r="A101" s="43">
        <v>46009</v>
      </c>
      <c r="B101" s="40" t="s">
        <v>171</v>
      </c>
      <c r="C101" s="52">
        <v>1.89</v>
      </c>
      <c r="D101" s="40" t="s">
        <v>121</v>
      </c>
      <c r="E101" s="40" t="s">
        <v>122</v>
      </c>
    </row>
    <row r="102" spans="1:5" ht="15" thickBot="1" x14ac:dyDescent="0.35">
      <c r="A102" s="43">
        <v>46010</v>
      </c>
      <c r="B102" s="40" t="s">
        <v>117</v>
      </c>
      <c r="C102" s="52">
        <v>210</v>
      </c>
      <c r="D102" s="40" t="s">
        <v>121</v>
      </c>
      <c r="E102" s="40" t="s">
        <v>174</v>
      </c>
    </row>
    <row r="103" spans="1:5" ht="15" thickBot="1" x14ac:dyDescent="0.35">
      <c r="A103" s="43">
        <v>46010</v>
      </c>
      <c r="B103" s="40" t="s">
        <v>171</v>
      </c>
      <c r="C103" s="52">
        <v>11582.12</v>
      </c>
      <c r="D103" s="40" t="s">
        <v>121</v>
      </c>
      <c r="E103" s="40" t="s">
        <v>122</v>
      </c>
    </row>
    <row r="104" spans="1:5" ht="15" thickBot="1" x14ac:dyDescent="0.35">
      <c r="A104" s="43">
        <v>46013</v>
      </c>
      <c r="B104" s="40" t="s">
        <v>170</v>
      </c>
      <c r="C104" s="52">
        <v>314.93</v>
      </c>
      <c r="D104" s="40" t="s">
        <v>121</v>
      </c>
      <c r="E104" s="40" t="s">
        <v>123</v>
      </c>
    </row>
    <row r="105" spans="1:5" ht="15" thickBot="1" x14ac:dyDescent="0.35">
      <c r="A105" s="43">
        <v>46013</v>
      </c>
      <c r="B105" s="40" t="s">
        <v>172</v>
      </c>
      <c r="C105" s="52">
        <v>18895.5</v>
      </c>
      <c r="D105" s="40" t="s">
        <v>121</v>
      </c>
      <c r="E105" s="40" t="s">
        <v>122</v>
      </c>
    </row>
    <row r="106" spans="1:5" ht="15" thickBot="1" x14ac:dyDescent="0.35">
      <c r="A106" s="43">
        <v>46013</v>
      </c>
      <c r="B106" s="40" t="s">
        <v>171</v>
      </c>
      <c r="C106" s="52">
        <v>1.89</v>
      </c>
      <c r="D106" s="40" t="s">
        <v>121</v>
      </c>
      <c r="E106" s="40" t="s">
        <v>122</v>
      </c>
    </row>
    <row r="107" spans="1:5" ht="15" thickBot="1" x14ac:dyDescent="0.35">
      <c r="A107" s="43">
        <v>46014</v>
      </c>
      <c r="B107" s="40" t="s">
        <v>170</v>
      </c>
      <c r="C107" s="52">
        <v>367.41</v>
      </c>
      <c r="D107" s="40" t="s">
        <v>121</v>
      </c>
      <c r="E107" s="40" t="s">
        <v>123</v>
      </c>
    </row>
    <row r="108" spans="1:5" ht="15" thickBot="1" x14ac:dyDescent="0.35">
      <c r="A108" s="43">
        <v>46014</v>
      </c>
      <c r="B108" s="40" t="s">
        <v>117</v>
      </c>
      <c r="C108" s="52">
        <v>210</v>
      </c>
      <c r="D108" s="40" t="s">
        <v>121</v>
      </c>
      <c r="E108" s="40" t="s">
        <v>174</v>
      </c>
    </row>
    <row r="109" spans="1:5" ht="15" thickBot="1" x14ac:dyDescent="0.35">
      <c r="A109" s="43">
        <v>46014</v>
      </c>
      <c r="B109" s="40" t="s">
        <v>173</v>
      </c>
      <c r="C109" s="52">
        <v>356698.65</v>
      </c>
      <c r="D109" s="40" t="s">
        <v>121</v>
      </c>
      <c r="E109" s="40" t="s">
        <v>175</v>
      </c>
    </row>
    <row r="110" spans="1:5" ht="15" thickBot="1" x14ac:dyDescent="0.35">
      <c r="A110" s="43">
        <v>46014</v>
      </c>
      <c r="B110" s="40" t="s">
        <v>173</v>
      </c>
      <c r="C110" s="52">
        <v>176011.03</v>
      </c>
      <c r="D110" s="40" t="s">
        <v>121</v>
      </c>
      <c r="E110" s="40" t="s">
        <v>175</v>
      </c>
    </row>
    <row r="111" spans="1:5" ht="15" thickBot="1" x14ac:dyDescent="0.35">
      <c r="A111" s="43">
        <v>46014</v>
      </c>
      <c r="B111" s="40" t="s">
        <v>170</v>
      </c>
      <c r="C111" s="52">
        <v>125.26</v>
      </c>
      <c r="D111" s="40" t="s">
        <v>121</v>
      </c>
      <c r="E111" s="40" t="s">
        <v>123</v>
      </c>
    </row>
    <row r="112" spans="1:5" ht="15" thickBot="1" x14ac:dyDescent="0.35">
      <c r="A112" s="43">
        <v>46014</v>
      </c>
      <c r="B112" s="40" t="s">
        <v>171</v>
      </c>
      <c r="C112" s="52">
        <v>22398.98</v>
      </c>
      <c r="D112" s="40" t="s">
        <v>121</v>
      </c>
      <c r="E112" s="40" t="s">
        <v>122</v>
      </c>
    </row>
    <row r="113" spans="1:5" ht="15" thickBot="1" x14ac:dyDescent="0.35">
      <c r="A113" s="43">
        <v>46014</v>
      </c>
      <c r="B113" s="40" t="s">
        <v>172</v>
      </c>
      <c r="C113" s="52">
        <v>29560.48</v>
      </c>
      <c r="D113" s="40" t="s">
        <v>121</v>
      </c>
      <c r="E113" s="40" t="s">
        <v>122</v>
      </c>
    </row>
    <row r="114" spans="1:5" ht="15" thickBot="1" x14ac:dyDescent="0.35">
      <c r="A114" s="43">
        <v>46014</v>
      </c>
      <c r="B114" s="40" t="s">
        <v>171</v>
      </c>
      <c r="C114" s="52">
        <v>2.96</v>
      </c>
      <c r="D114" s="40" t="s">
        <v>121</v>
      </c>
      <c r="E114" s="40" t="s">
        <v>122</v>
      </c>
    </row>
    <row r="115" spans="1:5" ht="15" thickBot="1" x14ac:dyDescent="0.35">
      <c r="A115" s="43">
        <v>46017</v>
      </c>
      <c r="B115" s="40" t="s">
        <v>171</v>
      </c>
      <c r="C115" s="52">
        <v>11476.36</v>
      </c>
      <c r="D115" s="40" t="s">
        <v>121</v>
      </c>
      <c r="E115" s="40" t="s">
        <v>122</v>
      </c>
    </row>
    <row r="116" spans="1:5" ht="15" thickBot="1" x14ac:dyDescent="0.35">
      <c r="A116" s="43">
        <v>46020</v>
      </c>
      <c r="B116" s="40" t="s">
        <v>170</v>
      </c>
      <c r="C116" s="52">
        <v>125.26</v>
      </c>
      <c r="D116" s="40" t="s">
        <v>121</v>
      </c>
      <c r="E116" s="40" t="s">
        <v>123</v>
      </c>
    </row>
    <row r="117" spans="1:5" ht="15" thickBot="1" x14ac:dyDescent="0.35">
      <c r="A117" s="43">
        <v>46020</v>
      </c>
      <c r="B117" s="40" t="s">
        <v>172</v>
      </c>
      <c r="C117" s="52">
        <v>7515.73</v>
      </c>
      <c r="D117" s="40" t="s">
        <v>121</v>
      </c>
      <c r="E117" s="40" t="s">
        <v>122</v>
      </c>
    </row>
    <row r="118" spans="1:5" ht="15" thickBot="1" x14ac:dyDescent="0.35">
      <c r="A118" s="43">
        <v>46020</v>
      </c>
      <c r="B118" s="40" t="s">
        <v>171</v>
      </c>
      <c r="C118" s="52">
        <v>0.75</v>
      </c>
      <c r="D118" s="40" t="s">
        <v>121</v>
      </c>
      <c r="E118" s="40" t="s">
        <v>122</v>
      </c>
    </row>
    <row r="119" spans="1:5" ht="15" thickBot="1" x14ac:dyDescent="0.35">
      <c r="A119" s="43">
        <v>46021</v>
      </c>
      <c r="B119" s="40" t="s">
        <v>170</v>
      </c>
      <c r="C119" s="52">
        <v>1059.9000000000001</v>
      </c>
      <c r="D119" s="40" t="s">
        <v>121</v>
      </c>
      <c r="E119" s="40" t="s">
        <v>123</v>
      </c>
    </row>
    <row r="120" spans="1:5" ht="15" thickBot="1" x14ac:dyDescent="0.35">
      <c r="A120" s="43">
        <v>46021</v>
      </c>
      <c r="B120" s="40" t="s">
        <v>117</v>
      </c>
      <c r="C120" s="52">
        <v>210</v>
      </c>
      <c r="D120" s="40" t="s">
        <v>121</v>
      </c>
      <c r="E120" s="40" t="s">
        <v>174</v>
      </c>
    </row>
    <row r="121" spans="1:5" ht="15" thickBot="1" x14ac:dyDescent="0.35">
      <c r="A121" s="43">
        <v>46021</v>
      </c>
      <c r="B121" s="40" t="s">
        <v>117</v>
      </c>
      <c r="C121" s="52">
        <v>210</v>
      </c>
      <c r="D121" s="40" t="s">
        <v>121</v>
      </c>
      <c r="E121" s="40" t="s">
        <v>174</v>
      </c>
    </row>
    <row r="122" spans="1:5" ht="15" thickBot="1" x14ac:dyDescent="0.35">
      <c r="A122" s="43">
        <v>46021</v>
      </c>
      <c r="B122" s="40" t="s">
        <v>170</v>
      </c>
      <c r="C122" s="52">
        <v>114.59</v>
      </c>
      <c r="D122" s="40" t="s">
        <v>121</v>
      </c>
      <c r="E122" s="40" t="s">
        <v>123</v>
      </c>
    </row>
    <row r="123" spans="1:5" ht="15" thickBot="1" x14ac:dyDescent="0.35">
      <c r="A123" s="43">
        <v>46021</v>
      </c>
      <c r="B123" s="40" t="s">
        <v>170</v>
      </c>
      <c r="C123" s="52">
        <v>10</v>
      </c>
      <c r="D123" s="40" t="s">
        <v>121</v>
      </c>
      <c r="E123" s="40" t="s">
        <v>123</v>
      </c>
    </row>
    <row r="124" spans="1:5" ht="15" thickBot="1" x14ac:dyDescent="0.35">
      <c r="A124" s="43">
        <v>46021</v>
      </c>
      <c r="B124" s="40" t="s">
        <v>170</v>
      </c>
      <c r="C124" s="52">
        <v>100</v>
      </c>
      <c r="D124" s="40" t="s">
        <v>121</v>
      </c>
      <c r="E124" s="40" t="s">
        <v>123</v>
      </c>
    </row>
    <row r="125" spans="1:5" ht="15" thickBot="1" x14ac:dyDescent="0.35">
      <c r="A125" s="43">
        <v>46021</v>
      </c>
      <c r="B125" s="40" t="s">
        <v>170</v>
      </c>
      <c r="C125" s="52">
        <v>400</v>
      </c>
      <c r="D125" s="40" t="s">
        <v>121</v>
      </c>
      <c r="E125" s="40" t="s">
        <v>123</v>
      </c>
    </row>
    <row r="126" spans="1:5" ht="15" thickBot="1" x14ac:dyDescent="0.35">
      <c r="A126" s="43">
        <v>46021</v>
      </c>
      <c r="B126" s="40" t="s">
        <v>171</v>
      </c>
      <c r="C126" s="52">
        <v>50428.56</v>
      </c>
      <c r="D126" s="40" t="s">
        <v>121</v>
      </c>
      <c r="E126" s="40" t="s">
        <v>122</v>
      </c>
    </row>
    <row r="127" spans="1:5" ht="15" thickBot="1" x14ac:dyDescent="0.35">
      <c r="A127" s="43">
        <v>46021</v>
      </c>
      <c r="B127" s="40" t="s">
        <v>172</v>
      </c>
      <c r="C127" s="52">
        <v>101069.85</v>
      </c>
      <c r="D127" s="40" t="s">
        <v>121</v>
      </c>
      <c r="E127" s="40" t="s">
        <v>122</v>
      </c>
    </row>
    <row r="128" spans="1:5" ht="15" thickBot="1" x14ac:dyDescent="0.35">
      <c r="A128" s="43">
        <v>46021</v>
      </c>
      <c r="B128" s="40" t="s">
        <v>171</v>
      </c>
      <c r="C128" s="52">
        <v>10.11</v>
      </c>
      <c r="D128" s="40" t="s">
        <v>121</v>
      </c>
      <c r="E128" s="40" t="s">
        <v>122</v>
      </c>
    </row>
    <row r="129" spans="1:5" ht="14.4" thickBot="1" x14ac:dyDescent="0.35">
      <c r="A129" s="44"/>
      <c r="B129" s="45" t="s">
        <v>121</v>
      </c>
      <c r="C129" s="46">
        <f>SUM(C33:C128)</f>
        <v>29952881.929999989</v>
      </c>
      <c r="D129" s="44"/>
      <c r="E129" s="44"/>
    </row>
    <row r="130" spans="1:5" ht="15" thickBot="1" x14ac:dyDescent="0.35">
      <c r="A130" s="43">
        <v>45992</v>
      </c>
      <c r="B130" s="40" t="s">
        <v>204</v>
      </c>
      <c r="C130" s="52">
        <v>102536.74</v>
      </c>
      <c r="D130" s="40" t="s">
        <v>119</v>
      </c>
      <c r="E130" s="40" t="s">
        <v>167</v>
      </c>
    </row>
    <row r="131" spans="1:5" ht="15" thickBot="1" x14ac:dyDescent="0.35">
      <c r="A131" s="43">
        <v>45995</v>
      </c>
      <c r="B131" s="41" t="s">
        <v>207</v>
      </c>
      <c r="C131" s="52">
        <v>108443.4</v>
      </c>
      <c r="D131" s="40" t="s">
        <v>119</v>
      </c>
      <c r="E131" s="40" t="s">
        <v>124</v>
      </c>
    </row>
    <row r="132" spans="1:5" ht="15" thickBot="1" x14ac:dyDescent="0.35">
      <c r="A132" s="43">
        <v>45995</v>
      </c>
      <c r="B132" s="41" t="s">
        <v>208</v>
      </c>
      <c r="C132" s="52">
        <v>243000</v>
      </c>
      <c r="D132" s="40" t="s">
        <v>119</v>
      </c>
      <c r="E132" s="40" t="s">
        <v>126</v>
      </c>
    </row>
    <row r="133" spans="1:5" ht="15" thickBot="1" x14ac:dyDescent="0.35">
      <c r="A133" s="43">
        <v>45995</v>
      </c>
      <c r="B133" s="41" t="s">
        <v>210</v>
      </c>
      <c r="C133" s="52">
        <v>345912</v>
      </c>
      <c r="D133" s="40" t="s">
        <v>119</v>
      </c>
      <c r="E133" s="40" t="s">
        <v>124</v>
      </c>
    </row>
    <row r="134" spans="1:5" ht="15" thickBot="1" x14ac:dyDescent="0.35">
      <c r="A134" s="43">
        <v>45996</v>
      </c>
      <c r="B134" s="41" t="s">
        <v>177</v>
      </c>
      <c r="C134" s="52">
        <v>43014.16</v>
      </c>
      <c r="D134" s="40" t="s">
        <v>119</v>
      </c>
      <c r="E134" s="40" t="s">
        <v>125</v>
      </c>
    </row>
    <row r="135" spans="1:5" ht="15" thickBot="1" x14ac:dyDescent="0.35">
      <c r="A135" s="43">
        <v>45996</v>
      </c>
      <c r="B135" s="41" t="s">
        <v>177</v>
      </c>
      <c r="C135" s="52">
        <v>160486.91</v>
      </c>
      <c r="D135" s="40" t="s">
        <v>119</v>
      </c>
      <c r="E135" s="40" t="s">
        <v>125</v>
      </c>
    </row>
    <row r="136" spans="1:5" ht="15" thickBot="1" x14ac:dyDescent="0.35">
      <c r="A136" s="43">
        <v>46001</v>
      </c>
      <c r="B136" s="41" t="s">
        <v>221</v>
      </c>
      <c r="C136" s="52">
        <v>154033</v>
      </c>
      <c r="D136" s="40" t="s">
        <v>119</v>
      </c>
      <c r="E136" s="40" t="s">
        <v>125</v>
      </c>
    </row>
    <row r="137" spans="1:5" ht="15" thickBot="1" x14ac:dyDescent="0.35">
      <c r="A137" s="43">
        <v>46002</v>
      </c>
      <c r="B137" s="41" t="s">
        <v>176</v>
      </c>
      <c r="C137" s="52">
        <v>20916.68</v>
      </c>
      <c r="D137" s="40" t="s">
        <v>119</v>
      </c>
      <c r="E137" s="40" t="s">
        <v>125</v>
      </c>
    </row>
    <row r="138" spans="1:5" ht="15" thickBot="1" x14ac:dyDescent="0.35">
      <c r="A138" s="43">
        <v>46017</v>
      </c>
      <c r="B138" s="40" t="s">
        <v>183</v>
      </c>
      <c r="C138" s="52">
        <v>449834.75</v>
      </c>
      <c r="D138" s="40" t="s">
        <v>119</v>
      </c>
      <c r="E138" s="40" t="s">
        <v>143</v>
      </c>
    </row>
    <row r="139" spans="1:5" ht="15" thickBot="1" x14ac:dyDescent="0.35">
      <c r="A139" s="43">
        <v>46021</v>
      </c>
      <c r="B139" s="41" t="s">
        <v>247</v>
      </c>
      <c r="C139" s="52">
        <v>243000</v>
      </c>
      <c r="D139" s="40" t="s">
        <v>119</v>
      </c>
      <c r="E139" s="40" t="s">
        <v>126</v>
      </c>
    </row>
    <row r="140" spans="1:5" ht="14.4" thickBot="1" x14ac:dyDescent="0.35">
      <c r="A140" s="44"/>
      <c r="B140" s="45" t="s">
        <v>119</v>
      </c>
      <c r="C140" s="46">
        <f>SUM(C130:C139)</f>
        <v>1871177.64</v>
      </c>
      <c r="D140" s="44"/>
      <c r="E140" s="44"/>
    </row>
    <row r="141" spans="1:5" ht="15" thickBot="1" x14ac:dyDescent="0.35">
      <c r="A141" s="43">
        <v>45995</v>
      </c>
      <c r="B141" s="41" t="s">
        <v>209</v>
      </c>
      <c r="C141" s="50">
        <v>272087</v>
      </c>
      <c r="D141" s="41" t="s">
        <v>120</v>
      </c>
      <c r="E141" s="41" t="s">
        <v>120</v>
      </c>
    </row>
    <row r="142" spans="1:5" ht="15" thickBot="1" x14ac:dyDescent="0.35">
      <c r="A142" s="43">
        <v>45995</v>
      </c>
      <c r="B142" s="41" t="s">
        <v>212</v>
      </c>
      <c r="C142" s="50">
        <v>583158</v>
      </c>
      <c r="D142" s="41" t="s">
        <v>120</v>
      </c>
      <c r="E142" s="41" t="s">
        <v>120</v>
      </c>
    </row>
    <row r="143" spans="1:5" ht="15" thickBot="1" x14ac:dyDescent="0.35">
      <c r="A143" s="43">
        <v>45995</v>
      </c>
      <c r="B143" s="41" t="s">
        <v>213</v>
      </c>
      <c r="C143" s="50">
        <v>588991</v>
      </c>
      <c r="D143" s="41" t="s">
        <v>120</v>
      </c>
      <c r="E143" s="41" t="s">
        <v>120</v>
      </c>
    </row>
    <row r="144" spans="1:5" ht="15" thickBot="1" x14ac:dyDescent="0.35">
      <c r="A144" s="43">
        <v>45995</v>
      </c>
      <c r="B144" s="41" t="s">
        <v>214</v>
      </c>
      <c r="C144" s="50">
        <v>588991</v>
      </c>
      <c r="D144" s="41" t="s">
        <v>120</v>
      </c>
      <c r="E144" s="41" t="s">
        <v>120</v>
      </c>
    </row>
    <row r="145" spans="1:5" ht="15" thickBot="1" x14ac:dyDescent="0.35">
      <c r="A145" s="43">
        <v>45995</v>
      </c>
      <c r="B145" s="41" t="s">
        <v>215</v>
      </c>
      <c r="C145" s="50">
        <v>2391734</v>
      </c>
      <c r="D145" s="41" t="s">
        <v>120</v>
      </c>
      <c r="E145" s="41" t="s">
        <v>120</v>
      </c>
    </row>
    <row r="146" spans="1:5" ht="15" thickBot="1" x14ac:dyDescent="0.35">
      <c r="A146" s="43">
        <v>46009</v>
      </c>
      <c r="B146" s="41" t="s">
        <v>234</v>
      </c>
      <c r="C146" s="50">
        <v>33268</v>
      </c>
      <c r="D146" s="41" t="s">
        <v>120</v>
      </c>
      <c r="E146" s="41" t="s">
        <v>120</v>
      </c>
    </row>
    <row r="147" spans="1:5" ht="15" thickBot="1" x14ac:dyDescent="0.35">
      <c r="A147" s="43">
        <v>46009</v>
      </c>
      <c r="B147" s="41" t="s">
        <v>235</v>
      </c>
      <c r="C147" s="50">
        <v>103691</v>
      </c>
      <c r="D147" s="41" t="s">
        <v>120</v>
      </c>
      <c r="E147" s="41" t="s">
        <v>120</v>
      </c>
    </row>
    <row r="148" spans="1:5" ht="15" thickBot="1" x14ac:dyDescent="0.35">
      <c r="A148" s="43">
        <v>46009</v>
      </c>
      <c r="B148" s="41" t="s">
        <v>236</v>
      </c>
      <c r="C148" s="50">
        <v>322236</v>
      </c>
      <c r="D148" s="41" t="s">
        <v>120</v>
      </c>
      <c r="E148" s="41" t="s">
        <v>120</v>
      </c>
    </row>
    <row r="149" spans="1:5" ht="15" thickBot="1" x14ac:dyDescent="0.35">
      <c r="A149" s="43">
        <v>46009</v>
      </c>
      <c r="B149" s="41" t="s">
        <v>237</v>
      </c>
      <c r="C149" s="50">
        <v>1200000</v>
      </c>
      <c r="D149" s="41" t="s">
        <v>120</v>
      </c>
      <c r="E149" s="41" t="s">
        <v>120</v>
      </c>
    </row>
    <row r="150" spans="1:5" ht="15" thickBot="1" x14ac:dyDescent="0.35">
      <c r="A150" s="43">
        <v>46017</v>
      </c>
      <c r="B150" s="41" t="s">
        <v>245</v>
      </c>
      <c r="C150" s="50">
        <v>407731</v>
      </c>
      <c r="D150" s="41" t="s">
        <v>120</v>
      </c>
      <c r="E150" s="41" t="s">
        <v>120</v>
      </c>
    </row>
    <row r="151" spans="1:5" ht="15" thickBot="1" x14ac:dyDescent="0.35">
      <c r="A151" s="43">
        <v>46017</v>
      </c>
      <c r="B151" s="41" t="s">
        <v>246</v>
      </c>
      <c r="C151" s="50">
        <v>1055161</v>
      </c>
      <c r="D151" s="41" t="s">
        <v>120</v>
      </c>
      <c r="E151" s="41" t="s">
        <v>120</v>
      </c>
    </row>
    <row r="152" spans="1:5" ht="15" thickBot="1" x14ac:dyDescent="0.35">
      <c r="A152" s="43">
        <v>46021</v>
      </c>
      <c r="B152" s="41" t="s">
        <v>250</v>
      </c>
      <c r="C152" s="50">
        <v>625806</v>
      </c>
      <c r="D152" s="41" t="s">
        <v>120</v>
      </c>
      <c r="E152" s="41" t="s">
        <v>120</v>
      </c>
    </row>
    <row r="153" spans="1:5" ht="15" thickBot="1" x14ac:dyDescent="0.35">
      <c r="A153" s="43">
        <v>46021</v>
      </c>
      <c r="B153" s="41" t="s">
        <v>234</v>
      </c>
      <c r="C153" s="50">
        <v>625806</v>
      </c>
      <c r="D153" s="41" t="s">
        <v>120</v>
      </c>
      <c r="E153" s="41" t="s">
        <v>120</v>
      </c>
    </row>
    <row r="154" spans="1:5" ht="15" thickBot="1" x14ac:dyDescent="0.35">
      <c r="A154" s="43">
        <v>46021</v>
      </c>
      <c r="B154" s="41" t="s">
        <v>254</v>
      </c>
      <c r="C154" s="50">
        <v>2391734</v>
      </c>
      <c r="D154" s="41" t="s">
        <v>120</v>
      </c>
      <c r="E154" s="41" t="s">
        <v>120</v>
      </c>
    </row>
    <row r="155" spans="1:5" x14ac:dyDescent="0.3">
      <c r="A155" s="44"/>
      <c r="B155" s="45" t="s">
        <v>120</v>
      </c>
      <c r="C155" s="46">
        <f>SUM(C141:C154)</f>
        <v>11190394</v>
      </c>
      <c r="D155" s="44"/>
      <c r="E155" s="44"/>
    </row>
    <row r="156" spans="1:5" ht="16.5" customHeight="1" x14ac:dyDescent="0.3">
      <c r="A156" s="54"/>
      <c r="B156" s="49"/>
      <c r="C156" s="55"/>
      <c r="D156" s="49"/>
      <c r="E156" s="49"/>
    </row>
    <row r="157" spans="1:5" ht="14.4" x14ac:dyDescent="0.3">
      <c r="A157" s="54"/>
      <c r="B157" s="49"/>
      <c r="C157" s="55"/>
      <c r="D157" s="49"/>
      <c r="E157" s="49"/>
    </row>
  </sheetData>
  <autoFilter ref="A1:D1" xr:uid="{7D39FC09-67B1-4389-93ED-E9AE970AAC6E}"/>
  <sortState xmlns:xlrd2="http://schemas.microsoft.com/office/spreadsheetml/2017/richdata2" ref="A9:E158">
    <sortCondition ref="D9:D158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ADB8-AB3A-4D89-8036-D59CBD2FB142}">
  <dimension ref="A1:S39"/>
  <sheetViews>
    <sheetView workbookViewId="0">
      <selection activeCell="T13" sqref="T13"/>
    </sheetView>
  </sheetViews>
  <sheetFormatPr baseColWidth="10" defaultColWidth="8.88671875" defaultRowHeight="14.4" x14ac:dyDescent="0.3"/>
  <cols>
    <col min="2" max="2" width="11" style="63" customWidth="1"/>
    <col min="3" max="3" width="17.6640625" hidden="1" customWidth="1"/>
    <col min="4" max="4" width="23.77734375" bestFit="1" customWidth="1"/>
    <col min="5" max="5" width="20" customWidth="1"/>
    <col min="6" max="6" width="20" style="65" customWidth="1"/>
    <col min="7" max="7" width="11.21875" hidden="1" customWidth="1"/>
    <col min="8" max="8" width="10.21875" hidden="1" customWidth="1"/>
    <col min="9" max="9" width="35.109375" hidden="1" customWidth="1"/>
    <col min="10" max="10" width="17.88671875" style="60" customWidth="1"/>
    <col min="11" max="11" width="17.88671875" customWidth="1"/>
    <col min="12" max="12" width="18" style="60" customWidth="1"/>
    <col min="13" max="13" width="11.5546875" hidden="1" customWidth="1"/>
    <col min="14" max="14" width="9.88671875" hidden="1" customWidth="1"/>
    <col min="15" max="15" width="16.5546875" hidden="1" customWidth="1"/>
    <col min="16" max="16" width="0" hidden="1" customWidth="1"/>
    <col min="17" max="17" width="14" hidden="1" customWidth="1"/>
    <col min="18" max="18" width="0" hidden="1" customWidth="1"/>
    <col min="19" max="19" width="15.33203125" hidden="1" customWidth="1"/>
  </cols>
  <sheetData>
    <row r="1" spans="1:19" x14ac:dyDescent="0.3">
      <c r="A1" s="63" t="s">
        <v>159</v>
      </c>
      <c r="B1" s="63" t="s">
        <v>160</v>
      </c>
      <c r="C1" s="63" t="s">
        <v>161</v>
      </c>
      <c r="D1" s="63" t="s">
        <v>148</v>
      </c>
      <c r="E1" s="63" t="s">
        <v>187</v>
      </c>
      <c r="F1" s="67" t="s">
        <v>191</v>
      </c>
      <c r="G1" s="63" t="s">
        <v>162</v>
      </c>
      <c r="H1" s="63" t="s">
        <v>163</v>
      </c>
      <c r="I1" s="63" t="s">
        <v>164</v>
      </c>
      <c r="J1" s="64" t="s">
        <v>189</v>
      </c>
      <c r="K1" s="63" t="s">
        <v>188</v>
      </c>
      <c r="L1" s="64" t="s">
        <v>200</v>
      </c>
      <c r="M1" s="63" t="s">
        <v>261</v>
      </c>
      <c r="N1" s="63" t="s">
        <v>262</v>
      </c>
      <c r="O1" s="63" t="s">
        <v>263</v>
      </c>
      <c r="P1" s="63" t="s">
        <v>264</v>
      </c>
      <c r="Q1" s="63" t="s">
        <v>265</v>
      </c>
      <c r="R1" s="63" t="s">
        <v>266</v>
      </c>
      <c r="S1" t="s">
        <v>267</v>
      </c>
    </row>
    <row r="2" spans="1:19" x14ac:dyDescent="0.3">
      <c r="A2" t="s">
        <v>165</v>
      </c>
      <c r="B2" s="63">
        <v>541</v>
      </c>
      <c r="C2" t="s">
        <v>268</v>
      </c>
      <c r="D2" t="s">
        <v>269</v>
      </c>
      <c r="E2" t="s">
        <v>270</v>
      </c>
      <c r="F2" s="65">
        <v>1120931.67</v>
      </c>
      <c r="G2" t="s">
        <v>127</v>
      </c>
      <c r="I2" t="s">
        <v>271</v>
      </c>
      <c r="J2" s="60">
        <v>4350000</v>
      </c>
      <c r="K2" s="60">
        <f>ExportFacturacion3[[#This Row],[Unitario]]*30%</f>
        <v>1305000</v>
      </c>
      <c r="L2" s="60">
        <f>ExportFacturacion3[[#This Row],[Unitario]]-ExportFacturacion3[[#This Row],[Descuento]]</f>
        <v>3045000</v>
      </c>
      <c r="M2" t="s">
        <v>272</v>
      </c>
      <c r="N2" t="s">
        <v>273</v>
      </c>
      <c r="O2" t="s">
        <v>274</v>
      </c>
      <c r="P2">
        <v>100</v>
      </c>
      <c r="Q2" t="s">
        <v>274</v>
      </c>
      <c r="R2" t="s">
        <v>275</v>
      </c>
      <c r="S2" t="s">
        <v>273</v>
      </c>
    </row>
    <row r="3" spans="1:19" x14ac:dyDescent="0.3">
      <c r="A3" t="s">
        <v>165</v>
      </c>
      <c r="B3" s="63">
        <v>549</v>
      </c>
      <c r="C3" t="s">
        <v>268</v>
      </c>
      <c r="D3" t="s">
        <v>276</v>
      </c>
      <c r="E3" t="s">
        <v>203</v>
      </c>
      <c r="F3" s="65">
        <v>1114422.8999999999</v>
      </c>
      <c r="G3" t="s">
        <v>166</v>
      </c>
      <c r="I3" t="s">
        <v>277</v>
      </c>
      <c r="J3" s="60">
        <v>7000000</v>
      </c>
      <c r="K3" s="61">
        <v>1299900</v>
      </c>
      <c r="L3" s="60">
        <f>ExportFacturacion3[[#This Row],[Unitario]]-ExportFacturacion3[[#This Row],[Descuento]]</f>
        <v>5700100</v>
      </c>
      <c r="M3" t="s">
        <v>278</v>
      </c>
      <c r="N3" t="s">
        <v>273</v>
      </c>
      <c r="O3" t="s">
        <v>279</v>
      </c>
      <c r="P3">
        <v>100</v>
      </c>
      <c r="Q3" t="s">
        <v>279</v>
      </c>
      <c r="R3" t="s">
        <v>280</v>
      </c>
      <c r="S3" t="s">
        <v>273</v>
      </c>
    </row>
    <row r="4" spans="1:19" x14ac:dyDescent="0.3">
      <c r="A4" t="s">
        <v>165</v>
      </c>
      <c r="B4" s="63">
        <v>561</v>
      </c>
      <c r="C4" t="s">
        <v>268</v>
      </c>
      <c r="D4" t="s">
        <v>281</v>
      </c>
      <c r="E4" t="s">
        <v>203</v>
      </c>
      <c r="F4" s="65">
        <v>1114422.8999999999</v>
      </c>
      <c r="G4" t="s">
        <v>166</v>
      </c>
      <c r="I4" t="s">
        <v>282</v>
      </c>
      <c r="J4" s="60">
        <v>7000000</v>
      </c>
      <c r="K4" s="61">
        <v>1299900</v>
      </c>
      <c r="L4" s="60">
        <f>ExportFacturacion3[[#This Row],[Unitario]]-ExportFacturacion3[[#This Row],[Descuento]]</f>
        <v>5700100</v>
      </c>
      <c r="M4" t="s">
        <v>278</v>
      </c>
      <c r="N4" t="s">
        <v>273</v>
      </c>
      <c r="O4" t="s">
        <v>279</v>
      </c>
      <c r="P4">
        <v>50</v>
      </c>
      <c r="Q4" t="s">
        <v>283</v>
      </c>
      <c r="R4" t="s">
        <v>284</v>
      </c>
      <c r="S4" t="s">
        <v>284</v>
      </c>
    </row>
    <row r="5" spans="1:19" x14ac:dyDescent="0.3">
      <c r="A5" t="s">
        <v>165</v>
      </c>
      <c r="B5" s="63">
        <v>564</v>
      </c>
      <c r="C5" t="s">
        <v>268</v>
      </c>
      <c r="D5" t="s">
        <v>285</v>
      </c>
      <c r="E5" t="s">
        <v>203</v>
      </c>
      <c r="F5" s="65">
        <v>1114422.8999999999</v>
      </c>
      <c r="G5" t="s">
        <v>166</v>
      </c>
      <c r="J5" s="60">
        <v>7000000</v>
      </c>
      <c r="K5" s="61">
        <v>1299900</v>
      </c>
      <c r="L5" s="60">
        <f>ExportFacturacion3[[#This Row],[Unitario]]-ExportFacturacion3[[#This Row],[Descuento]]</f>
        <v>5700100</v>
      </c>
      <c r="M5" t="s">
        <v>278</v>
      </c>
      <c r="N5" t="s">
        <v>273</v>
      </c>
      <c r="O5" t="s">
        <v>279</v>
      </c>
      <c r="P5">
        <v>50</v>
      </c>
      <c r="Q5" t="s">
        <v>283</v>
      </c>
      <c r="R5" t="s">
        <v>284</v>
      </c>
      <c r="S5" t="s">
        <v>284</v>
      </c>
    </row>
    <row r="6" spans="1:19" x14ac:dyDescent="0.3">
      <c r="A6" t="s">
        <v>165</v>
      </c>
      <c r="B6" s="63">
        <v>568</v>
      </c>
      <c r="C6" t="s">
        <v>268</v>
      </c>
      <c r="D6" t="s">
        <v>286</v>
      </c>
      <c r="E6" t="s">
        <v>203</v>
      </c>
      <c r="F6" s="65">
        <v>1114422.8999999999</v>
      </c>
      <c r="G6" t="s">
        <v>166</v>
      </c>
      <c r="J6" s="60">
        <v>7000000</v>
      </c>
      <c r="K6" s="61">
        <v>1299900</v>
      </c>
      <c r="L6" s="60">
        <f>ExportFacturacion3[[#This Row],[Unitario]]-ExportFacturacion3[[#This Row],[Descuento]]</f>
        <v>5700100</v>
      </c>
      <c r="M6" t="s">
        <v>278</v>
      </c>
      <c r="N6" t="s">
        <v>273</v>
      </c>
      <c r="O6" t="s">
        <v>279</v>
      </c>
      <c r="P6">
        <v>50</v>
      </c>
      <c r="Q6" t="s">
        <v>283</v>
      </c>
      <c r="R6" t="s">
        <v>284</v>
      </c>
      <c r="S6" t="s">
        <v>284</v>
      </c>
    </row>
    <row r="7" spans="1:19" x14ac:dyDescent="0.3">
      <c r="A7" t="s">
        <v>165</v>
      </c>
      <c r="B7" s="63">
        <v>583</v>
      </c>
      <c r="C7" t="s">
        <v>268</v>
      </c>
      <c r="D7" t="s">
        <v>287</v>
      </c>
      <c r="E7" t="s">
        <v>202</v>
      </c>
      <c r="F7" s="60">
        <v>598486.37</v>
      </c>
      <c r="G7" t="s">
        <v>127</v>
      </c>
      <c r="J7" s="60">
        <v>3867600</v>
      </c>
      <c r="K7" s="61">
        <v>800206.44</v>
      </c>
      <c r="L7" s="60">
        <f>ExportFacturacion3[[#This Row],[Unitario]]-ExportFacturacion3[[#This Row],[Descuento]]</f>
        <v>3067393.56</v>
      </c>
      <c r="M7" t="s">
        <v>288</v>
      </c>
      <c r="N7" t="s">
        <v>289</v>
      </c>
      <c r="O7" t="s">
        <v>290</v>
      </c>
      <c r="P7">
        <v>50</v>
      </c>
      <c r="Q7" t="s">
        <v>291</v>
      </c>
      <c r="R7" t="s">
        <v>292</v>
      </c>
      <c r="S7" t="s">
        <v>292</v>
      </c>
    </row>
    <row r="8" spans="1:19" x14ac:dyDescent="0.3">
      <c r="E8" t="s">
        <v>190</v>
      </c>
      <c r="J8" s="60">
        <v>106000</v>
      </c>
      <c r="K8" s="61">
        <v>0</v>
      </c>
      <c r="L8" s="60">
        <v>106000</v>
      </c>
    </row>
    <row r="9" spans="1:19" x14ac:dyDescent="0.3">
      <c r="A9" t="s">
        <v>165</v>
      </c>
      <c r="B9" s="63">
        <v>591</v>
      </c>
      <c r="C9" t="s">
        <v>268</v>
      </c>
      <c r="D9" t="s">
        <v>293</v>
      </c>
      <c r="E9" t="s">
        <v>372</v>
      </c>
      <c r="G9" t="s">
        <v>127</v>
      </c>
      <c r="H9" t="s">
        <v>294</v>
      </c>
      <c r="J9" s="60">
        <v>3179000</v>
      </c>
      <c r="K9" s="61">
        <v>158950</v>
      </c>
      <c r="L9" s="60">
        <f>ExportFacturacion3[[#This Row],[Unitario]]-ExportFacturacion3[[#This Row],[Descuento]]</f>
        <v>3020050</v>
      </c>
      <c r="M9" t="s">
        <v>296</v>
      </c>
      <c r="N9" t="s">
        <v>273</v>
      </c>
      <c r="O9" t="s">
        <v>297</v>
      </c>
      <c r="P9">
        <v>100</v>
      </c>
      <c r="Q9" t="s">
        <v>297</v>
      </c>
      <c r="R9" t="s">
        <v>295</v>
      </c>
      <c r="S9" t="s">
        <v>273</v>
      </c>
    </row>
    <row r="10" spans="1:19" x14ac:dyDescent="0.3">
      <c r="A10" t="s">
        <v>165</v>
      </c>
      <c r="B10" s="63">
        <v>599</v>
      </c>
      <c r="C10" t="s">
        <v>268</v>
      </c>
      <c r="D10" t="s">
        <v>298</v>
      </c>
      <c r="E10" t="s">
        <v>203</v>
      </c>
      <c r="F10" s="65">
        <v>1114422.8999999999</v>
      </c>
      <c r="G10" t="s">
        <v>299</v>
      </c>
      <c r="I10" t="s">
        <v>300</v>
      </c>
      <c r="J10" s="60">
        <v>7000000</v>
      </c>
      <c r="K10" s="61">
        <v>1299900</v>
      </c>
      <c r="L10" s="60">
        <f>ExportFacturacion3[[#This Row],[Unitario]]-ExportFacturacion3[[#This Row],[Descuento]]</f>
        <v>5700100</v>
      </c>
      <c r="M10" t="s">
        <v>278</v>
      </c>
      <c r="N10" t="s">
        <v>273</v>
      </c>
      <c r="O10" t="s">
        <v>279</v>
      </c>
      <c r="P10">
        <v>50</v>
      </c>
      <c r="Q10" t="s">
        <v>283</v>
      </c>
      <c r="R10" t="s">
        <v>284</v>
      </c>
      <c r="S10" t="s">
        <v>284</v>
      </c>
    </row>
    <row r="11" spans="1:19" x14ac:dyDescent="0.3">
      <c r="A11" t="s">
        <v>165</v>
      </c>
      <c r="B11" s="63">
        <v>602</v>
      </c>
      <c r="C11" t="s">
        <v>268</v>
      </c>
      <c r="D11" t="s">
        <v>301</v>
      </c>
      <c r="E11" t="s">
        <v>201</v>
      </c>
      <c r="F11" s="65">
        <v>398990.91</v>
      </c>
      <c r="G11" t="s">
        <v>166</v>
      </c>
      <c r="I11" t="s">
        <v>302</v>
      </c>
      <c r="J11" s="60">
        <v>2211000</v>
      </c>
      <c r="K11" s="61">
        <v>0</v>
      </c>
      <c r="L11" s="60">
        <v>2211000</v>
      </c>
      <c r="M11" t="s">
        <v>303</v>
      </c>
      <c r="N11" t="s">
        <v>273</v>
      </c>
      <c r="O11" t="s">
        <v>304</v>
      </c>
      <c r="P11">
        <v>50</v>
      </c>
      <c r="Q11" t="s">
        <v>305</v>
      </c>
      <c r="R11" t="s">
        <v>306</v>
      </c>
      <c r="S11" t="s">
        <v>306</v>
      </c>
    </row>
    <row r="12" spans="1:19" x14ac:dyDescent="0.3">
      <c r="A12" t="s">
        <v>165</v>
      </c>
      <c r="B12" s="63">
        <v>610</v>
      </c>
      <c r="C12" t="s">
        <v>268</v>
      </c>
      <c r="D12" t="s">
        <v>307</v>
      </c>
      <c r="E12" t="s">
        <v>203</v>
      </c>
      <c r="F12" s="65">
        <v>1114422.8999999999</v>
      </c>
      <c r="G12" t="s">
        <v>299</v>
      </c>
      <c r="I12" t="s">
        <v>300</v>
      </c>
      <c r="J12" s="60">
        <v>7000000</v>
      </c>
      <c r="K12" s="61">
        <v>1299900</v>
      </c>
      <c r="L12" s="60">
        <f>ExportFacturacion3[[#This Row],[Unitario]]-ExportFacturacion3[[#This Row],[Descuento]]</f>
        <v>5700100</v>
      </c>
      <c r="M12" t="s">
        <v>278</v>
      </c>
      <c r="N12" t="s">
        <v>273</v>
      </c>
      <c r="O12" t="s">
        <v>279</v>
      </c>
      <c r="P12">
        <v>50</v>
      </c>
      <c r="Q12" t="s">
        <v>283</v>
      </c>
      <c r="R12" t="s">
        <v>284</v>
      </c>
      <c r="S12" t="s">
        <v>284</v>
      </c>
    </row>
    <row r="13" spans="1:19" x14ac:dyDescent="0.3">
      <c r="A13" t="s">
        <v>165</v>
      </c>
      <c r="B13" s="63">
        <v>615</v>
      </c>
      <c r="C13" t="s">
        <v>268</v>
      </c>
      <c r="D13" t="s">
        <v>309</v>
      </c>
      <c r="E13" t="s">
        <v>203</v>
      </c>
      <c r="F13" s="65">
        <v>1114422.8999999999</v>
      </c>
      <c r="G13" t="s">
        <v>299</v>
      </c>
      <c r="I13" t="s">
        <v>300</v>
      </c>
      <c r="J13" s="60">
        <v>7000000</v>
      </c>
      <c r="K13" s="61">
        <v>1299900</v>
      </c>
      <c r="L13" s="60">
        <f>ExportFacturacion3[[#This Row],[Unitario]]-ExportFacturacion3[[#This Row],[Descuento]]</f>
        <v>5700100</v>
      </c>
      <c r="M13" t="s">
        <v>278</v>
      </c>
      <c r="N13" t="s">
        <v>273</v>
      </c>
      <c r="O13" t="s">
        <v>279</v>
      </c>
      <c r="P13">
        <v>50</v>
      </c>
      <c r="Q13" t="s">
        <v>283</v>
      </c>
      <c r="R13" t="s">
        <v>284</v>
      </c>
      <c r="S13" t="s">
        <v>284</v>
      </c>
    </row>
    <row r="14" spans="1:19" x14ac:dyDescent="0.3">
      <c r="A14" t="s">
        <v>165</v>
      </c>
      <c r="B14" s="63">
        <v>624</v>
      </c>
      <c r="C14" t="s">
        <v>268</v>
      </c>
      <c r="D14" t="s">
        <v>307</v>
      </c>
      <c r="E14" t="s">
        <v>373</v>
      </c>
      <c r="F14" s="60">
        <v>599897.5</v>
      </c>
      <c r="G14" t="s">
        <v>166</v>
      </c>
      <c r="I14" t="s">
        <v>308</v>
      </c>
      <c r="J14" s="60">
        <v>1844330</v>
      </c>
      <c r="K14" s="61">
        <v>92216.5</v>
      </c>
      <c r="L14" s="60">
        <f>ExportFacturacion3[[#This Row],[Unitario]]-ExportFacturacion3[[#This Row],[Descuento]]</f>
        <v>1752113.5</v>
      </c>
      <c r="M14" t="s">
        <v>311</v>
      </c>
      <c r="N14" t="s">
        <v>273</v>
      </c>
      <c r="O14" t="s">
        <v>312</v>
      </c>
      <c r="P14">
        <v>100</v>
      </c>
      <c r="Q14" t="s">
        <v>312</v>
      </c>
      <c r="R14" t="s">
        <v>310</v>
      </c>
      <c r="S14" t="s">
        <v>273</v>
      </c>
    </row>
    <row r="15" spans="1:19" x14ac:dyDescent="0.3">
      <c r="E15" t="s">
        <v>374</v>
      </c>
      <c r="F15" s="65">
        <v>1630897.63</v>
      </c>
      <c r="J15" s="65">
        <v>3949803</v>
      </c>
      <c r="K15" s="61">
        <v>197490.15</v>
      </c>
      <c r="L15" s="65">
        <f>ExportFacturacion3[[#This Row],[Unitario]]-ExportFacturacion3[[#This Row],[Descuento]]</f>
        <v>3752312.85</v>
      </c>
    </row>
    <row r="16" spans="1:19" x14ac:dyDescent="0.3">
      <c r="A16" t="s">
        <v>165</v>
      </c>
      <c r="B16" s="63">
        <v>629</v>
      </c>
      <c r="C16" t="s">
        <v>268</v>
      </c>
      <c r="D16" t="s">
        <v>313</v>
      </c>
      <c r="E16" t="s">
        <v>374</v>
      </c>
      <c r="F16" s="65">
        <v>1630897.63</v>
      </c>
      <c r="J16" s="65">
        <v>3949803</v>
      </c>
      <c r="K16" s="61">
        <v>197490.15</v>
      </c>
      <c r="L16" s="65">
        <f>ExportFacturacion3[[#This Row],[Unitario]]-ExportFacturacion3[[#This Row],[Descuento]]</f>
        <v>3752312.85</v>
      </c>
      <c r="M16" t="s">
        <v>315</v>
      </c>
      <c r="N16" t="s">
        <v>273</v>
      </c>
      <c r="O16" t="s">
        <v>316</v>
      </c>
      <c r="P16">
        <v>100</v>
      </c>
      <c r="Q16" t="s">
        <v>316</v>
      </c>
      <c r="R16" t="s">
        <v>314</v>
      </c>
      <c r="S16" t="s">
        <v>273</v>
      </c>
    </row>
    <row r="17" spans="1:19" x14ac:dyDescent="0.3">
      <c r="E17" t="s">
        <v>375</v>
      </c>
      <c r="F17" s="60">
        <v>92023</v>
      </c>
      <c r="J17" s="65">
        <v>287000</v>
      </c>
      <c r="K17" s="61">
        <v>0</v>
      </c>
      <c r="L17" s="65">
        <v>287000</v>
      </c>
    </row>
    <row r="18" spans="1:19" x14ac:dyDescent="0.3">
      <c r="A18" t="s">
        <v>165</v>
      </c>
      <c r="B18" s="63">
        <v>636</v>
      </c>
      <c r="C18" t="s">
        <v>268</v>
      </c>
      <c r="D18" t="s">
        <v>317</v>
      </c>
      <c r="E18" t="s">
        <v>376</v>
      </c>
      <c r="G18" t="s">
        <v>166</v>
      </c>
      <c r="I18" t="s">
        <v>318</v>
      </c>
      <c r="J18" s="60">
        <v>3620300</v>
      </c>
      <c r="K18" s="61">
        <v>181015</v>
      </c>
      <c r="L18" s="60">
        <f>ExportFacturacion3[[#This Row],[Unitario]]-ExportFacturacion3[[#This Row],[Descuento]]</f>
        <v>3439285</v>
      </c>
      <c r="M18" t="s">
        <v>319</v>
      </c>
      <c r="N18" t="s">
        <v>273</v>
      </c>
      <c r="O18" t="s">
        <v>320</v>
      </c>
      <c r="P18">
        <v>50</v>
      </c>
      <c r="Q18" t="s">
        <v>321</v>
      </c>
      <c r="R18" t="s">
        <v>322</v>
      </c>
      <c r="S18" t="s">
        <v>322</v>
      </c>
    </row>
    <row r="19" spans="1:19" x14ac:dyDescent="0.3">
      <c r="A19" t="s">
        <v>165</v>
      </c>
      <c r="B19" s="63">
        <v>637</v>
      </c>
      <c r="C19" t="s">
        <v>268</v>
      </c>
      <c r="D19" t="s">
        <v>323</v>
      </c>
      <c r="E19" t="s">
        <v>201</v>
      </c>
      <c r="F19" s="65">
        <v>398990.91</v>
      </c>
      <c r="G19" t="s">
        <v>299</v>
      </c>
      <c r="I19" t="s">
        <v>324</v>
      </c>
      <c r="J19" s="60">
        <v>2211000</v>
      </c>
      <c r="K19" s="61">
        <v>0</v>
      </c>
      <c r="L19" s="60">
        <v>2211000</v>
      </c>
      <c r="M19" t="s">
        <v>303</v>
      </c>
      <c r="N19" t="s">
        <v>273</v>
      </c>
      <c r="O19" t="s">
        <v>304</v>
      </c>
      <c r="P19">
        <v>50</v>
      </c>
      <c r="Q19" t="s">
        <v>305</v>
      </c>
      <c r="R19" t="s">
        <v>306</v>
      </c>
      <c r="S19" t="s">
        <v>306</v>
      </c>
    </row>
    <row r="20" spans="1:19" x14ac:dyDescent="0.3">
      <c r="A20" t="s">
        <v>165</v>
      </c>
      <c r="B20" s="63">
        <v>638</v>
      </c>
      <c r="C20" t="s">
        <v>268</v>
      </c>
      <c r="D20" t="s">
        <v>325</v>
      </c>
      <c r="E20" t="s">
        <v>190</v>
      </c>
      <c r="G20" t="s">
        <v>299</v>
      </c>
      <c r="J20" s="60">
        <v>106000</v>
      </c>
      <c r="K20" s="61">
        <v>0</v>
      </c>
      <c r="L20" s="60">
        <v>106000</v>
      </c>
      <c r="M20" t="s">
        <v>273</v>
      </c>
      <c r="N20" t="s">
        <v>289</v>
      </c>
      <c r="O20" t="s">
        <v>327</v>
      </c>
      <c r="P20">
        <v>100</v>
      </c>
      <c r="Q20" t="s">
        <v>327</v>
      </c>
      <c r="R20" t="s">
        <v>326</v>
      </c>
      <c r="S20" t="s">
        <v>273</v>
      </c>
    </row>
    <row r="21" spans="1:19" x14ac:dyDescent="0.3">
      <c r="A21" t="s">
        <v>165</v>
      </c>
      <c r="B21" s="63">
        <v>643</v>
      </c>
      <c r="C21" t="s">
        <v>268</v>
      </c>
      <c r="D21" t="s">
        <v>328</v>
      </c>
      <c r="E21" t="s">
        <v>203</v>
      </c>
      <c r="F21" s="65">
        <v>1114422.8999999999</v>
      </c>
      <c r="G21" t="s">
        <v>299</v>
      </c>
      <c r="I21" t="s">
        <v>300</v>
      </c>
      <c r="J21" s="60">
        <v>7000000</v>
      </c>
      <c r="K21" s="61">
        <v>0</v>
      </c>
      <c r="L21" s="60">
        <v>7000000</v>
      </c>
      <c r="M21" t="s">
        <v>332</v>
      </c>
      <c r="N21" t="s">
        <v>273</v>
      </c>
      <c r="O21" t="s">
        <v>333</v>
      </c>
      <c r="P21">
        <v>100</v>
      </c>
      <c r="Q21" t="s">
        <v>333</v>
      </c>
      <c r="R21" t="s">
        <v>331</v>
      </c>
      <c r="S21" t="s">
        <v>273</v>
      </c>
    </row>
    <row r="22" spans="1:19" x14ac:dyDescent="0.3">
      <c r="A22" t="s">
        <v>165</v>
      </c>
      <c r="B22" s="63">
        <v>644</v>
      </c>
      <c r="C22" t="s">
        <v>268</v>
      </c>
      <c r="D22" t="s">
        <v>334</v>
      </c>
      <c r="E22" t="s">
        <v>203</v>
      </c>
      <c r="F22" s="65">
        <v>1114422.8999999999</v>
      </c>
      <c r="G22" t="s">
        <v>299</v>
      </c>
      <c r="I22" t="s">
        <v>300</v>
      </c>
      <c r="J22" s="60">
        <v>7000000</v>
      </c>
      <c r="K22" s="61">
        <v>1299900</v>
      </c>
      <c r="L22" s="60">
        <f>ExportFacturacion3[[#This Row],[Unitario]]-ExportFacturacion3[[#This Row],[Descuento]]</f>
        <v>5700100</v>
      </c>
      <c r="M22" t="s">
        <v>278</v>
      </c>
      <c r="N22" t="s">
        <v>273</v>
      </c>
      <c r="O22" t="s">
        <v>279</v>
      </c>
      <c r="P22">
        <v>50</v>
      </c>
      <c r="Q22" t="s">
        <v>283</v>
      </c>
      <c r="R22" t="s">
        <v>284</v>
      </c>
      <c r="S22" t="s">
        <v>284</v>
      </c>
    </row>
    <row r="23" spans="1:19" x14ac:dyDescent="0.3">
      <c r="A23" t="s">
        <v>165</v>
      </c>
      <c r="B23" s="63">
        <v>646</v>
      </c>
      <c r="C23" t="s">
        <v>268</v>
      </c>
      <c r="D23" t="s">
        <v>335</v>
      </c>
      <c r="E23" t="s">
        <v>201</v>
      </c>
      <c r="F23" s="65">
        <v>398990.91</v>
      </c>
      <c r="G23" t="s">
        <v>299</v>
      </c>
      <c r="I23" t="s">
        <v>324</v>
      </c>
      <c r="J23" s="60">
        <v>2211000</v>
      </c>
      <c r="K23" s="61">
        <v>0</v>
      </c>
      <c r="L23" s="60">
        <v>2211000</v>
      </c>
      <c r="M23" t="s">
        <v>303</v>
      </c>
      <c r="N23" t="s">
        <v>273</v>
      </c>
      <c r="O23" t="s">
        <v>304</v>
      </c>
      <c r="P23">
        <v>50</v>
      </c>
      <c r="Q23" t="s">
        <v>305</v>
      </c>
      <c r="R23" t="s">
        <v>306</v>
      </c>
      <c r="S23" t="s">
        <v>306</v>
      </c>
    </row>
    <row r="24" spans="1:19" x14ac:dyDescent="0.3">
      <c r="A24" t="s">
        <v>165</v>
      </c>
      <c r="B24" s="63">
        <v>649</v>
      </c>
      <c r="C24" t="s">
        <v>268</v>
      </c>
      <c r="D24" t="s">
        <v>336</v>
      </c>
      <c r="E24" t="s">
        <v>377</v>
      </c>
      <c r="F24" s="60">
        <v>29803.21</v>
      </c>
      <c r="G24" t="s">
        <v>299</v>
      </c>
      <c r="H24" t="s">
        <v>337</v>
      </c>
      <c r="J24" s="60">
        <v>120100</v>
      </c>
      <c r="K24" s="61">
        <v>60050</v>
      </c>
      <c r="L24" s="60">
        <f>ExportFacturacion3[[#This Row],[Unitario]]-ExportFacturacion3[[#This Row],[Descuento]]</f>
        <v>60050</v>
      </c>
      <c r="M24" t="s">
        <v>339</v>
      </c>
      <c r="N24" t="s">
        <v>273</v>
      </c>
      <c r="O24" t="s">
        <v>340</v>
      </c>
      <c r="P24">
        <v>100</v>
      </c>
      <c r="Q24" t="s">
        <v>340</v>
      </c>
      <c r="R24" t="s">
        <v>338</v>
      </c>
      <c r="S24" t="s">
        <v>273</v>
      </c>
    </row>
    <row r="25" spans="1:19" x14ac:dyDescent="0.3">
      <c r="E25" t="s">
        <v>378</v>
      </c>
      <c r="F25" s="65">
        <v>28147.47</v>
      </c>
      <c r="J25" s="65">
        <v>80000</v>
      </c>
      <c r="K25" s="61">
        <v>40000</v>
      </c>
      <c r="L25" s="65">
        <f>ExportFacturacion3[[#This Row],[Unitario]]-ExportFacturacion3[[#This Row],[Descuento]]</f>
        <v>40000</v>
      </c>
    </row>
    <row r="26" spans="1:19" x14ac:dyDescent="0.3">
      <c r="A26" t="s">
        <v>165</v>
      </c>
      <c r="B26" s="63">
        <v>650</v>
      </c>
      <c r="C26" t="s">
        <v>268</v>
      </c>
      <c r="D26" t="s">
        <v>328</v>
      </c>
      <c r="E26" t="s">
        <v>377</v>
      </c>
      <c r="F26" s="60">
        <v>29803.21</v>
      </c>
      <c r="G26" t="s">
        <v>166</v>
      </c>
      <c r="H26" t="s">
        <v>329</v>
      </c>
      <c r="I26" t="s">
        <v>330</v>
      </c>
      <c r="J26" s="60">
        <v>120100</v>
      </c>
      <c r="K26" s="61">
        <v>6005</v>
      </c>
      <c r="L26" s="60">
        <f>ExportFacturacion3[[#This Row],[Unitario]]-ExportFacturacion3[[#This Row],[Descuento]]</f>
        <v>114095</v>
      </c>
      <c r="M26" t="s">
        <v>341</v>
      </c>
      <c r="N26" t="s">
        <v>273</v>
      </c>
      <c r="O26" t="s">
        <v>342</v>
      </c>
      <c r="P26">
        <v>50</v>
      </c>
      <c r="Q26" t="s">
        <v>343</v>
      </c>
      <c r="R26" t="s">
        <v>344</v>
      </c>
      <c r="S26" t="s">
        <v>344</v>
      </c>
    </row>
    <row r="27" spans="1:19" x14ac:dyDescent="0.3">
      <c r="A27" t="s">
        <v>165</v>
      </c>
      <c r="B27" s="63">
        <v>652</v>
      </c>
      <c r="C27" t="s">
        <v>268</v>
      </c>
      <c r="D27" t="s">
        <v>345</v>
      </c>
      <c r="E27" t="s">
        <v>378</v>
      </c>
      <c r="F27" s="65">
        <v>28147.47</v>
      </c>
      <c r="G27" t="s">
        <v>299</v>
      </c>
      <c r="I27" t="s">
        <v>346</v>
      </c>
      <c r="J27" s="60">
        <v>80000</v>
      </c>
      <c r="K27" s="61">
        <v>0</v>
      </c>
      <c r="L27" s="60">
        <v>80000</v>
      </c>
      <c r="M27" t="s">
        <v>348</v>
      </c>
      <c r="N27" t="s">
        <v>273</v>
      </c>
      <c r="O27" t="s">
        <v>349</v>
      </c>
      <c r="P27">
        <v>100</v>
      </c>
      <c r="Q27" t="s">
        <v>349</v>
      </c>
      <c r="R27" t="s">
        <v>347</v>
      </c>
      <c r="S27" t="s">
        <v>273</v>
      </c>
    </row>
    <row r="28" spans="1:19" x14ac:dyDescent="0.3">
      <c r="E28" t="s">
        <v>377</v>
      </c>
      <c r="F28" s="60">
        <v>29803.21</v>
      </c>
      <c r="J28" s="65">
        <v>120100</v>
      </c>
      <c r="K28" s="61">
        <v>0</v>
      </c>
      <c r="L28" s="65">
        <v>120100</v>
      </c>
    </row>
    <row r="29" spans="1:19" x14ac:dyDescent="0.3">
      <c r="E29" t="s">
        <v>379</v>
      </c>
      <c r="J29" s="65">
        <v>98000</v>
      </c>
      <c r="K29" s="61">
        <v>0</v>
      </c>
      <c r="L29" s="65">
        <v>98000</v>
      </c>
    </row>
    <row r="30" spans="1:19" x14ac:dyDescent="0.3">
      <c r="A30" t="s">
        <v>165</v>
      </c>
      <c r="B30" s="63">
        <v>653</v>
      </c>
      <c r="C30" t="s">
        <v>268</v>
      </c>
      <c r="D30" t="s">
        <v>350</v>
      </c>
      <c r="E30" t="s">
        <v>203</v>
      </c>
      <c r="F30" s="65">
        <v>1114422.8999999999</v>
      </c>
      <c r="G30" t="s">
        <v>299</v>
      </c>
      <c r="J30" s="60">
        <v>7000000</v>
      </c>
      <c r="K30" s="61">
        <v>350000</v>
      </c>
      <c r="L30" s="60">
        <f>ExportFacturacion3[[#This Row],[Unitario]]-ExportFacturacion3[[#This Row],[Descuento]]</f>
        <v>6650000</v>
      </c>
      <c r="M30" t="s">
        <v>351</v>
      </c>
      <c r="N30" t="s">
        <v>273</v>
      </c>
      <c r="O30" t="s">
        <v>352</v>
      </c>
      <c r="P30">
        <v>50</v>
      </c>
      <c r="Q30" t="s">
        <v>353</v>
      </c>
      <c r="R30" t="s">
        <v>354</v>
      </c>
      <c r="S30" t="s">
        <v>354</v>
      </c>
    </row>
    <row r="31" spans="1:19" x14ac:dyDescent="0.3">
      <c r="A31" t="s">
        <v>165</v>
      </c>
      <c r="B31" s="63">
        <v>655</v>
      </c>
      <c r="C31" t="s">
        <v>268</v>
      </c>
      <c r="D31" t="s">
        <v>355</v>
      </c>
      <c r="E31" t="s">
        <v>201</v>
      </c>
      <c r="F31" s="65">
        <v>398990.91</v>
      </c>
      <c r="G31" t="s">
        <v>299</v>
      </c>
      <c r="I31" t="s">
        <v>324</v>
      </c>
      <c r="J31" s="60">
        <v>2211000</v>
      </c>
      <c r="K31" s="61">
        <v>0</v>
      </c>
      <c r="L31" s="60">
        <v>2211000</v>
      </c>
      <c r="M31" t="s">
        <v>303</v>
      </c>
      <c r="N31" t="s">
        <v>273</v>
      </c>
      <c r="O31" t="s">
        <v>304</v>
      </c>
      <c r="P31">
        <v>50</v>
      </c>
      <c r="Q31" t="s">
        <v>305</v>
      </c>
      <c r="R31" t="s">
        <v>306</v>
      </c>
      <c r="S31" t="s">
        <v>306</v>
      </c>
    </row>
    <row r="32" spans="1:19" x14ac:dyDescent="0.3">
      <c r="A32" t="s">
        <v>165</v>
      </c>
      <c r="B32" s="63">
        <v>661</v>
      </c>
      <c r="C32" t="s">
        <v>268</v>
      </c>
      <c r="D32" t="s">
        <v>356</v>
      </c>
      <c r="E32" t="s">
        <v>203</v>
      </c>
      <c r="F32" s="65">
        <v>1114422.8999999999</v>
      </c>
      <c r="G32" t="s">
        <v>299</v>
      </c>
      <c r="J32" s="60">
        <v>7000000</v>
      </c>
      <c r="K32" s="61">
        <v>350000</v>
      </c>
      <c r="L32" s="60">
        <f>ExportFacturacion3[[#This Row],[Unitario]]-ExportFacturacion3[[#This Row],[Descuento]]</f>
        <v>6650000</v>
      </c>
      <c r="M32" t="s">
        <v>351</v>
      </c>
      <c r="N32" t="s">
        <v>273</v>
      </c>
      <c r="O32" t="s">
        <v>352</v>
      </c>
      <c r="P32">
        <v>50</v>
      </c>
      <c r="Q32" t="s">
        <v>353</v>
      </c>
      <c r="R32" t="s">
        <v>354</v>
      </c>
      <c r="S32" t="s">
        <v>354</v>
      </c>
    </row>
    <row r="33" spans="1:19" x14ac:dyDescent="0.3">
      <c r="A33" t="s">
        <v>165</v>
      </c>
      <c r="B33" s="63">
        <v>662</v>
      </c>
      <c r="C33" t="s">
        <v>268</v>
      </c>
      <c r="D33" t="s">
        <v>357</v>
      </c>
      <c r="E33" t="s">
        <v>377</v>
      </c>
      <c r="F33" s="60">
        <v>29803.21</v>
      </c>
      <c r="G33" t="s">
        <v>299</v>
      </c>
      <c r="J33" s="65">
        <v>120100</v>
      </c>
      <c r="K33" s="61">
        <v>0</v>
      </c>
      <c r="L33" s="65">
        <v>120100</v>
      </c>
      <c r="M33" t="s">
        <v>358</v>
      </c>
      <c r="N33" t="s">
        <v>273</v>
      </c>
      <c r="O33" t="s">
        <v>359</v>
      </c>
      <c r="P33">
        <v>50</v>
      </c>
      <c r="Q33" t="s">
        <v>360</v>
      </c>
      <c r="R33" t="s">
        <v>361</v>
      </c>
      <c r="S33" t="s">
        <v>361</v>
      </c>
    </row>
    <row r="34" spans="1:19" x14ac:dyDescent="0.3">
      <c r="A34" t="s">
        <v>165</v>
      </c>
      <c r="B34" s="63">
        <v>670</v>
      </c>
      <c r="C34" t="s">
        <v>268</v>
      </c>
      <c r="D34" t="s">
        <v>362</v>
      </c>
      <c r="E34" t="s">
        <v>201</v>
      </c>
      <c r="F34" s="65">
        <v>398990.91</v>
      </c>
      <c r="G34" t="s">
        <v>299</v>
      </c>
      <c r="I34" t="s">
        <v>324</v>
      </c>
      <c r="J34" s="60">
        <v>2211000</v>
      </c>
      <c r="K34" s="61">
        <v>221100</v>
      </c>
      <c r="L34" s="65">
        <f>ExportFacturacion3[[#This Row],[Unitario]]-ExportFacturacion3[[#This Row],[Descuento]]</f>
        <v>1989900</v>
      </c>
      <c r="M34" t="s">
        <v>363</v>
      </c>
      <c r="N34" t="s">
        <v>273</v>
      </c>
      <c r="O34" t="s">
        <v>364</v>
      </c>
      <c r="P34">
        <v>50</v>
      </c>
      <c r="Q34" t="s">
        <v>365</v>
      </c>
      <c r="R34" t="s">
        <v>366</v>
      </c>
      <c r="S34" t="s">
        <v>366</v>
      </c>
    </row>
    <row r="35" spans="1:19" x14ac:dyDescent="0.3">
      <c r="E35" t="s">
        <v>380</v>
      </c>
      <c r="F35" s="65">
        <v>16557.34</v>
      </c>
      <c r="J35" s="65">
        <v>75100</v>
      </c>
      <c r="K35" s="61">
        <v>0</v>
      </c>
      <c r="L35" s="65">
        <f>ExportFacturacion3[[#This Row],[Unitario]]-ExportFacturacion3[[#This Row],[Descuento]]</f>
        <v>75100</v>
      </c>
    </row>
    <row r="36" spans="1:19" x14ac:dyDescent="0.3">
      <c r="E36" t="s">
        <v>377</v>
      </c>
      <c r="F36" s="60">
        <v>29803.21</v>
      </c>
      <c r="J36" s="65">
        <v>120100</v>
      </c>
      <c r="K36" s="61">
        <v>6005</v>
      </c>
      <c r="L36" s="65">
        <f>ExportFacturacion3[[#This Row],[Unitario]]-ExportFacturacion3[[#This Row],[Descuento]]</f>
        <v>114095</v>
      </c>
    </row>
    <row r="37" spans="1:19" x14ac:dyDescent="0.3">
      <c r="E37" t="s">
        <v>378</v>
      </c>
      <c r="F37" s="65">
        <v>28147.47</v>
      </c>
      <c r="J37" s="65">
        <v>80000</v>
      </c>
      <c r="K37" s="61">
        <v>4000</v>
      </c>
      <c r="L37" s="65">
        <f>ExportFacturacion3[[#This Row],[Unitario]]-ExportFacturacion3[[#This Row],[Descuento]]</f>
        <v>76000</v>
      </c>
    </row>
    <row r="38" spans="1:19" x14ac:dyDescent="0.3">
      <c r="A38" t="s">
        <v>165</v>
      </c>
      <c r="B38" s="63">
        <v>672</v>
      </c>
      <c r="C38" t="s">
        <v>268</v>
      </c>
      <c r="D38" t="s">
        <v>367</v>
      </c>
      <c r="E38" t="s">
        <v>270</v>
      </c>
      <c r="F38" s="65">
        <v>1120931.67</v>
      </c>
      <c r="G38" t="s">
        <v>166</v>
      </c>
      <c r="I38" t="s">
        <v>368</v>
      </c>
      <c r="J38" s="60">
        <v>4350000</v>
      </c>
      <c r="K38" s="61">
        <v>435000</v>
      </c>
      <c r="L38" s="60">
        <f>ExportFacturacion3[[#This Row],[Unitario]]-ExportFacturacion3[[#This Row],[Descuento]]</f>
        <v>3915000</v>
      </c>
      <c r="M38" t="s">
        <v>370</v>
      </c>
      <c r="N38" t="s">
        <v>273</v>
      </c>
      <c r="O38" t="s">
        <v>371</v>
      </c>
      <c r="P38">
        <v>100</v>
      </c>
      <c r="Q38" t="s">
        <v>371</v>
      </c>
      <c r="R38" t="s">
        <v>369</v>
      </c>
      <c r="S38" t="s">
        <v>273</v>
      </c>
    </row>
    <row r="39" spans="1:19" x14ac:dyDescent="0.3">
      <c r="F39" s="66">
        <f>SUM(F2:F38)</f>
        <v>21297687.719999999</v>
      </c>
      <c r="J39" s="68">
        <f>SUM(J2:J38)</f>
        <v>118678436</v>
      </c>
      <c r="K39" s="61">
        <f>SUM(K2:K38)</f>
        <v>14803728.24</v>
      </c>
      <c r="L39" s="68">
        <f>SUM(L2:L38)</f>
        <v>103874707.76000001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Dic'25</vt:lpstr>
      <vt:lpstr>Gastos</vt:lpstr>
      <vt:lpstr>Ventas Dic 2025 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2026-02-23T15:21:23Z</dcterms:modified>
</cp:coreProperties>
</file>