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3" documentId="8_{720440FF-4690-4718-A451-4294146FEECB}" xr6:coauthVersionLast="47" xr6:coauthVersionMax="47" xr10:uidLastSave="{A9C5C50A-AA02-421D-866C-4377F7504962}"/>
  <bookViews>
    <workbookView xWindow="-120" yWindow="-120" windowWidth="20730" windowHeight="11040" tabRatio="599" xr2:uid="{30A6164E-A0D3-4996-9EF3-92045D51F006}"/>
  </bookViews>
  <sheets>
    <sheet name="Abr'25" sheetId="23" r:id="rId1"/>
    <sheet name="Gastos" sheetId="24" r:id="rId2"/>
    <sheet name="Ventas Abr'25" sheetId="18" r:id="rId3"/>
    <sheet name="LISTA CONCEPTOS" sheetId="15" state="hidden" r:id="rId4"/>
  </sheets>
  <definedNames>
    <definedName name="_xlnm._FilterDatabase" localSheetId="1" hidden="1">Gastos!$A$1:$D$1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7" i="24" l="1"/>
  <c r="B22" i="23" s="1"/>
  <c r="B157" i="24"/>
  <c r="C167" i="24"/>
  <c r="C150" i="24"/>
  <c r="B21" i="23" s="1"/>
  <c r="B150" i="24"/>
  <c r="C133" i="24"/>
  <c r="B16" i="23" s="1"/>
  <c r="B133" i="24"/>
  <c r="C20" i="24"/>
  <c r="B15" i="23" s="1"/>
  <c r="B20" i="24"/>
  <c r="C17" i="24"/>
  <c r="B14" i="23" s="1"/>
  <c r="B17" i="24"/>
  <c r="C15" i="24"/>
  <c r="B12" i="23" s="1"/>
  <c r="B15" i="24"/>
  <c r="C13" i="24"/>
  <c r="B13" i="23" s="1"/>
  <c r="B13" i="24"/>
  <c r="C10" i="24"/>
  <c r="B11" i="23" s="1"/>
  <c r="B10" i="24"/>
  <c r="B6" i="23"/>
  <c r="B4" i="23"/>
  <c r="B3" i="23"/>
  <c r="B10" i="23" l="1"/>
  <c r="B5" i="23"/>
  <c r="C4" i="23"/>
  <c r="C16" i="23" l="1"/>
  <c r="C18" i="23"/>
  <c r="C17" i="23"/>
  <c r="C10" i="23"/>
  <c r="C21" i="23"/>
  <c r="C11" i="23"/>
  <c r="C12" i="23"/>
  <c r="B7" i="23"/>
  <c r="C7" i="23" s="1"/>
  <c r="C15" i="23"/>
  <c r="C14" i="23" l="1"/>
  <c r="C13" i="23" l="1"/>
  <c r="B20" i="23" l="1"/>
  <c r="C20" i="23" s="1"/>
  <c r="B24" i="23" l="1"/>
  <c r="B26" i="23"/>
  <c r="C26" i="23" s="1"/>
  <c r="C22" i="23"/>
</calcChain>
</file>

<file path=xl/sharedStrings.xml><?xml version="1.0" encoding="utf-8"?>
<sst xmlns="http://schemas.openxmlformats.org/spreadsheetml/2006/main" count="763" uniqueCount="299">
  <si>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</si>
  <si>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</si>
  <si>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</si>
  <si>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</si>
  <si>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</si>
  <si>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</si>
  <si>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</si>
  <si>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</si>
  <si>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</si>
  <si>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</si>
  <si>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</si>
  <si>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</si>
  <si>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</si>
  <si>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</si>
  <si>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</si>
  <si>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</si>
  <si>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</si>
  <si>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</si>
  <si>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</si>
  <si>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</si>
  <si>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</si>
  <si>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</si>
  <si>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</si>
  <si>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</si>
  <si>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</si>
  <si>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</si>
  <si>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</si>
  <si>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</si>
  <si>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</si>
  <si>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</si>
  <si>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</si>
  <si>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</si>
  <si>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</si>
  <si>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</si>
  <si>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</si>
  <si>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</si>
  <si>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</si>
  <si>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</si>
  <si>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</si>
  <si>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</si>
  <si>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</si>
  <si>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</si>
  <si>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</si>
  <si>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</si>
  <si>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</si>
  <si>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</si>
  <si>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</si>
  <si>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</si>
  <si>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</si>
  <si>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</si>
  <si>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</si>
  <si>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</si>
  <si>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</si>
  <si>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</si>
  <si>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</si>
  <si>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</si>
  <si>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</si>
  <si>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</si>
  <si>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</si>
  <si>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</si>
  <si>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</si>
  <si>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</si>
  <si>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</si>
  <si>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</si>
  <si>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</si>
  <si>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</si>
  <si>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</si>
  <si>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</si>
  <si>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</si>
  <si>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</si>
  <si>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</si>
  <si>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</si>
  <si>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</si>
  <si>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</si>
  <si>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</si>
  <si>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</si>
  <si>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</si>
  <si>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</si>
  <si>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</si>
  <si>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</si>
  <si>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</si>
  <si>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</si>
  <si>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</si>
  <si>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</si>
  <si>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</si>
  <si>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</si>
  <si>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</si>
  <si>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</si>
  <si>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</si>
  <si>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</si>
  <si>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</si>
  <si>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</si>
  <si>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</si>
  <si>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</si>
  <si>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</si>
  <si>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</si>
  <si>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</si>
  <si>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</si>
  <si>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</si>
  <si>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</si>
  <si>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</si>
  <si>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</si>
  <si>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</si>
  <si>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</si>
  <si>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</si>
  <si>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</si>
  <si>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</si>
  <si>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</si>
  <si>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</si>
  <si>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</si>
  <si>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</si>
  <si>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</si>
  <si>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</si>
  <si>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</si>
  <si>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</si>
  <si>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</si>
  <si>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</si>
  <si>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</si>
  <si>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FN2 PRO</t>
  </si>
  <si>
    <t>Cynthia</t>
  </si>
  <si>
    <t>IVA</t>
  </si>
  <si>
    <t>Impuesto Ley 25.413</t>
  </si>
  <si>
    <t>Ingresos Brutos</t>
  </si>
  <si>
    <t>Local</t>
  </si>
  <si>
    <t>Sueldos</t>
  </si>
  <si>
    <t>Impuestos</t>
  </si>
  <si>
    <t>Ley 25.413</t>
  </si>
  <si>
    <t>Sircreb</t>
  </si>
  <si>
    <t>Teléfonos</t>
  </si>
  <si>
    <t>Alquiler</t>
  </si>
  <si>
    <t>Internet</t>
  </si>
  <si>
    <t>Honorarios Contables</t>
  </si>
  <si>
    <t>Nº Serie</t>
  </si>
  <si>
    <t>N° Despacho</t>
  </si>
  <si>
    <t>#</t>
  </si>
  <si>
    <t>Tipo de IVA</t>
  </si>
  <si>
    <t>MONTO TOTAL</t>
  </si>
  <si>
    <t>CUIT</t>
  </si>
  <si>
    <t>Forma de Pago</t>
  </si>
  <si>
    <t>Costo Contable</t>
  </si>
  <si>
    <t>Lelia</t>
  </si>
  <si>
    <t>24 001 | C04 196596 G</t>
  </si>
  <si>
    <t>N/A</t>
  </si>
  <si>
    <t>PRO GAS 90</t>
  </si>
  <si>
    <t>24 001 IC04 0985888 X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</si>
  <si>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</si>
  <si>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</si>
  <si>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</si>
  <si>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</si>
  <si>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</si>
  <si>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</si>
  <si>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</si>
  <si>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FLETES</t>
  </si>
  <si>
    <t>Comisiones Bancarias</t>
  </si>
  <si>
    <t>Reposición Caja Chica</t>
  </si>
  <si>
    <t xml:space="preserve">Descuentos Realizados </t>
  </si>
  <si>
    <t>COMISIONES DISTRIBUIDORES</t>
  </si>
  <si>
    <t>GASTOS VARIABLES</t>
  </si>
  <si>
    <t>GASTOS FIJOS</t>
  </si>
  <si>
    <t>GASTOS TOTALES</t>
  </si>
  <si>
    <t>Estado de Resultados 2025</t>
  </si>
  <si>
    <t>Edenor</t>
  </si>
  <si>
    <t>SEC</t>
  </si>
  <si>
    <t>Regimen Sircreb</t>
  </si>
  <si>
    <t>Categoría</t>
  </si>
  <si>
    <t>SubCategoría</t>
  </si>
  <si>
    <t>PUESTA EN MARCHA</t>
  </si>
  <si>
    <t>Operador</t>
  </si>
  <si>
    <t>Cliente</t>
  </si>
  <si>
    <t>Producto</t>
  </si>
  <si>
    <t>Valor Unitario</t>
  </si>
  <si>
    <t>Valor Total</t>
  </si>
  <si>
    <t>Dto.</t>
  </si>
  <si>
    <t>VALOR COTIZADO</t>
  </si>
  <si>
    <t>Facturado</t>
  </si>
  <si>
    <t>Monto con IVA</t>
  </si>
  <si>
    <t>Galicia Más</t>
  </si>
  <si>
    <t>Mercado Pago</t>
  </si>
  <si>
    <t>Efectivo SmartChain</t>
  </si>
  <si>
    <t>TOTAL PAGADO</t>
  </si>
  <si>
    <t>Pendiente</t>
  </si>
  <si>
    <t>Factura</t>
  </si>
  <si>
    <t>Galicia</t>
  </si>
  <si>
    <t>Efectivo</t>
  </si>
  <si>
    <t>TIPO DE CAMBIO</t>
  </si>
  <si>
    <t>%</t>
  </si>
  <si>
    <t xml:space="preserve">INVERSIONES </t>
  </si>
  <si>
    <t>ABL</t>
  </si>
  <si>
    <t>Caja Chica</t>
  </si>
  <si>
    <t>MARKETING</t>
  </si>
  <si>
    <t>REGULADOR</t>
  </si>
  <si>
    <t>MANGUITO</t>
  </si>
  <si>
    <t>FN1 PRO</t>
  </si>
  <si>
    <t>FAECYS</t>
  </si>
  <si>
    <t>F931</t>
  </si>
  <si>
    <t>La Estrella</t>
  </si>
  <si>
    <t>INACAP</t>
  </si>
  <si>
    <t>Fletes</t>
  </si>
  <si>
    <t>Pago | Sueldo Cynthia Fernández | Mar'25</t>
  </si>
  <si>
    <t>Pago | Sueldo Lelia Bertoni | Mar'25</t>
  </si>
  <si>
    <t>Pago | Sueldo Diego Argiró | Mar'25</t>
  </si>
  <si>
    <t>IVA Percepción</t>
  </si>
  <si>
    <t>Comisiones Ventas</t>
  </si>
  <si>
    <t>Sueldo Cynthia | Mar´25</t>
  </si>
  <si>
    <t>Sueldo Lelia| Mar´25</t>
  </si>
  <si>
    <t>Sueldo Carolina | Mar´25</t>
  </si>
  <si>
    <t>Comsiones Exterior</t>
  </si>
  <si>
    <t>Pago | ITALMEX</t>
  </si>
  <si>
    <t>Mercaderías</t>
  </si>
  <si>
    <t>Pago | Verónica Rigante | Honorarios Contables | Fc 00002-00000902</t>
  </si>
  <si>
    <t>Pago | AGIP | ABL Abr'25</t>
  </si>
  <si>
    <t>Pago | Viviana Fuertes | Alquiler | Fc 00002-00000238</t>
  </si>
  <si>
    <t>App Sumar</t>
  </si>
  <si>
    <t>Pago | Mol y Band SA | Base p/horno | Fc 0003-00003157</t>
  </si>
  <si>
    <t>Extraordinarios</t>
  </si>
  <si>
    <t>Base para Horno</t>
  </si>
  <si>
    <t>Pago | Telecom | Internet | Fc 4264-05160645 | Débito Automático</t>
  </si>
  <si>
    <t>Pago | ITALMEXY</t>
  </si>
  <si>
    <t>Pago | Cargas Sociales | INACAP | Mar'25</t>
  </si>
  <si>
    <t>Telecom | Teléfonos | Fc 6364-08992304 | Débito Automático</t>
  </si>
  <si>
    <t>Pago | Cargas Sociales | F931| Mar'25</t>
  </si>
  <si>
    <t>Pago | Cargas Sociales | SEC | Mar'25</t>
  </si>
  <si>
    <t>Pago | Cargas Sociales | La Estrella | Mar'25</t>
  </si>
  <si>
    <t>Pago | Cargas Sociales | FAECYS | Mar'25</t>
  </si>
  <si>
    <t>Pago | Racca Diana | Flete | Fc 00003-00000432</t>
  </si>
  <si>
    <t>Pago | Edenor | Fc 0026-64362366</t>
  </si>
  <si>
    <t>Pago | GABRIEL COGGIOLA | Matafuegos | Fc 00002-00003559</t>
  </si>
  <si>
    <t>Matafuegos</t>
  </si>
  <si>
    <t>Pago | IMPRENTA JM | 2 Talonarios x 50 Presupuestos | Fc 0002-0000975</t>
  </si>
  <si>
    <t>Imprenta</t>
  </si>
  <si>
    <t>Pago | Alamtec | Transformados Local | Fc 0010-00002762</t>
  </si>
  <si>
    <t>Transformador</t>
  </si>
  <si>
    <t>Pago | Sueldo Lelia Bertoni | Abr'25</t>
  </si>
  <si>
    <t>Pago | Sueldo + Vacacaciones 6 días | Cynthia Fernández | Abr'25</t>
  </si>
  <si>
    <t>Pago | Sueldo Diego Argiró | Abr'25</t>
  </si>
  <si>
    <t>Pago | Transporte Battaglia | Fletes | Fc 00002-00000918</t>
  </si>
  <si>
    <t>Comsiión Mantenimiento de Cuenta</t>
  </si>
  <si>
    <t>Comisiones Cynthia | Mar´24</t>
  </si>
  <si>
    <t>Comisiones Lelia | Mar´24</t>
  </si>
  <si>
    <t>Comisión Gonzalo Dacovih | Venta Emanuel</t>
  </si>
  <si>
    <t>retiro diego fer p</t>
  </si>
  <si>
    <t>retiro diego alquiler</t>
  </si>
  <si>
    <t>Alquiler | Abr'25</t>
  </si>
  <si>
    <t>Compra de dólares $1.230</t>
  </si>
  <si>
    <t>carpintero obra</t>
  </si>
  <si>
    <t>permiso de obra</t>
  </si>
  <si>
    <t>Comisones Distribuidoes</t>
  </si>
  <si>
    <t>PERSONAL</t>
  </si>
  <si>
    <t>Obra</t>
  </si>
  <si>
    <t>JULIAN NICOLAS RODRIGUEZ</t>
  </si>
  <si>
    <t>Fc B 0027</t>
  </si>
  <si>
    <t>FELIPE MARCELO TABOADA</t>
  </si>
  <si>
    <t>Fc A 0038</t>
  </si>
  <si>
    <t>23-23062151-9</t>
  </si>
  <si>
    <t>PALA 35</t>
  </si>
  <si>
    <t>EZEQUIEL PINEYRUA
CATERING LA CAPILLA S A</t>
  </si>
  <si>
    <t>PRO GAS 106</t>
  </si>
  <si>
    <t>G24038032008</t>
  </si>
  <si>
    <t>Fc A 0040</t>
  </si>
  <si>
    <t>sin cargo</t>
  </si>
  <si>
    <t>MANÓMETRO</t>
  </si>
  <si>
    <t>CRISTIAN MARCELO LUNA</t>
  </si>
  <si>
    <t>G23099106013</t>
  </si>
  <si>
    <t>Fc A 0042</t>
  </si>
  <si>
    <t>EDELMAR DARIO FONS</t>
  </si>
  <si>
    <t>Fc A 0039 | Anticipo Fc A 0043</t>
  </si>
  <si>
    <t>PABLO FENOUIL</t>
  </si>
  <si>
    <t>PRO HOUSE</t>
  </si>
  <si>
    <t>PT 1816 3 OF 10</t>
  </si>
  <si>
    <t>Fc A 0044</t>
  </si>
  <si>
    <t>20-35666340-4</t>
  </si>
  <si>
    <t>LEONARDO NICOLORICHE</t>
  </si>
  <si>
    <t>Fc B 0031</t>
  </si>
  <si>
    <t>LAUTARO EMANUEL VILLAMONTE</t>
  </si>
  <si>
    <t>Fc A 0036</t>
  </si>
  <si>
    <t>RODRIGO VILLAMONTE</t>
  </si>
  <si>
    <t>REPUESTOS</t>
  </si>
  <si>
    <t>Fc B 0028</t>
  </si>
  <si>
    <t>20-31702968-4</t>
  </si>
  <si>
    <t>ERICK LASA</t>
  </si>
  <si>
    <t>Fc A 0041</t>
  </si>
  <si>
    <t>20-31248951-2</t>
  </si>
  <si>
    <t>GONZALO SACCO</t>
  </si>
  <si>
    <t>DANIEL ERNESTO NAVARRO</t>
  </si>
  <si>
    <t>Fc A 0048</t>
  </si>
  <si>
    <t>20-24649777-0</t>
  </si>
  <si>
    <t>DANIEL PABLO PINO</t>
  </si>
  <si>
    <t>Fc B 0025</t>
  </si>
  <si>
    <t xml:space="preserve">20-30862008-6
</t>
  </si>
  <si>
    <t>MEDINA ALEJANDRO ESTEBAN</t>
  </si>
  <si>
    <t>Fc A 0035</t>
  </si>
  <si>
    <t xml:space="preserve">20-16636278-5
</t>
  </si>
  <si>
    <t>TOMAS ALURRALDE</t>
  </si>
  <si>
    <t>Fc A 0045</t>
  </si>
  <si>
    <t>30-71620028-7</t>
  </si>
  <si>
    <t>Importe</t>
  </si>
  <si>
    <r>
      <t xml:space="preserve">Pago | </t>
    </r>
    <r>
      <rPr>
        <sz val="10"/>
        <color theme="1"/>
        <rFont val="Calibri"/>
        <family val="2"/>
      </rPr>
      <t>DESARROLLO DE SOLUCIONES DIGITALES SRL | SUMAR App</t>
    </r>
    <r>
      <rPr>
        <sz val="11"/>
        <color theme="1"/>
        <rFont val="Calibri"/>
        <family val="2"/>
      </rPr>
      <t xml:space="preserve"> | Fc 00001-00000216</t>
    </r>
  </si>
  <si>
    <t>Imputar Mayo</t>
  </si>
  <si>
    <t>SIN IDENTIFICAR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</si>
</sst>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u/>
      <sz val="10"/>
      <color theme="1"/>
      <name val="Calibri"/>
      <family val="2"/>
    </font>
    <font>
      <b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0" fontId="8" fillId="0" borderId="3" xfId="0" applyFont="1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9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8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43" fontId="1" fillId="0" borderId="2" xfId="1" applyFont="1" applyBorder="1" applyAlignment="1">
      <alignment vertical="center"/>
    </xf>
    <xf numFmtId="0" fontId="12" fillId="7" borderId="0" xfId="0" applyFont="1" applyFill="1" applyAlignment="1">
      <alignment horizontal="center" vertical="center"/>
    </xf>
    <xf numFmtId="17" fontId="12" fillId="7" borderId="0" xfId="1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8" fillId="0" borderId="3" xfId="0" applyFont="1" applyBorder="1" applyAlignment="1">
      <alignment wrapText="1"/>
    </xf>
    <xf numFmtId="15" fontId="13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wrapText="1"/>
    </xf>
    <xf numFmtId="0" fontId="14" fillId="0" borderId="0" xfId="0" applyFont="1"/>
    <xf numFmtId="14" fontId="13" fillId="0" borderId="3" xfId="0" applyNumberFormat="1" applyFont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left" vertical="center" wrapText="1"/>
    </xf>
    <xf numFmtId="44" fontId="15" fillId="8" borderId="0" xfId="6" applyFont="1" applyFill="1" applyBorder="1" applyAlignment="1">
      <alignment horizontal="center" vertical="center" wrapText="1"/>
    </xf>
    <xf numFmtId="44" fontId="0" fillId="0" borderId="0" xfId="1" applyNumberFormat="1" applyFont="1" applyAlignment="1">
      <alignment vertical="center"/>
    </xf>
    <xf numFmtId="44" fontId="1" fillId="5" borderId="0" xfId="1" applyNumberFormat="1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8" fontId="13" fillId="3" borderId="3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0" fontId="13" fillId="0" borderId="4" xfId="0" applyNumberFormat="1" applyFont="1" applyBorder="1" applyAlignment="1">
      <alignment horizontal="right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wrapText="1"/>
    </xf>
    <xf numFmtId="3" fontId="16" fillId="9" borderId="5" xfId="0" applyNumberFormat="1" applyFont="1" applyFill="1" applyBorder="1" applyAlignment="1">
      <alignment horizontal="right" wrapText="1"/>
    </xf>
    <xf numFmtId="0" fontId="13" fillId="0" borderId="5" xfId="0" applyFont="1" applyFill="1" applyBorder="1" applyAlignment="1">
      <alignment horizontal="center" vertical="center" wrapText="1"/>
    </xf>
    <xf numFmtId="15" fontId="13" fillId="0" borderId="5" xfId="0" applyNumberFormat="1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vertical="center" wrapText="1"/>
    </xf>
    <xf numFmtId="3" fontId="13" fillId="0" borderId="5" xfId="0" applyNumberFormat="1" applyFont="1" applyFill="1" applyBorder="1" applyAlignment="1">
      <alignment horizontal="right" vertical="center" wrapText="1"/>
    </xf>
    <xf numFmtId="9" fontId="13" fillId="0" borderId="5" xfId="0" applyNumberFormat="1" applyFont="1" applyFill="1" applyBorder="1" applyAlignment="1">
      <alignment horizontal="center" vertical="center" wrapText="1"/>
    </xf>
    <xf numFmtId="10" fontId="13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horizontal="right" vertical="center" wrapText="1"/>
    </xf>
    <xf numFmtId="0" fontId="13" fillId="0" borderId="5" xfId="0" applyFont="1" applyFill="1" applyBorder="1" applyAlignment="1">
      <alignment horizontal="center" vertical="center" wrapText="1"/>
    </xf>
    <xf numFmtId="15" fontId="13" fillId="0" borderId="5" xfId="0" applyNumberFormat="1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vertical="center" wrapText="1"/>
    </xf>
    <xf numFmtId="4" fontId="13" fillId="0" borderId="5" xfId="0" applyNumberFormat="1" applyFont="1" applyFill="1" applyBorder="1" applyAlignment="1">
      <alignment horizontal="right" vertical="center" wrapText="1"/>
    </xf>
    <xf numFmtId="3" fontId="13" fillId="0" borderId="5" xfId="0" applyNumberFormat="1" applyFont="1" applyFill="1" applyBorder="1" applyAlignment="1">
      <alignment horizontal="right" vertical="center" wrapText="1"/>
    </xf>
    <xf numFmtId="0" fontId="8" fillId="0" borderId="5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horizontal="right" vertical="center" wrapText="1"/>
    </xf>
    <xf numFmtId="0" fontId="17" fillId="0" borderId="5" xfId="0" applyFont="1" applyFill="1" applyBorder="1" applyAlignment="1">
      <alignment horizontal="center" vertical="center" wrapText="1"/>
    </xf>
    <xf numFmtId="10" fontId="13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wrapText="1"/>
    </xf>
    <xf numFmtId="0" fontId="8" fillId="9" borderId="5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0" xfId="0" applyFont="1" applyBorder="1" applyAlignment="1">
      <alignment wrapText="1"/>
    </xf>
    <xf numFmtId="44" fontId="13" fillId="0" borderId="3" xfId="6" applyFont="1" applyBorder="1" applyAlignment="1">
      <alignment horizontal="right" vertical="center" wrapText="1"/>
    </xf>
    <xf numFmtId="0" fontId="18" fillId="0" borderId="0" xfId="0" applyFont="1"/>
    <xf numFmtId="14" fontId="13" fillId="0" borderId="3" xfId="0" applyNumberFormat="1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wrapText="1"/>
    </xf>
    <xf numFmtId="0" fontId="14" fillId="0" borderId="0" xfId="0" applyFont="1" applyFill="1"/>
    <xf numFmtId="15" fontId="13" fillId="0" borderId="3" xfId="0" applyNumberFormat="1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vertical="center" wrapText="1"/>
    </xf>
    <xf numFmtId="0" fontId="14" fillId="0" borderId="3" xfId="0" applyFont="1" applyFill="1" applyBorder="1"/>
    <xf numFmtId="44" fontId="15" fillId="8" borderId="0" xfId="6" applyNumberFormat="1" applyFont="1" applyFill="1" applyAlignment="1">
      <alignment horizontal="center" vertical="center" wrapText="1"/>
    </xf>
    <xf numFmtId="44" fontId="13" fillId="0" borderId="3" xfId="0" applyNumberFormat="1" applyFont="1" applyFill="1" applyBorder="1" applyAlignment="1">
      <alignment horizontal="right" vertical="center" wrapText="1"/>
    </xf>
    <xf numFmtId="44" fontId="14" fillId="0" borderId="3" xfId="0" applyNumberFormat="1" applyFont="1" applyFill="1" applyBorder="1" applyAlignment="1">
      <alignment horizontal="right" vertical="center" wrapText="1"/>
    </xf>
    <xf numFmtId="44" fontId="13" fillId="0" borderId="3" xfId="6" applyNumberFormat="1" applyFont="1" applyFill="1" applyBorder="1" applyAlignment="1">
      <alignment wrapText="1"/>
    </xf>
    <xf numFmtId="44" fontId="14" fillId="0" borderId="0" xfId="0" applyNumberFormat="1" applyFont="1"/>
    <xf numFmtId="0" fontId="19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left" vertical="center" wrapText="1"/>
    </xf>
    <xf numFmtId="44" fontId="19" fillId="3" borderId="0" xfId="6" applyFont="1" applyFill="1" applyBorder="1" applyAlignment="1">
      <alignment horizontal="center" vertical="center" wrapText="1"/>
    </xf>
    <xf numFmtId="14" fontId="13" fillId="0" borderId="0" xfId="0" applyNumberFormat="1" applyFont="1" applyBorder="1" applyAlignment="1">
      <alignment horizontal="center" vertical="center" wrapText="1"/>
    </xf>
    <xf numFmtId="44" fontId="13" fillId="0" borderId="0" xfId="6" applyFont="1" applyBorder="1" applyAlignment="1">
      <alignment horizontal="right" vertical="center" wrapText="1"/>
    </xf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217861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tabSelected="1" topLeftCell="A17" zoomScaleNormal="100" workbookViewId="0">
      <selection activeCell="A31" sqref="A31"/>
    </sheetView>
  </sheetViews>
  <sheetFormatPr baseColWidth="10" defaultRowHeight="15" x14ac:dyDescent="0.25"/>
  <cols>
    <col min="1" max="1" width="66.7109375" style="14" customWidth="1"/>
    <col min="2" max="2" width="14.5703125" style="16" bestFit="1" customWidth="1"/>
    <col min="3" max="3" width="11.42578125" style="15"/>
    <col min="4" max="4" width="14.28515625" style="13" bestFit="1" customWidth="1"/>
    <col min="5" max="16384" width="11.42578125" style="14"/>
  </cols>
  <sheetData>
    <row r="1" spans="1:5" ht="66.75" customHeight="1" x14ac:dyDescent="0.25">
      <c r="A1" s="2" t="s">
        <v>160</v>
      </c>
      <c r="B1" s="11"/>
      <c r="C1" s="2"/>
    </row>
    <row r="2" spans="1:5" ht="20.25" x14ac:dyDescent="0.25">
      <c r="A2" s="39" t="s">
        <v>24</v>
      </c>
      <c r="B2" s="40">
        <v>45748</v>
      </c>
      <c r="C2" s="41" t="s">
        <v>185</v>
      </c>
    </row>
    <row r="3" spans="1:5" x14ac:dyDescent="0.25">
      <c r="A3" s="14" t="s">
        <v>25</v>
      </c>
      <c r="B3" s="16">
        <f>+'Ventas Abr''25'!I26</f>
        <v>29161981</v>
      </c>
      <c r="C3" s="17">
        <v>1</v>
      </c>
    </row>
    <row r="4" spans="1:5" x14ac:dyDescent="0.25">
      <c r="A4" s="14" t="s">
        <v>155</v>
      </c>
      <c r="B4" s="38">
        <f>+'Ventas Abr''25'!J26</f>
        <v>886000</v>
      </c>
      <c r="C4" s="19">
        <f>(B4*C3)/B3</f>
        <v>3.0382023772664826E-2</v>
      </c>
    </row>
    <row r="5" spans="1:5" x14ac:dyDescent="0.25">
      <c r="A5" s="20" t="s">
        <v>26</v>
      </c>
      <c r="B5" s="18">
        <f>B3-B4</f>
        <v>28275981</v>
      </c>
      <c r="C5" s="17">
        <v>1</v>
      </c>
    </row>
    <row r="6" spans="1:5" x14ac:dyDescent="0.25">
      <c r="A6" s="21" t="s">
        <v>27</v>
      </c>
      <c r="B6" s="16">
        <f>+'Ventas Abr''25'!Y26</f>
        <v>9552413</v>
      </c>
      <c r="C6" s="19">
        <v>0.33</v>
      </c>
    </row>
    <row r="7" spans="1:5" x14ac:dyDescent="0.25">
      <c r="A7" s="21" t="s">
        <v>28</v>
      </c>
      <c r="B7" s="18">
        <f>B5-B6</f>
        <v>18723568</v>
      </c>
      <c r="C7" s="19">
        <f>(B7*C5)/B5</f>
        <v>0.66217218069286443</v>
      </c>
    </row>
    <row r="10" spans="1:5" s="27" customFormat="1" x14ac:dyDescent="0.25">
      <c r="A10" s="22" t="s">
        <v>157</v>
      </c>
      <c r="B10" s="36">
        <f>SUM(B11:B18)</f>
        <v>4495312.6499999994</v>
      </c>
      <c r="C10" s="24">
        <f>(B10*$C$5)/$B$5</f>
        <v>0.15897990064429593</v>
      </c>
      <c r="D10" s="25"/>
      <c r="E10" s="26"/>
    </row>
    <row r="11" spans="1:5" x14ac:dyDescent="0.25">
      <c r="A11" s="28" t="s">
        <v>17</v>
      </c>
      <c r="B11" s="51">
        <f>+Gastos!C10</f>
        <v>427100.38</v>
      </c>
      <c r="C11" s="19">
        <f>(B11*$C$5)/$B$5</f>
        <v>1.510470600471828E-2</v>
      </c>
    </row>
    <row r="12" spans="1:5" x14ac:dyDescent="0.25">
      <c r="A12" s="28" t="s">
        <v>156</v>
      </c>
      <c r="B12" s="51">
        <f>+Gastos!C15</f>
        <v>211750</v>
      </c>
      <c r="C12" s="19">
        <f>(B12*$C$5)/$B$5</f>
        <v>7.4886880140427308E-3</v>
      </c>
    </row>
    <row r="13" spans="1:5" x14ac:dyDescent="0.25">
      <c r="A13" s="28" t="s">
        <v>149</v>
      </c>
      <c r="B13" s="51">
        <f>+Gastos!C13</f>
        <v>1390000</v>
      </c>
      <c r="C13" s="19">
        <f t="shared" ref="C13:C18" si="0">(B13*$C$5)/$B$5</f>
        <v>4.9158329820634693E-2</v>
      </c>
    </row>
    <row r="14" spans="1:5" x14ac:dyDescent="0.25">
      <c r="A14" s="28" t="s">
        <v>148</v>
      </c>
      <c r="B14" s="51">
        <f>+Gastos!C17</f>
        <v>635250</v>
      </c>
      <c r="C14" s="19">
        <f>(B14*$C$5)/$B$5</f>
        <v>2.2466064042128194E-2</v>
      </c>
    </row>
    <row r="15" spans="1:5" x14ac:dyDescent="0.25">
      <c r="A15" s="28" t="s">
        <v>152</v>
      </c>
      <c r="B15" s="51">
        <f>+Gastos!C20</f>
        <v>693917.92</v>
      </c>
      <c r="C15" s="19">
        <f t="shared" si="0"/>
        <v>2.4540896388351656E-2</v>
      </c>
    </row>
    <row r="16" spans="1:5" x14ac:dyDescent="0.25">
      <c r="A16" s="28" t="s">
        <v>147</v>
      </c>
      <c r="B16" s="51">
        <f>+Gastos!C133</f>
        <v>1137294.3499999994</v>
      </c>
      <c r="C16" s="19">
        <f t="shared" si="0"/>
        <v>4.0221216374420374E-2</v>
      </c>
    </row>
    <row r="17" spans="1:3" x14ac:dyDescent="0.25">
      <c r="A17" s="28" t="s">
        <v>189</v>
      </c>
      <c r="B17" s="51">
        <v>0</v>
      </c>
      <c r="C17" s="19">
        <f t="shared" si="0"/>
        <v>0</v>
      </c>
    </row>
    <row r="18" spans="1:3" x14ac:dyDescent="0.25">
      <c r="A18" s="28" t="s">
        <v>166</v>
      </c>
      <c r="B18" s="51">
        <v>0</v>
      </c>
      <c r="C18" s="19">
        <f t="shared" si="0"/>
        <v>0</v>
      </c>
    </row>
    <row r="20" spans="1:3" x14ac:dyDescent="0.25">
      <c r="A20" s="22" t="s">
        <v>158</v>
      </c>
      <c r="B20" s="36">
        <f>SUM(B21:B22)</f>
        <v>7994021.1600000001</v>
      </c>
      <c r="C20" s="24">
        <f>(B20*$C$5)/$B$5</f>
        <v>0.28271419336432574</v>
      </c>
    </row>
    <row r="21" spans="1:3" x14ac:dyDescent="0.25">
      <c r="A21" s="28" t="s">
        <v>146</v>
      </c>
      <c r="B21" s="51">
        <f>+Gastos!C150</f>
        <v>3167160.16</v>
      </c>
      <c r="C21" s="19">
        <f>(B21*$C$5)/$B$5</f>
        <v>0.11200885161154975</v>
      </c>
    </row>
    <row r="22" spans="1:3" x14ac:dyDescent="0.25">
      <c r="A22" s="28" t="s">
        <v>145</v>
      </c>
      <c r="B22" s="51">
        <f>+Gastos!C157</f>
        <v>4826861</v>
      </c>
      <c r="C22" s="19">
        <f>(B22*$C$5)/$B$5</f>
        <v>0.17070534175277596</v>
      </c>
    </row>
    <row r="23" spans="1:3" x14ac:dyDescent="0.25">
      <c r="A23" s="28"/>
      <c r="C23" s="19"/>
    </row>
    <row r="24" spans="1:3" x14ac:dyDescent="0.25">
      <c r="A24" s="22" t="s">
        <v>159</v>
      </c>
      <c r="B24" s="23">
        <f>+B10+B20</f>
        <v>12489333.809999999</v>
      </c>
      <c r="C24" s="19"/>
    </row>
    <row r="25" spans="1:3" x14ac:dyDescent="0.25">
      <c r="A25" s="28"/>
      <c r="C25" s="19"/>
    </row>
    <row r="26" spans="1:3" x14ac:dyDescent="0.25">
      <c r="A26" s="30" t="s">
        <v>79</v>
      </c>
      <c r="B26" s="31">
        <f>B7-B10-B20</f>
        <v>6234234.1900000013</v>
      </c>
      <c r="C26" s="32">
        <f>(B26*C5)/B5</f>
        <v>0.22047808668424276</v>
      </c>
    </row>
    <row r="29" spans="1:3" hidden="1" x14ac:dyDescent="0.25">
      <c r="A29" s="33" t="s">
        <v>186</v>
      </c>
      <c r="B29" s="34"/>
      <c r="C29" s="35"/>
    </row>
    <row r="30" spans="1:3" x14ac:dyDescent="0.25">
      <c r="A30" s="33" t="s">
        <v>186</v>
      </c>
      <c r="B30" s="52"/>
      <c r="C30" s="35"/>
    </row>
    <row r="32" spans="1:3" x14ac:dyDescent="0.25">
      <c r="B32" s="29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E172"/>
  <sheetViews>
    <sheetView topLeftCell="A157" zoomScale="90" zoomScaleNormal="90" workbookViewId="0">
      <selection activeCell="D162" sqref="D162"/>
    </sheetView>
  </sheetViews>
  <sheetFormatPr baseColWidth="10" defaultRowHeight="12.75" x14ac:dyDescent="0.2"/>
  <cols>
    <col min="1" max="1" width="11.28515625" style="46" bestFit="1" customWidth="1"/>
    <col min="2" max="2" width="78.85546875" style="46" customWidth="1"/>
    <col min="3" max="3" width="27.42578125" style="95" bestFit="1" customWidth="1"/>
    <col min="4" max="4" width="23.7109375" style="46" customWidth="1"/>
    <col min="5" max="5" width="23.85546875" style="46" customWidth="1"/>
    <col min="6" max="16384" width="11.42578125" style="46"/>
  </cols>
  <sheetData>
    <row r="1" spans="1:5" ht="19.5" customHeight="1" thickBot="1" x14ac:dyDescent="0.25">
      <c r="A1" s="48" t="s">
        <v>150</v>
      </c>
      <c r="B1" s="48" t="s">
        <v>151</v>
      </c>
      <c r="C1" s="91" t="s">
        <v>295</v>
      </c>
      <c r="D1" s="48" t="s">
        <v>164</v>
      </c>
      <c r="E1" s="48" t="s">
        <v>165</v>
      </c>
    </row>
    <row r="2" spans="1:5" s="87" customFormat="1" ht="15.75" thickBot="1" x14ac:dyDescent="0.25">
      <c r="A2" s="85">
        <v>45748</v>
      </c>
      <c r="B2" s="89" t="s">
        <v>206</v>
      </c>
      <c r="C2" s="92">
        <v>4323.16</v>
      </c>
      <c r="D2" s="89" t="s">
        <v>153</v>
      </c>
      <c r="E2" s="89" t="s">
        <v>153</v>
      </c>
    </row>
    <row r="3" spans="1:5" s="87" customFormat="1" ht="15.75" thickBot="1" x14ac:dyDescent="0.25">
      <c r="A3" s="85">
        <v>45748</v>
      </c>
      <c r="B3" s="89" t="s">
        <v>206</v>
      </c>
      <c r="C3" s="92">
        <v>30262.15</v>
      </c>
      <c r="D3" s="89" t="s">
        <v>153</v>
      </c>
      <c r="E3" s="89" t="s">
        <v>153</v>
      </c>
    </row>
    <row r="4" spans="1:5" s="87" customFormat="1" ht="15.75" thickBot="1" x14ac:dyDescent="0.25">
      <c r="A4" s="85">
        <v>45748</v>
      </c>
      <c r="B4" s="89" t="s">
        <v>206</v>
      </c>
      <c r="C4" s="92">
        <v>144105.5</v>
      </c>
      <c r="D4" s="89" t="s">
        <v>153</v>
      </c>
      <c r="E4" s="89" t="s">
        <v>153</v>
      </c>
    </row>
    <row r="5" spans="1:5" s="87" customFormat="1" ht="15.75" thickBot="1" x14ac:dyDescent="0.25">
      <c r="A5" s="85">
        <v>45770</v>
      </c>
      <c r="B5" s="89" t="s">
        <v>153</v>
      </c>
      <c r="C5" s="92">
        <v>14224</v>
      </c>
      <c r="D5" s="89" t="s">
        <v>153</v>
      </c>
      <c r="E5" s="89" t="s">
        <v>153</v>
      </c>
    </row>
    <row r="6" spans="1:5" s="87" customFormat="1" ht="15.75" thickBot="1" x14ac:dyDescent="0.25">
      <c r="A6" s="85">
        <v>45777</v>
      </c>
      <c r="B6" s="89" t="s">
        <v>236</v>
      </c>
      <c r="C6" s="92">
        <v>55000</v>
      </c>
      <c r="D6" s="89" t="s">
        <v>153</v>
      </c>
      <c r="E6" s="89" t="s">
        <v>153</v>
      </c>
    </row>
    <row r="7" spans="1:5" s="87" customFormat="1" ht="15.75" thickBot="1" x14ac:dyDescent="0.25">
      <c r="A7" s="85">
        <v>45755</v>
      </c>
      <c r="B7" s="89" t="s">
        <v>206</v>
      </c>
      <c r="C7" s="92">
        <v>4335.13</v>
      </c>
      <c r="D7" s="89" t="s">
        <v>153</v>
      </c>
      <c r="E7" s="89" t="s">
        <v>153</v>
      </c>
    </row>
    <row r="8" spans="1:5" s="87" customFormat="1" ht="15.75" thickBot="1" x14ac:dyDescent="0.25">
      <c r="A8" s="85">
        <v>45755</v>
      </c>
      <c r="B8" s="89" t="s">
        <v>206</v>
      </c>
      <c r="C8" s="92">
        <v>30345.94</v>
      </c>
      <c r="D8" s="89" t="s">
        <v>153</v>
      </c>
      <c r="E8" s="89" t="s">
        <v>153</v>
      </c>
    </row>
    <row r="9" spans="1:5" s="87" customFormat="1" ht="15.75" thickBot="1" x14ac:dyDescent="0.25">
      <c r="A9" s="85">
        <v>45755</v>
      </c>
      <c r="B9" s="89" t="s">
        <v>206</v>
      </c>
      <c r="C9" s="92">
        <v>144504.5</v>
      </c>
      <c r="D9" s="89" t="s">
        <v>153</v>
      </c>
      <c r="E9" s="89" t="s">
        <v>153</v>
      </c>
    </row>
    <row r="10" spans="1:5" ht="16.5" customHeight="1" thickBot="1" x14ac:dyDescent="0.25">
      <c r="A10" s="48"/>
      <c r="B10" s="49" t="str">
        <f>+D9</f>
        <v>Comisiones Bancarias</v>
      </c>
      <c r="C10" s="50">
        <f>SUM(C2:C9)</f>
        <v>427100.38</v>
      </c>
      <c r="D10" s="48"/>
      <c r="E10" s="48"/>
    </row>
    <row r="11" spans="1:5" s="87" customFormat="1" ht="15.75" thickBot="1" x14ac:dyDescent="0.25">
      <c r="A11" s="85">
        <v>45748</v>
      </c>
      <c r="B11" s="89" t="s">
        <v>237</v>
      </c>
      <c r="C11" s="92">
        <v>720000</v>
      </c>
      <c r="D11" s="89" t="s">
        <v>202</v>
      </c>
      <c r="E11" s="89" t="s">
        <v>202</v>
      </c>
    </row>
    <row r="12" spans="1:5" s="87" customFormat="1" ht="15.75" thickBot="1" x14ac:dyDescent="0.25">
      <c r="A12" s="85">
        <v>45748</v>
      </c>
      <c r="B12" s="89" t="s">
        <v>238</v>
      </c>
      <c r="C12" s="92">
        <v>670000</v>
      </c>
      <c r="D12" s="89" t="s">
        <v>202</v>
      </c>
      <c r="E12" s="89" t="s">
        <v>202</v>
      </c>
    </row>
    <row r="13" spans="1:5" ht="16.5" customHeight="1" thickBot="1" x14ac:dyDescent="0.25">
      <c r="A13" s="48"/>
      <c r="B13" s="49" t="str">
        <f>+D12</f>
        <v>Comisiones Ventas</v>
      </c>
      <c r="C13" s="50">
        <f>SUM(C11:C12)</f>
        <v>1390000</v>
      </c>
      <c r="D13" s="48"/>
      <c r="E13" s="48"/>
    </row>
    <row r="14" spans="1:5" s="87" customFormat="1" ht="15.75" thickBot="1" x14ac:dyDescent="0.25">
      <c r="A14" s="85">
        <v>45749</v>
      </c>
      <c r="B14" s="89" t="s">
        <v>239</v>
      </c>
      <c r="C14" s="92">
        <v>211750</v>
      </c>
      <c r="D14" s="89" t="s">
        <v>246</v>
      </c>
      <c r="E14" s="89" t="s">
        <v>246</v>
      </c>
    </row>
    <row r="15" spans="1:5" ht="16.5" customHeight="1" thickBot="1" x14ac:dyDescent="0.25">
      <c r="A15" s="48"/>
      <c r="B15" s="49" t="str">
        <f>+D14</f>
        <v>Comisones Distribuidoes</v>
      </c>
      <c r="C15" s="50">
        <f>SUM(C14)</f>
        <v>211750</v>
      </c>
      <c r="D15" s="48"/>
      <c r="E15" s="48"/>
    </row>
    <row r="16" spans="1:5" s="87" customFormat="1" ht="15.75" thickBot="1" x14ac:dyDescent="0.25">
      <c r="A16" s="85">
        <v>45751</v>
      </c>
      <c r="B16" s="89" t="s">
        <v>213</v>
      </c>
      <c r="C16" s="92">
        <v>635250</v>
      </c>
      <c r="D16" s="89" t="s">
        <v>214</v>
      </c>
      <c r="E16" s="89" t="s">
        <v>215</v>
      </c>
    </row>
    <row r="17" spans="1:5" ht="16.5" customHeight="1" thickBot="1" x14ac:dyDescent="0.25">
      <c r="A17" s="48"/>
      <c r="B17" s="49" t="str">
        <f>+D16</f>
        <v>Extraordinarios</v>
      </c>
      <c r="C17" s="50">
        <f>SUM(C16)</f>
        <v>635250</v>
      </c>
      <c r="D17" s="48"/>
      <c r="E17" s="48"/>
    </row>
    <row r="18" spans="1:5" s="87" customFormat="1" ht="15.75" thickBot="1" x14ac:dyDescent="0.25">
      <c r="A18" s="85">
        <v>45762</v>
      </c>
      <c r="B18" s="89" t="s">
        <v>224</v>
      </c>
      <c r="C18" s="92">
        <v>90000</v>
      </c>
      <c r="D18" s="89" t="s">
        <v>197</v>
      </c>
      <c r="E18" s="89" t="s">
        <v>197</v>
      </c>
    </row>
    <row r="19" spans="1:5" s="87" customFormat="1" ht="15.75" thickBot="1" x14ac:dyDescent="0.3">
      <c r="A19" s="85">
        <v>45777</v>
      </c>
      <c r="B19" s="86" t="s">
        <v>235</v>
      </c>
      <c r="C19" s="92">
        <v>603917.92000000004</v>
      </c>
      <c r="D19" s="86" t="s">
        <v>197</v>
      </c>
      <c r="E19" s="86" t="s">
        <v>197</v>
      </c>
    </row>
    <row r="20" spans="1:5" ht="16.5" customHeight="1" thickBot="1" x14ac:dyDescent="0.25">
      <c r="A20" s="48"/>
      <c r="B20" s="49" t="str">
        <f>+D19</f>
        <v>Fletes</v>
      </c>
      <c r="C20" s="50">
        <f>SUM(C18:C19)</f>
        <v>693917.92</v>
      </c>
      <c r="D20" s="48"/>
      <c r="E20" s="48"/>
    </row>
    <row r="21" spans="1:5" s="87" customFormat="1" ht="15.75" thickBot="1" x14ac:dyDescent="0.25">
      <c r="A21" s="85">
        <v>45748</v>
      </c>
      <c r="B21" s="89" t="s">
        <v>163</v>
      </c>
      <c r="C21" s="92">
        <v>0.1</v>
      </c>
      <c r="D21" s="89" t="s">
        <v>125</v>
      </c>
      <c r="E21" s="89" t="s">
        <v>127</v>
      </c>
    </row>
    <row r="22" spans="1:5" s="87" customFormat="1" ht="15.75" thickBot="1" x14ac:dyDescent="0.25">
      <c r="A22" s="85">
        <v>45748</v>
      </c>
      <c r="B22" s="89" t="s">
        <v>121</v>
      </c>
      <c r="C22" s="92">
        <v>0.6</v>
      </c>
      <c r="D22" s="89" t="s">
        <v>125</v>
      </c>
      <c r="E22" s="89" t="s">
        <v>126</v>
      </c>
    </row>
    <row r="23" spans="1:5" s="87" customFormat="1" ht="15.75" thickBot="1" x14ac:dyDescent="0.25">
      <c r="A23" s="85">
        <v>45748</v>
      </c>
      <c r="B23" s="89" t="s">
        <v>121</v>
      </c>
      <c r="C23" s="92">
        <v>1.44</v>
      </c>
      <c r="D23" s="89" t="s">
        <v>125</v>
      </c>
      <c r="E23" s="89" t="s">
        <v>126</v>
      </c>
    </row>
    <row r="24" spans="1:5" s="87" customFormat="1" ht="15.75" thickBot="1" x14ac:dyDescent="0.25">
      <c r="A24" s="85">
        <v>45748</v>
      </c>
      <c r="B24" s="89" t="s">
        <v>121</v>
      </c>
      <c r="C24" s="92">
        <v>9.0500000000000007</v>
      </c>
      <c r="D24" s="89" t="s">
        <v>125</v>
      </c>
      <c r="E24" s="89" t="s">
        <v>126</v>
      </c>
    </row>
    <row r="25" spans="1:5" s="87" customFormat="1" ht="15.75" thickBot="1" x14ac:dyDescent="0.25">
      <c r="A25" s="85">
        <v>45748</v>
      </c>
      <c r="B25" s="89" t="s">
        <v>121</v>
      </c>
      <c r="C25" s="92">
        <v>9.0500000000000007</v>
      </c>
      <c r="D25" s="89" t="s">
        <v>125</v>
      </c>
      <c r="E25" s="89" t="s">
        <v>126</v>
      </c>
    </row>
    <row r="26" spans="1:5" s="87" customFormat="1" ht="15.75" thickBot="1" x14ac:dyDescent="0.25">
      <c r="A26" s="85">
        <v>45748</v>
      </c>
      <c r="B26" s="89" t="s">
        <v>121</v>
      </c>
      <c r="C26" s="92">
        <v>22.69</v>
      </c>
      <c r="D26" s="89" t="s">
        <v>125</v>
      </c>
      <c r="E26" s="89" t="s">
        <v>126</v>
      </c>
    </row>
    <row r="27" spans="1:5" s="87" customFormat="1" ht="15.75" thickBot="1" x14ac:dyDescent="0.25">
      <c r="A27" s="85">
        <v>45748</v>
      </c>
      <c r="B27" s="89" t="s">
        <v>121</v>
      </c>
      <c r="C27" s="92">
        <v>63.38</v>
      </c>
      <c r="D27" s="89" t="s">
        <v>125</v>
      </c>
      <c r="E27" s="89" t="s">
        <v>126</v>
      </c>
    </row>
    <row r="28" spans="1:5" s="87" customFormat="1" ht="15.75" thickBot="1" x14ac:dyDescent="0.25">
      <c r="A28" s="85">
        <v>45748</v>
      </c>
      <c r="B28" s="89" t="s">
        <v>121</v>
      </c>
      <c r="C28" s="92">
        <v>301.8</v>
      </c>
      <c r="D28" s="89" t="s">
        <v>125</v>
      </c>
      <c r="E28" s="89" t="s">
        <v>126</v>
      </c>
    </row>
    <row r="29" spans="1:5" s="87" customFormat="1" ht="15.75" thickBot="1" x14ac:dyDescent="0.25">
      <c r="A29" s="85">
        <v>45748</v>
      </c>
      <c r="B29" s="89" t="s">
        <v>163</v>
      </c>
      <c r="C29" s="92">
        <v>1477.33</v>
      </c>
      <c r="D29" s="89" t="s">
        <v>125</v>
      </c>
      <c r="E29" s="89" t="s">
        <v>127</v>
      </c>
    </row>
    <row r="30" spans="1:5" s="87" customFormat="1" ht="15.75" thickBot="1" x14ac:dyDescent="0.25">
      <c r="A30" s="85">
        <v>45748</v>
      </c>
      <c r="B30" s="89" t="s">
        <v>163</v>
      </c>
      <c r="C30" s="92">
        <v>1500</v>
      </c>
      <c r="D30" s="89" t="s">
        <v>125</v>
      </c>
      <c r="E30" s="89" t="s">
        <v>127</v>
      </c>
    </row>
    <row r="31" spans="1:5" s="87" customFormat="1" ht="15.75" thickBot="1" x14ac:dyDescent="0.25">
      <c r="A31" s="85">
        <v>45748</v>
      </c>
      <c r="B31" s="89" t="s">
        <v>163</v>
      </c>
      <c r="C31" s="92">
        <v>1500</v>
      </c>
      <c r="D31" s="89" t="s">
        <v>125</v>
      </c>
      <c r="E31" s="89" t="s">
        <v>127</v>
      </c>
    </row>
    <row r="32" spans="1:5" s="87" customFormat="1" ht="15.75" thickBot="1" x14ac:dyDescent="0.25">
      <c r="A32" s="85">
        <v>45748</v>
      </c>
      <c r="B32" s="89" t="s">
        <v>121</v>
      </c>
      <c r="C32" s="92">
        <v>3105.59</v>
      </c>
      <c r="D32" s="89" t="s">
        <v>125</v>
      </c>
      <c r="E32" s="89" t="s">
        <v>126</v>
      </c>
    </row>
    <row r="33" spans="1:5" s="87" customFormat="1" ht="15.75" thickBot="1" x14ac:dyDescent="0.25">
      <c r="A33" s="85">
        <v>45748</v>
      </c>
      <c r="B33" s="89" t="s">
        <v>121</v>
      </c>
      <c r="C33" s="92">
        <v>3105.59</v>
      </c>
      <c r="D33" s="89" t="s">
        <v>125</v>
      </c>
      <c r="E33" s="89" t="s">
        <v>126</v>
      </c>
    </row>
    <row r="34" spans="1:5" s="87" customFormat="1" ht="15.75" thickBot="1" x14ac:dyDescent="0.25">
      <c r="A34" s="85">
        <v>45748</v>
      </c>
      <c r="B34" s="89" t="s">
        <v>121</v>
      </c>
      <c r="C34" s="92">
        <v>8863.98</v>
      </c>
      <c r="D34" s="89" t="s">
        <v>125</v>
      </c>
      <c r="E34" s="89" t="s">
        <v>126</v>
      </c>
    </row>
    <row r="35" spans="1:5" s="87" customFormat="1" ht="15.75" thickBot="1" x14ac:dyDescent="0.25">
      <c r="A35" s="85">
        <v>45748</v>
      </c>
      <c r="B35" s="89" t="s">
        <v>121</v>
      </c>
      <c r="C35" s="92">
        <v>9000</v>
      </c>
      <c r="D35" s="89" t="s">
        <v>125</v>
      </c>
      <c r="E35" s="89" t="s">
        <v>126</v>
      </c>
    </row>
    <row r="36" spans="1:5" s="87" customFormat="1" ht="15.75" thickBot="1" x14ac:dyDescent="0.25">
      <c r="A36" s="85">
        <v>45748</v>
      </c>
      <c r="B36" s="89" t="s">
        <v>121</v>
      </c>
      <c r="C36" s="92">
        <v>9000</v>
      </c>
      <c r="D36" s="89" t="s">
        <v>125</v>
      </c>
      <c r="E36" s="89" t="s">
        <v>126</v>
      </c>
    </row>
    <row r="37" spans="1:5" s="87" customFormat="1" ht="15.75" thickBot="1" x14ac:dyDescent="0.25">
      <c r="A37" s="85">
        <v>45748</v>
      </c>
      <c r="B37" s="89" t="s">
        <v>121</v>
      </c>
      <c r="C37" s="92">
        <v>14049.98</v>
      </c>
      <c r="D37" s="89" t="s">
        <v>125</v>
      </c>
      <c r="E37" s="89" t="s">
        <v>126</v>
      </c>
    </row>
    <row r="38" spans="1:5" s="87" customFormat="1" ht="15.75" thickBot="1" x14ac:dyDescent="0.25">
      <c r="A38" s="85">
        <v>45750</v>
      </c>
      <c r="B38" s="89" t="s">
        <v>121</v>
      </c>
      <c r="C38" s="92">
        <v>8.86</v>
      </c>
      <c r="D38" s="89" t="s">
        <v>125</v>
      </c>
      <c r="E38" s="89" t="s">
        <v>126</v>
      </c>
    </row>
    <row r="39" spans="1:5" s="87" customFormat="1" ht="15.75" thickBot="1" x14ac:dyDescent="0.25">
      <c r="A39" s="85">
        <v>45750</v>
      </c>
      <c r="B39" s="89" t="s">
        <v>121</v>
      </c>
      <c r="C39" s="92">
        <v>9</v>
      </c>
      <c r="D39" s="89" t="s">
        <v>125</v>
      </c>
      <c r="E39" s="89" t="s">
        <v>126</v>
      </c>
    </row>
    <row r="40" spans="1:5" s="87" customFormat="1" ht="15.75" thickBot="1" x14ac:dyDescent="0.25">
      <c r="A40" s="85">
        <v>45750</v>
      </c>
      <c r="B40" s="89" t="s">
        <v>121</v>
      </c>
      <c r="C40" s="92">
        <v>9</v>
      </c>
      <c r="D40" s="89" t="s">
        <v>125</v>
      </c>
      <c r="E40" s="89" t="s">
        <v>126</v>
      </c>
    </row>
    <row r="41" spans="1:5" s="87" customFormat="1" ht="15.75" thickBot="1" x14ac:dyDescent="0.25">
      <c r="A41" s="85">
        <v>45750</v>
      </c>
      <c r="B41" s="89" t="s">
        <v>121</v>
      </c>
      <c r="C41" s="92">
        <v>25.94</v>
      </c>
      <c r="D41" s="89" t="s">
        <v>125</v>
      </c>
      <c r="E41" s="89" t="s">
        <v>126</v>
      </c>
    </row>
    <row r="42" spans="1:5" s="87" customFormat="1" ht="15.75" thickBot="1" x14ac:dyDescent="0.25">
      <c r="A42" s="85">
        <v>45750</v>
      </c>
      <c r="B42" s="89" t="s">
        <v>121</v>
      </c>
      <c r="C42" s="92">
        <v>181.57</v>
      </c>
      <c r="D42" s="89" t="s">
        <v>125</v>
      </c>
      <c r="E42" s="89" t="s">
        <v>126</v>
      </c>
    </row>
    <row r="43" spans="1:5" s="87" customFormat="1" ht="15.75" thickBot="1" x14ac:dyDescent="0.25">
      <c r="A43" s="85">
        <v>45750</v>
      </c>
      <c r="B43" s="89" t="s">
        <v>121</v>
      </c>
      <c r="C43" s="92">
        <v>256.23</v>
      </c>
      <c r="D43" s="89" t="s">
        <v>125</v>
      </c>
      <c r="E43" s="89" t="s">
        <v>126</v>
      </c>
    </row>
    <row r="44" spans="1:5" s="87" customFormat="1" ht="15.75" thickBot="1" x14ac:dyDescent="0.25">
      <c r="A44" s="85">
        <v>45750</v>
      </c>
      <c r="B44" s="89" t="s">
        <v>121</v>
      </c>
      <c r="C44" s="92">
        <v>864.63</v>
      </c>
      <c r="D44" s="89" t="s">
        <v>125</v>
      </c>
      <c r="E44" s="89" t="s">
        <v>126</v>
      </c>
    </row>
    <row r="45" spans="1:5" s="87" customFormat="1" ht="15.75" thickBot="1" x14ac:dyDescent="0.25">
      <c r="A45" s="85">
        <v>45750</v>
      </c>
      <c r="B45" s="89" t="s">
        <v>163</v>
      </c>
      <c r="C45" s="92">
        <v>3126.63</v>
      </c>
      <c r="D45" s="89" t="s">
        <v>125</v>
      </c>
      <c r="E45" s="89" t="s">
        <v>127</v>
      </c>
    </row>
    <row r="46" spans="1:5" s="87" customFormat="1" ht="15.75" thickBot="1" x14ac:dyDescent="0.25">
      <c r="A46" s="85">
        <v>45750</v>
      </c>
      <c r="B46" s="89" t="s">
        <v>163</v>
      </c>
      <c r="C46" s="92">
        <v>4500</v>
      </c>
      <c r="D46" s="89" t="s">
        <v>125</v>
      </c>
      <c r="E46" s="89" t="s">
        <v>127</v>
      </c>
    </row>
    <row r="47" spans="1:5" s="87" customFormat="1" ht="15.75" thickBot="1" x14ac:dyDescent="0.25">
      <c r="A47" s="85">
        <v>45750</v>
      </c>
      <c r="B47" s="89" t="s">
        <v>163</v>
      </c>
      <c r="C47" s="92">
        <v>4500</v>
      </c>
      <c r="D47" s="89" t="s">
        <v>125</v>
      </c>
      <c r="E47" s="89" t="s">
        <v>127</v>
      </c>
    </row>
    <row r="48" spans="1:5" s="87" customFormat="1" ht="15.75" thickBot="1" x14ac:dyDescent="0.25">
      <c r="A48" s="85">
        <v>45750</v>
      </c>
      <c r="B48" s="89" t="s">
        <v>121</v>
      </c>
      <c r="C48" s="92">
        <v>6253.26</v>
      </c>
      <c r="D48" s="89" t="s">
        <v>125</v>
      </c>
      <c r="E48" s="89" t="s">
        <v>126</v>
      </c>
    </row>
    <row r="49" spans="1:5" s="87" customFormat="1" ht="15.75" thickBot="1" x14ac:dyDescent="0.25">
      <c r="A49" s="85">
        <v>45750</v>
      </c>
      <c r="B49" s="89" t="s">
        <v>121</v>
      </c>
      <c r="C49" s="92">
        <v>9000</v>
      </c>
      <c r="D49" s="89" t="s">
        <v>125</v>
      </c>
      <c r="E49" s="89" t="s">
        <v>126</v>
      </c>
    </row>
    <row r="50" spans="1:5" s="87" customFormat="1" ht="15.75" thickBot="1" x14ac:dyDescent="0.25">
      <c r="A50" s="85">
        <v>45750</v>
      </c>
      <c r="B50" s="89" t="s">
        <v>121</v>
      </c>
      <c r="C50" s="92">
        <v>9000</v>
      </c>
      <c r="D50" s="89" t="s">
        <v>125</v>
      </c>
      <c r="E50" s="89" t="s">
        <v>126</v>
      </c>
    </row>
    <row r="51" spans="1:5" s="87" customFormat="1" ht="15.75" thickBot="1" x14ac:dyDescent="0.25">
      <c r="A51" s="85">
        <v>45750</v>
      </c>
      <c r="B51" s="89" t="s">
        <v>121</v>
      </c>
      <c r="C51" s="92">
        <v>133832.84</v>
      </c>
      <c r="D51" s="89" t="s">
        <v>125</v>
      </c>
      <c r="E51" s="89" t="s">
        <v>126</v>
      </c>
    </row>
    <row r="52" spans="1:5" s="87" customFormat="1" ht="15.75" thickBot="1" x14ac:dyDescent="0.25">
      <c r="A52" s="85">
        <v>45751</v>
      </c>
      <c r="B52" s="89" t="s">
        <v>121</v>
      </c>
      <c r="C52" s="92">
        <v>18.760000000000002</v>
      </c>
      <c r="D52" s="89" t="s">
        <v>125</v>
      </c>
      <c r="E52" s="89" t="s">
        <v>126</v>
      </c>
    </row>
    <row r="53" spans="1:5" s="87" customFormat="1" ht="15.75" thickBot="1" x14ac:dyDescent="0.25">
      <c r="A53" s="85">
        <v>45751</v>
      </c>
      <c r="B53" s="89" t="s">
        <v>121</v>
      </c>
      <c r="C53" s="92">
        <v>27</v>
      </c>
      <c r="D53" s="89" t="s">
        <v>125</v>
      </c>
      <c r="E53" s="89" t="s">
        <v>126</v>
      </c>
    </row>
    <row r="54" spans="1:5" s="87" customFormat="1" ht="15.75" thickBot="1" x14ac:dyDescent="0.25">
      <c r="A54" s="85">
        <v>45751</v>
      </c>
      <c r="B54" s="89" t="s">
        <v>121</v>
      </c>
      <c r="C54" s="92">
        <v>27</v>
      </c>
      <c r="D54" s="89" t="s">
        <v>125</v>
      </c>
      <c r="E54" s="89" t="s">
        <v>126</v>
      </c>
    </row>
    <row r="55" spans="1:5" s="87" customFormat="1" ht="15.75" thickBot="1" x14ac:dyDescent="0.25">
      <c r="A55" s="85">
        <v>45751</v>
      </c>
      <c r="B55" s="89" t="s">
        <v>163</v>
      </c>
      <c r="C55" s="92">
        <v>300</v>
      </c>
      <c r="D55" s="89" t="s">
        <v>125</v>
      </c>
      <c r="E55" s="89" t="s">
        <v>127</v>
      </c>
    </row>
    <row r="56" spans="1:5" s="87" customFormat="1" ht="15.75" thickBot="1" x14ac:dyDescent="0.25">
      <c r="A56" s="85">
        <v>45751</v>
      </c>
      <c r="B56" s="89" t="s">
        <v>121</v>
      </c>
      <c r="C56" s="92">
        <v>600</v>
      </c>
      <c r="D56" s="89" t="s">
        <v>125</v>
      </c>
      <c r="E56" s="89" t="s">
        <v>126</v>
      </c>
    </row>
    <row r="57" spans="1:5" s="87" customFormat="1" ht="15.75" thickBot="1" x14ac:dyDescent="0.25">
      <c r="A57" s="85">
        <v>45754</v>
      </c>
      <c r="B57" s="89" t="s">
        <v>121</v>
      </c>
      <c r="C57" s="92">
        <v>1.8</v>
      </c>
      <c r="D57" s="89" t="s">
        <v>125</v>
      </c>
      <c r="E57" s="89" t="s">
        <v>126</v>
      </c>
    </row>
    <row r="58" spans="1:5" s="87" customFormat="1" ht="15.75" thickBot="1" x14ac:dyDescent="0.25">
      <c r="A58" s="85">
        <v>45754</v>
      </c>
      <c r="B58" s="89" t="s">
        <v>121</v>
      </c>
      <c r="C58" s="92">
        <v>127.69</v>
      </c>
      <c r="D58" s="89" t="s">
        <v>125</v>
      </c>
      <c r="E58" s="89" t="s">
        <v>126</v>
      </c>
    </row>
    <row r="59" spans="1:5" s="87" customFormat="1" ht="15.75" thickBot="1" x14ac:dyDescent="0.25">
      <c r="A59" s="85">
        <v>45754</v>
      </c>
      <c r="B59" s="89" t="s">
        <v>163</v>
      </c>
      <c r="C59" s="92">
        <v>903.8</v>
      </c>
      <c r="D59" s="89" t="s">
        <v>125</v>
      </c>
      <c r="E59" s="89" t="s">
        <v>127</v>
      </c>
    </row>
    <row r="60" spans="1:5" s="87" customFormat="1" ht="15.75" thickBot="1" x14ac:dyDescent="0.25">
      <c r="A60" s="85">
        <v>45754</v>
      </c>
      <c r="B60" s="89" t="s">
        <v>121</v>
      </c>
      <c r="C60" s="92">
        <v>1458</v>
      </c>
      <c r="D60" s="89" t="s">
        <v>125</v>
      </c>
      <c r="E60" s="89" t="s">
        <v>126</v>
      </c>
    </row>
    <row r="61" spans="1:5" s="87" customFormat="1" ht="15.75" thickBot="1" x14ac:dyDescent="0.25">
      <c r="A61" s="85">
        <v>45754</v>
      </c>
      <c r="B61" s="89" t="s">
        <v>121</v>
      </c>
      <c r="C61" s="92">
        <v>1646.08</v>
      </c>
      <c r="D61" s="89" t="s">
        <v>125</v>
      </c>
      <c r="E61" s="89" t="s">
        <v>126</v>
      </c>
    </row>
    <row r="62" spans="1:5" s="87" customFormat="1" ht="15.75" thickBot="1" x14ac:dyDescent="0.25">
      <c r="A62" s="85">
        <v>45754</v>
      </c>
      <c r="B62" s="89" t="s">
        <v>121</v>
      </c>
      <c r="C62" s="92">
        <v>1807.6</v>
      </c>
      <c r="D62" s="89" t="s">
        <v>125</v>
      </c>
      <c r="E62" s="89" t="s">
        <v>126</v>
      </c>
    </row>
    <row r="63" spans="1:5" s="87" customFormat="1" ht="15.75" thickBot="1" x14ac:dyDescent="0.25">
      <c r="A63" s="85">
        <v>45754</v>
      </c>
      <c r="B63" s="89" t="s">
        <v>121</v>
      </c>
      <c r="C63" s="92">
        <v>2178</v>
      </c>
      <c r="D63" s="89" t="s">
        <v>125</v>
      </c>
      <c r="E63" s="89" t="s">
        <v>126</v>
      </c>
    </row>
    <row r="64" spans="1:5" s="87" customFormat="1" ht="15.75" thickBot="1" x14ac:dyDescent="0.25">
      <c r="A64" s="85">
        <v>45754</v>
      </c>
      <c r="B64" s="89" t="s">
        <v>121</v>
      </c>
      <c r="C64" s="92">
        <v>3811.5</v>
      </c>
      <c r="D64" s="89" t="s">
        <v>125</v>
      </c>
      <c r="E64" s="89" t="s">
        <v>126</v>
      </c>
    </row>
    <row r="65" spans="1:5" s="87" customFormat="1" ht="15.75" thickBot="1" x14ac:dyDescent="0.25">
      <c r="A65" s="85">
        <v>45755</v>
      </c>
      <c r="B65" s="89" t="s">
        <v>121</v>
      </c>
      <c r="C65" s="92">
        <v>5.42</v>
      </c>
      <c r="D65" s="89" t="s">
        <v>125</v>
      </c>
      <c r="E65" s="89" t="s">
        <v>126</v>
      </c>
    </row>
    <row r="66" spans="1:5" s="87" customFormat="1" ht="15.75" thickBot="1" x14ac:dyDescent="0.25">
      <c r="A66" s="85">
        <v>45755</v>
      </c>
      <c r="B66" s="89" t="s">
        <v>121</v>
      </c>
      <c r="C66" s="92">
        <v>161.44999999999999</v>
      </c>
      <c r="D66" s="89" t="s">
        <v>125</v>
      </c>
      <c r="E66" s="89" t="s">
        <v>126</v>
      </c>
    </row>
    <row r="67" spans="1:5" s="87" customFormat="1" ht="15.75" thickBot="1" x14ac:dyDescent="0.25">
      <c r="A67" s="85">
        <v>45756</v>
      </c>
      <c r="B67" s="89" t="s">
        <v>121</v>
      </c>
      <c r="C67" s="92">
        <v>26.01</v>
      </c>
      <c r="D67" s="89" t="s">
        <v>125</v>
      </c>
      <c r="E67" s="89" t="s">
        <v>126</v>
      </c>
    </row>
    <row r="68" spans="1:5" s="87" customFormat="1" ht="15.75" thickBot="1" x14ac:dyDescent="0.25">
      <c r="A68" s="85">
        <v>45756</v>
      </c>
      <c r="B68" s="89" t="s">
        <v>121</v>
      </c>
      <c r="C68" s="92">
        <v>182.08</v>
      </c>
      <c r="D68" s="89" t="s">
        <v>125</v>
      </c>
      <c r="E68" s="89" t="s">
        <v>126</v>
      </c>
    </row>
    <row r="69" spans="1:5" s="87" customFormat="1" ht="15.75" thickBot="1" x14ac:dyDescent="0.25">
      <c r="A69" s="85">
        <v>45756</v>
      </c>
      <c r="B69" s="89" t="s">
        <v>121</v>
      </c>
      <c r="C69" s="92">
        <v>867.03</v>
      </c>
      <c r="D69" s="89" t="s">
        <v>125</v>
      </c>
      <c r="E69" s="89" t="s">
        <v>126</v>
      </c>
    </row>
    <row r="70" spans="1:5" s="87" customFormat="1" ht="15.75" thickBot="1" x14ac:dyDescent="0.25">
      <c r="A70" s="85">
        <v>45756</v>
      </c>
      <c r="B70" s="89" t="s">
        <v>163</v>
      </c>
      <c r="C70" s="92">
        <v>4500</v>
      </c>
      <c r="D70" s="89" t="s">
        <v>125</v>
      </c>
      <c r="E70" s="89" t="s">
        <v>127</v>
      </c>
    </row>
    <row r="71" spans="1:5" s="87" customFormat="1" ht="15.75" thickBot="1" x14ac:dyDescent="0.25">
      <c r="A71" s="85">
        <v>45756</v>
      </c>
      <c r="B71" s="89" t="s">
        <v>121</v>
      </c>
      <c r="C71" s="92">
        <v>9000</v>
      </c>
      <c r="D71" s="89" t="s">
        <v>125</v>
      </c>
      <c r="E71" s="89" t="s">
        <v>126</v>
      </c>
    </row>
    <row r="72" spans="1:5" s="87" customFormat="1" ht="15.75" thickBot="1" x14ac:dyDescent="0.25">
      <c r="A72" s="85">
        <v>45756</v>
      </c>
      <c r="B72" s="89" t="s">
        <v>121</v>
      </c>
      <c r="C72" s="92">
        <v>65190</v>
      </c>
      <c r="D72" s="89" t="s">
        <v>125</v>
      </c>
      <c r="E72" s="89" t="s">
        <v>126</v>
      </c>
    </row>
    <row r="73" spans="1:5" s="87" customFormat="1" ht="15.75" thickBot="1" x14ac:dyDescent="0.25">
      <c r="A73" s="85">
        <v>45756</v>
      </c>
      <c r="B73" s="89" t="s">
        <v>218</v>
      </c>
      <c r="C73" s="92">
        <v>9450.0400000000009</v>
      </c>
      <c r="D73" s="89" t="s">
        <v>125</v>
      </c>
      <c r="E73" s="89" t="s">
        <v>196</v>
      </c>
    </row>
    <row r="74" spans="1:5" s="87" customFormat="1" ht="15.75" thickBot="1" x14ac:dyDescent="0.25">
      <c r="A74" s="85">
        <v>45757</v>
      </c>
      <c r="B74" s="89" t="s">
        <v>121</v>
      </c>
      <c r="C74" s="92">
        <v>27</v>
      </c>
      <c r="D74" s="89" t="s">
        <v>125</v>
      </c>
      <c r="E74" s="89" t="s">
        <v>126</v>
      </c>
    </row>
    <row r="75" spans="1:5" s="87" customFormat="1" ht="15.75" thickBot="1" x14ac:dyDescent="0.25">
      <c r="A75" s="85">
        <v>45757</v>
      </c>
      <c r="B75" s="89" t="s">
        <v>121</v>
      </c>
      <c r="C75" s="92">
        <v>56.7</v>
      </c>
      <c r="D75" s="89" t="s">
        <v>125</v>
      </c>
      <c r="E75" s="89" t="s">
        <v>126</v>
      </c>
    </row>
    <row r="76" spans="1:5" s="87" customFormat="1" ht="15.75" thickBot="1" x14ac:dyDescent="0.25">
      <c r="A76" s="85">
        <v>45761</v>
      </c>
      <c r="B76" s="89" t="s">
        <v>121</v>
      </c>
      <c r="C76" s="92">
        <v>800.05</v>
      </c>
      <c r="D76" s="89" t="s">
        <v>125</v>
      </c>
      <c r="E76" s="89" t="s">
        <v>126</v>
      </c>
    </row>
    <row r="77" spans="1:5" s="87" customFormat="1" ht="15.75" thickBot="1" x14ac:dyDescent="0.25">
      <c r="A77" s="85">
        <v>45761</v>
      </c>
      <c r="B77" s="89" t="s">
        <v>220</v>
      </c>
      <c r="C77" s="92">
        <v>606880.72</v>
      </c>
      <c r="D77" s="89" t="s">
        <v>125</v>
      </c>
      <c r="E77" s="89" t="s">
        <v>194</v>
      </c>
    </row>
    <row r="78" spans="1:5" s="87" customFormat="1" ht="15.75" thickBot="1" x14ac:dyDescent="0.25">
      <c r="A78" s="85">
        <v>45761</v>
      </c>
      <c r="B78" s="89" t="s">
        <v>221</v>
      </c>
      <c r="C78" s="92">
        <v>25656.71</v>
      </c>
      <c r="D78" s="89" t="s">
        <v>125</v>
      </c>
      <c r="E78" s="89" t="s">
        <v>162</v>
      </c>
    </row>
    <row r="79" spans="1:5" s="87" customFormat="1" ht="15.75" thickBot="1" x14ac:dyDescent="0.25">
      <c r="A79" s="85">
        <v>45761</v>
      </c>
      <c r="B79" s="89" t="s">
        <v>222</v>
      </c>
      <c r="C79" s="92">
        <v>27370.3</v>
      </c>
      <c r="D79" s="89" t="s">
        <v>125</v>
      </c>
      <c r="E79" s="89" t="s">
        <v>195</v>
      </c>
    </row>
    <row r="80" spans="1:5" s="87" customFormat="1" ht="15.75" thickBot="1" x14ac:dyDescent="0.25">
      <c r="A80" s="85">
        <v>45761</v>
      </c>
      <c r="B80" s="89" t="s">
        <v>121</v>
      </c>
      <c r="C80" s="92">
        <v>153.94</v>
      </c>
      <c r="D80" s="89" t="s">
        <v>125</v>
      </c>
      <c r="E80" s="89" t="s">
        <v>126</v>
      </c>
    </row>
    <row r="81" spans="1:5" s="87" customFormat="1" ht="15.75" thickBot="1" x14ac:dyDescent="0.25">
      <c r="A81" s="85">
        <v>45761</v>
      </c>
      <c r="B81" s="89" t="s">
        <v>121</v>
      </c>
      <c r="C81" s="92">
        <v>164.22</v>
      </c>
      <c r="D81" s="89" t="s">
        <v>125</v>
      </c>
      <c r="E81" s="89" t="s">
        <v>126</v>
      </c>
    </row>
    <row r="82" spans="1:5" s="87" customFormat="1" ht="15.75" thickBot="1" x14ac:dyDescent="0.25">
      <c r="A82" s="85">
        <v>45761</v>
      </c>
      <c r="B82" s="89" t="s">
        <v>163</v>
      </c>
      <c r="C82" s="92">
        <v>1200</v>
      </c>
      <c r="D82" s="89" t="s">
        <v>125</v>
      </c>
      <c r="E82" s="89" t="s">
        <v>127</v>
      </c>
    </row>
    <row r="83" spans="1:5" s="87" customFormat="1" ht="15.75" thickBot="1" x14ac:dyDescent="0.25">
      <c r="A83" s="85">
        <v>45761</v>
      </c>
      <c r="B83" s="89" t="s">
        <v>121</v>
      </c>
      <c r="C83" s="92">
        <v>2400</v>
      </c>
      <c r="D83" s="89" t="s">
        <v>125</v>
      </c>
      <c r="E83" s="89" t="s">
        <v>126</v>
      </c>
    </row>
    <row r="84" spans="1:5" s="87" customFormat="1" ht="15.75" thickBot="1" x14ac:dyDescent="0.25">
      <c r="A84" s="85">
        <v>45761</v>
      </c>
      <c r="B84" s="89" t="s">
        <v>121</v>
      </c>
      <c r="C84" s="92">
        <v>3641.28</v>
      </c>
      <c r="D84" s="89" t="s">
        <v>125</v>
      </c>
      <c r="E84" s="89" t="s">
        <v>126</v>
      </c>
    </row>
    <row r="85" spans="1:5" s="87" customFormat="1" ht="15.75" thickBot="1" x14ac:dyDescent="0.25">
      <c r="A85" s="85">
        <v>45761</v>
      </c>
      <c r="B85" s="89" t="s">
        <v>163</v>
      </c>
      <c r="C85" s="92">
        <v>11359.89</v>
      </c>
      <c r="D85" s="89" t="s">
        <v>125</v>
      </c>
      <c r="E85" s="89" t="s">
        <v>127</v>
      </c>
    </row>
    <row r="86" spans="1:5" s="87" customFormat="1" ht="15.75" thickBot="1" x14ac:dyDescent="0.25">
      <c r="A86" s="85">
        <v>45761</v>
      </c>
      <c r="B86" s="89" t="s">
        <v>121</v>
      </c>
      <c r="C86" s="92">
        <v>22719.78</v>
      </c>
      <c r="D86" s="89" t="s">
        <v>125</v>
      </c>
      <c r="E86" s="89" t="s">
        <v>126</v>
      </c>
    </row>
    <row r="87" spans="1:5" s="87" customFormat="1" ht="15.75" thickBot="1" x14ac:dyDescent="0.25">
      <c r="A87" s="85">
        <v>45762</v>
      </c>
      <c r="B87" s="89" t="s">
        <v>121</v>
      </c>
      <c r="C87" s="92">
        <v>7.2</v>
      </c>
      <c r="D87" s="89" t="s">
        <v>125</v>
      </c>
      <c r="E87" s="89" t="s">
        <v>126</v>
      </c>
    </row>
    <row r="88" spans="1:5" s="87" customFormat="1" ht="15.75" thickBot="1" x14ac:dyDescent="0.25">
      <c r="A88" s="85">
        <v>45762</v>
      </c>
      <c r="B88" s="89" t="s">
        <v>121</v>
      </c>
      <c r="C88" s="92">
        <v>68.16</v>
      </c>
      <c r="D88" s="89" t="s">
        <v>125</v>
      </c>
      <c r="E88" s="89" t="s">
        <v>126</v>
      </c>
    </row>
    <row r="89" spans="1:5" s="87" customFormat="1" ht="15.75" thickBot="1" x14ac:dyDescent="0.25">
      <c r="A89" s="85">
        <v>45762</v>
      </c>
      <c r="B89" s="89" t="s">
        <v>223</v>
      </c>
      <c r="C89" s="92">
        <v>6576.67</v>
      </c>
      <c r="D89" s="89" t="s">
        <v>125</v>
      </c>
      <c r="E89" s="89" t="s">
        <v>193</v>
      </c>
    </row>
    <row r="90" spans="1:5" s="87" customFormat="1" ht="15.75" thickBot="1" x14ac:dyDescent="0.25">
      <c r="A90" s="85">
        <v>45763</v>
      </c>
      <c r="B90" s="89" t="s">
        <v>121</v>
      </c>
      <c r="C90" s="92">
        <v>39.46</v>
      </c>
      <c r="D90" s="89" t="s">
        <v>125</v>
      </c>
      <c r="E90" s="89" t="s">
        <v>126</v>
      </c>
    </row>
    <row r="91" spans="1:5" s="87" customFormat="1" ht="15.75" thickBot="1" x14ac:dyDescent="0.25">
      <c r="A91" s="85">
        <v>45763</v>
      </c>
      <c r="B91" s="89" t="s">
        <v>121</v>
      </c>
      <c r="C91" s="92">
        <v>540</v>
      </c>
      <c r="D91" s="89" t="s">
        <v>125</v>
      </c>
      <c r="E91" s="89" t="s">
        <v>126</v>
      </c>
    </row>
    <row r="92" spans="1:5" s="87" customFormat="1" ht="15.75" thickBot="1" x14ac:dyDescent="0.25">
      <c r="A92" s="85">
        <v>45763</v>
      </c>
      <c r="B92" s="89" t="s">
        <v>163</v>
      </c>
      <c r="C92" s="92">
        <v>1960.2</v>
      </c>
      <c r="D92" s="89" t="s">
        <v>125</v>
      </c>
      <c r="E92" s="89" t="s">
        <v>127</v>
      </c>
    </row>
    <row r="93" spans="1:5" s="87" customFormat="1" ht="15.75" thickBot="1" x14ac:dyDescent="0.25">
      <c r="A93" s="85">
        <v>45763</v>
      </c>
      <c r="B93" s="89" t="s">
        <v>163</v>
      </c>
      <c r="C93" s="92">
        <v>1960.2</v>
      </c>
      <c r="D93" s="89" t="s">
        <v>125</v>
      </c>
      <c r="E93" s="89" t="s">
        <v>127</v>
      </c>
    </row>
    <row r="94" spans="1:5" s="87" customFormat="1" ht="15.75" thickBot="1" x14ac:dyDescent="0.25">
      <c r="A94" s="85">
        <v>45763</v>
      </c>
      <c r="B94" s="89" t="s">
        <v>163</v>
      </c>
      <c r="C94" s="92">
        <v>2320.58</v>
      </c>
      <c r="D94" s="89" t="s">
        <v>125</v>
      </c>
      <c r="E94" s="89" t="s">
        <v>127</v>
      </c>
    </row>
    <row r="95" spans="1:5" s="87" customFormat="1" ht="15.75" thickBot="1" x14ac:dyDescent="0.25">
      <c r="A95" s="85">
        <v>45763</v>
      </c>
      <c r="B95" s="89" t="s">
        <v>163</v>
      </c>
      <c r="C95" s="92">
        <v>3000</v>
      </c>
      <c r="D95" s="89" t="s">
        <v>125</v>
      </c>
      <c r="E95" s="89" t="s">
        <v>127</v>
      </c>
    </row>
    <row r="96" spans="1:5" s="87" customFormat="1" ht="15.75" thickBot="1" x14ac:dyDescent="0.25">
      <c r="A96" s="85">
        <v>45763</v>
      </c>
      <c r="B96" s="89" t="s">
        <v>121</v>
      </c>
      <c r="C96" s="92">
        <v>3920.4</v>
      </c>
      <c r="D96" s="89" t="s">
        <v>125</v>
      </c>
      <c r="E96" s="89" t="s">
        <v>126</v>
      </c>
    </row>
    <row r="97" spans="1:5" s="87" customFormat="1" ht="15.75" thickBot="1" x14ac:dyDescent="0.25">
      <c r="A97" s="85">
        <v>45763</v>
      </c>
      <c r="B97" s="89" t="s">
        <v>121</v>
      </c>
      <c r="C97" s="92">
        <v>3920.4</v>
      </c>
      <c r="D97" s="89" t="s">
        <v>125</v>
      </c>
      <c r="E97" s="89" t="s">
        <v>126</v>
      </c>
    </row>
    <row r="98" spans="1:5" s="87" customFormat="1" ht="15.75" thickBot="1" x14ac:dyDescent="0.25">
      <c r="A98" s="85">
        <v>45763</v>
      </c>
      <c r="B98" s="89" t="s">
        <v>121</v>
      </c>
      <c r="C98" s="92">
        <v>4641.1499999999996</v>
      </c>
      <c r="D98" s="89" t="s">
        <v>125</v>
      </c>
      <c r="E98" s="89" t="s">
        <v>126</v>
      </c>
    </row>
    <row r="99" spans="1:5" s="87" customFormat="1" ht="15.75" thickBot="1" x14ac:dyDescent="0.25">
      <c r="A99" s="85">
        <v>45763</v>
      </c>
      <c r="B99" s="89" t="s">
        <v>121</v>
      </c>
      <c r="C99" s="92">
        <v>6000</v>
      </c>
      <c r="D99" s="89" t="s">
        <v>125</v>
      </c>
      <c r="E99" s="89" t="s">
        <v>126</v>
      </c>
    </row>
    <row r="100" spans="1:5" s="87" customFormat="1" ht="15.75" thickBot="1" x14ac:dyDescent="0.25">
      <c r="A100" s="85">
        <v>45763</v>
      </c>
      <c r="B100" s="89" t="s">
        <v>121</v>
      </c>
      <c r="C100" s="92">
        <v>6985</v>
      </c>
      <c r="D100" s="89" t="s">
        <v>125</v>
      </c>
      <c r="E100" s="89" t="s">
        <v>126</v>
      </c>
    </row>
    <row r="101" spans="1:5" s="87" customFormat="1" ht="15.75" thickBot="1" x14ac:dyDescent="0.25">
      <c r="A101" s="85">
        <v>45768</v>
      </c>
      <c r="B101" s="89" t="s">
        <v>121</v>
      </c>
      <c r="C101" s="92">
        <v>11.76</v>
      </c>
      <c r="D101" s="89" t="s">
        <v>125</v>
      </c>
      <c r="E101" s="89" t="s">
        <v>126</v>
      </c>
    </row>
    <row r="102" spans="1:5" s="87" customFormat="1" ht="15.75" thickBot="1" x14ac:dyDescent="0.25">
      <c r="A102" s="85">
        <v>45768</v>
      </c>
      <c r="B102" s="89" t="s">
        <v>121</v>
      </c>
      <c r="C102" s="92">
        <v>11.76</v>
      </c>
      <c r="D102" s="89" t="s">
        <v>125</v>
      </c>
      <c r="E102" s="89" t="s">
        <v>126</v>
      </c>
    </row>
    <row r="103" spans="1:5" s="87" customFormat="1" ht="15.75" thickBot="1" x14ac:dyDescent="0.25">
      <c r="A103" s="85">
        <v>45768</v>
      </c>
      <c r="B103" s="89" t="s">
        <v>121</v>
      </c>
      <c r="C103" s="92">
        <v>13.92</v>
      </c>
      <c r="D103" s="89" t="s">
        <v>125</v>
      </c>
      <c r="E103" s="89" t="s">
        <v>126</v>
      </c>
    </row>
    <row r="104" spans="1:5" s="87" customFormat="1" ht="15.75" thickBot="1" x14ac:dyDescent="0.25">
      <c r="A104" s="85">
        <v>45768</v>
      </c>
      <c r="B104" s="89" t="s">
        <v>121</v>
      </c>
      <c r="C104" s="92">
        <v>18</v>
      </c>
      <c r="D104" s="89" t="s">
        <v>125</v>
      </c>
      <c r="E104" s="89" t="s">
        <v>126</v>
      </c>
    </row>
    <row r="105" spans="1:5" s="87" customFormat="1" ht="15.75" thickBot="1" x14ac:dyDescent="0.25">
      <c r="A105" s="85">
        <v>45768</v>
      </c>
      <c r="B105" s="89" t="s">
        <v>121</v>
      </c>
      <c r="C105" s="92">
        <v>41.91</v>
      </c>
      <c r="D105" s="89" t="s">
        <v>125</v>
      </c>
      <c r="E105" s="89" t="s">
        <v>126</v>
      </c>
    </row>
    <row r="106" spans="1:5" s="87" customFormat="1" ht="15.75" thickBot="1" x14ac:dyDescent="0.25">
      <c r="A106" s="85">
        <v>45770</v>
      </c>
      <c r="B106" s="89" t="s">
        <v>121</v>
      </c>
      <c r="C106" s="92">
        <v>319.44</v>
      </c>
      <c r="D106" s="89" t="s">
        <v>125</v>
      </c>
      <c r="E106" s="89" t="s">
        <v>126</v>
      </c>
    </row>
    <row r="107" spans="1:5" s="87" customFormat="1" ht="15.75" thickBot="1" x14ac:dyDescent="0.25">
      <c r="A107" s="85">
        <v>45771</v>
      </c>
      <c r="B107" s="89" t="s">
        <v>121</v>
      </c>
      <c r="C107" s="92">
        <v>85.34</v>
      </c>
      <c r="D107" s="89" t="s">
        <v>125</v>
      </c>
      <c r="E107" s="89" t="s">
        <v>126</v>
      </c>
    </row>
    <row r="108" spans="1:5" s="87" customFormat="1" ht="15.75" thickBot="1" x14ac:dyDescent="0.25">
      <c r="A108" s="85">
        <v>45771</v>
      </c>
      <c r="B108" s="89" t="s">
        <v>121</v>
      </c>
      <c r="C108" s="92">
        <v>744</v>
      </c>
      <c r="D108" s="89" t="s">
        <v>125</v>
      </c>
      <c r="E108" s="89" t="s">
        <v>126</v>
      </c>
    </row>
    <row r="109" spans="1:5" s="87" customFormat="1" ht="15.75" thickBot="1" x14ac:dyDescent="0.25">
      <c r="A109" s="85">
        <v>45771</v>
      </c>
      <c r="B109" s="89" t="s">
        <v>163</v>
      </c>
      <c r="C109" s="92">
        <v>3000</v>
      </c>
      <c r="D109" s="89" t="s">
        <v>125</v>
      </c>
      <c r="E109" s="89" t="s">
        <v>127</v>
      </c>
    </row>
    <row r="110" spans="1:5" s="87" customFormat="1" ht="15.75" thickBot="1" x14ac:dyDescent="0.25">
      <c r="A110" s="85">
        <v>45771</v>
      </c>
      <c r="B110" s="89" t="s">
        <v>163</v>
      </c>
      <c r="C110" s="92">
        <v>4500</v>
      </c>
      <c r="D110" s="89" t="s">
        <v>125</v>
      </c>
      <c r="E110" s="89" t="s">
        <v>127</v>
      </c>
    </row>
    <row r="111" spans="1:5" s="87" customFormat="1" ht="15.75" thickBot="1" x14ac:dyDescent="0.25">
      <c r="A111" s="85">
        <v>45771</v>
      </c>
      <c r="B111" s="89" t="s">
        <v>121</v>
      </c>
      <c r="C111" s="92">
        <v>6000</v>
      </c>
      <c r="D111" s="89" t="s">
        <v>125</v>
      </c>
      <c r="E111" s="89" t="s">
        <v>126</v>
      </c>
    </row>
    <row r="112" spans="1:5" s="87" customFormat="1" ht="15.75" thickBot="1" x14ac:dyDescent="0.25">
      <c r="A112" s="85">
        <v>45771</v>
      </c>
      <c r="B112" s="89" t="s">
        <v>121</v>
      </c>
      <c r="C112" s="92">
        <v>9000</v>
      </c>
      <c r="D112" s="89" t="s">
        <v>125</v>
      </c>
      <c r="E112" s="89" t="s">
        <v>126</v>
      </c>
    </row>
    <row r="113" spans="1:5" s="87" customFormat="1" ht="15.75" thickBot="1" x14ac:dyDescent="0.25">
      <c r="A113" s="85">
        <v>45772</v>
      </c>
      <c r="B113" s="89" t="s">
        <v>121</v>
      </c>
      <c r="C113" s="92">
        <v>18</v>
      </c>
      <c r="D113" s="89" t="s">
        <v>125</v>
      </c>
      <c r="E113" s="89" t="s">
        <v>126</v>
      </c>
    </row>
    <row r="114" spans="1:5" s="87" customFormat="1" ht="15.75" thickBot="1" x14ac:dyDescent="0.25">
      <c r="A114" s="85">
        <v>45772</v>
      </c>
      <c r="B114" s="89" t="s">
        <v>121</v>
      </c>
      <c r="C114" s="92">
        <v>27</v>
      </c>
      <c r="D114" s="89" t="s">
        <v>125</v>
      </c>
      <c r="E114" s="89" t="s">
        <v>126</v>
      </c>
    </row>
    <row r="115" spans="1:5" s="87" customFormat="1" ht="15.75" thickBot="1" x14ac:dyDescent="0.25">
      <c r="A115" s="85">
        <v>45775</v>
      </c>
      <c r="B115" s="89" t="s">
        <v>121</v>
      </c>
      <c r="C115" s="92">
        <v>428.34</v>
      </c>
      <c r="D115" s="89" t="s">
        <v>125</v>
      </c>
      <c r="E115" s="89" t="s">
        <v>127</v>
      </c>
    </row>
    <row r="116" spans="1:5" s="87" customFormat="1" ht="15.75" thickBot="1" x14ac:dyDescent="0.25">
      <c r="A116" s="85">
        <v>45775</v>
      </c>
      <c r="B116" s="89" t="s">
        <v>163</v>
      </c>
      <c r="C116" s="92">
        <v>856.68</v>
      </c>
      <c r="D116" s="89" t="s">
        <v>125</v>
      </c>
      <c r="E116" s="89" t="s">
        <v>126</v>
      </c>
    </row>
    <row r="117" spans="1:5" s="87" customFormat="1" ht="15.75" thickBot="1" x14ac:dyDescent="0.25">
      <c r="A117" s="85">
        <v>45775</v>
      </c>
      <c r="B117" s="89" t="s">
        <v>121</v>
      </c>
      <c r="C117" s="92">
        <v>1960.2</v>
      </c>
      <c r="D117" s="89" t="s">
        <v>125</v>
      </c>
      <c r="E117" s="89" t="s">
        <v>127</v>
      </c>
    </row>
    <row r="118" spans="1:5" s="87" customFormat="1" ht="15.75" thickBot="1" x14ac:dyDescent="0.25">
      <c r="A118" s="85">
        <v>45775</v>
      </c>
      <c r="B118" s="89" t="s">
        <v>163</v>
      </c>
      <c r="C118" s="92">
        <v>3920.4</v>
      </c>
      <c r="D118" s="89" t="s">
        <v>125</v>
      </c>
      <c r="E118" s="89" t="s">
        <v>126</v>
      </c>
    </row>
    <row r="119" spans="1:5" s="87" customFormat="1" ht="15.75" thickBot="1" x14ac:dyDescent="0.25">
      <c r="A119" s="85">
        <v>45776</v>
      </c>
      <c r="B119" s="89" t="s">
        <v>121</v>
      </c>
      <c r="C119" s="92">
        <v>2.57</v>
      </c>
      <c r="D119" s="89" t="s">
        <v>125</v>
      </c>
      <c r="E119" s="89" t="s">
        <v>126</v>
      </c>
    </row>
    <row r="120" spans="1:5" s="87" customFormat="1" ht="15.75" thickBot="1" x14ac:dyDescent="0.25">
      <c r="A120" s="85">
        <v>45776</v>
      </c>
      <c r="B120" s="89" t="s">
        <v>121</v>
      </c>
      <c r="C120" s="92">
        <v>11.76</v>
      </c>
      <c r="D120" s="89" t="s">
        <v>125</v>
      </c>
      <c r="E120" s="89" t="s">
        <v>126</v>
      </c>
    </row>
    <row r="121" spans="1:5" s="87" customFormat="1" ht="15.75" thickBot="1" x14ac:dyDescent="0.25">
      <c r="A121" s="85">
        <v>45776</v>
      </c>
      <c r="B121" s="89" t="s">
        <v>163</v>
      </c>
      <c r="C121" s="92">
        <v>1343.96</v>
      </c>
      <c r="D121" s="89" t="s">
        <v>125</v>
      </c>
      <c r="E121" s="89" t="s">
        <v>127</v>
      </c>
    </row>
    <row r="122" spans="1:5" s="87" customFormat="1" ht="15.75" thickBot="1" x14ac:dyDescent="0.25">
      <c r="A122" s="85">
        <v>45776</v>
      </c>
      <c r="B122" s="89" t="s">
        <v>121</v>
      </c>
      <c r="C122" s="92">
        <v>2687.92</v>
      </c>
      <c r="D122" s="89" t="s">
        <v>125</v>
      </c>
      <c r="E122" s="89" t="s">
        <v>126</v>
      </c>
    </row>
    <row r="123" spans="1:5" s="87" customFormat="1" ht="15.75" thickBot="1" x14ac:dyDescent="0.25">
      <c r="A123" s="85">
        <v>45776</v>
      </c>
      <c r="B123" s="89" t="s">
        <v>163</v>
      </c>
      <c r="C123" s="92">
        <v>2720.4</v>
      </c>
      <c r="D123" s="89" t="s">
        <v>125</v>
      </c>
      <c r="E123" s="89" t="s">
        <v>127</v>
      </c>
    </row>
    <row r="124" spans="1:5" s="87" customFormat="1" ht="15.75" thickBot="1" x14ac:dyDescent="0.25">
      <c r="A124" s="85">
        <v>45776</v>
      </c>
      <c r="B124" s="89" t="s">
        <v>163</v>
      </c>
      <c r="C124" s="92">
        <v>3000</v>
      </c>
      <c r="D124" s="89" t="s">
        <v>125</v>
      </c>
      <c r="E124" s="89" t="s">
        <v>127</v>
      </c>
    </row>
    <row r="125" spans="1:5" s="87" customFormat="1" ht="15.75" thickBot="1" x14ac:dyDescent="0.25">
      <c r="A125" s="85">
        <v>45776</v>
      </c>
      <c r="B125" s="89" t="s">
        <v>121</v>
      </c>
      <c r="C125" s="92">
        <v>5440.8</v>
      </c>
      <c r="D125" s="89" t="s">
        <v>125</v>
      </c>
      <c r="E125" s="89" t="s">
        <v>126</v>
      </c>
    </row>
    <row r="126" spans="1:5" s="87" customFormat="1" ht="15.75" thickBot="1" x14ac:dyDescent="0.25">
      <c r="A126" s="85">
        <v>45776</v>
      </c>
      <c r="B126" s="89" t="s">
        <v>121</v>
      </c>
      <c r="C126" s="92">
        <v>6000</v>
      </c>
      <c r="D126" s="89" t="s">
        <v>125</v>
      </c>
      <c r="E126" s="89" t="s">
        <v>126</v>
      </c>
    </row>
    <row r="127" spans="1:5" s="87" customFormat="1" ht="15.75" thickBot="1" x14ac:dyDescent="0.25">
      <c r="A127" s="85">
        <v>45777</v>
      </c>
      <c r="B127" s="89" t="s">
        <v>121</v>
      </c>
      <c r="C127" s="92">
        <v>8.06</v>
      </c>
      <c r="D127" s="89" t="s">
        <v>125</v>
      </c>
      <c r="E127" s="89" t="s">
        <v>126</v>
      </c>
    </row>
    <row r="128" spans="1:5" s="87" customFormat="1" ht="15.75" thickBot="1" x14ac:dyDescent="0.25">
      <c r="A128" s="85">
        <v>45777</v>
      </c>
      <c r="B128" s="89" t="s">
        <v>121</v>
      </c>
      <c r="C128" s="92">
        <v>16.32</v>
      </c>
      <c r="D128" s="89" t="s">
        <v>125</v>
      </c>
      <c r="E128" s="89" t="s">
        <v>126</v>
      </c>
    </row>
    <row r="129" spans="1:5" s="87" customFormat="1" ht="15.75" thickBot="1" x14ac:dyDescent="0.25">
      <c r="A129" s="85">
        <v>45777</v>
      </c>
      <c r="B129" s="89" t="s">
        <v>121</v>
      </c>
      <c r="C129" s="92">
        <v>18</v>
      </c>
      <c r="D129" s="89" t="s">
        <v>125</v>
      </c>
      <c r="E129" s="89" t="s">
        <v>126</v>
      </c>
    </row>
    <row r="130" spans="1:5" s="87" customFormat="1" ht="15.75" thickBot="1" x14ac:dyDescent="0.3">
      <c r="A130" s="85">
        <v>45777</v>
      </c>
      <c r="B130" s="86" t="s">
        <v>120</v>
      </c>
      <c r="C130" s="92">
        <v>11550</v>
      </c>
      <c r="D130" s="86" t="s">
        <v>125</v>
      </c>
      <c r="E130" s="86" t="s">
        <v>120</v>
      </c>
    </row>
    <row r="131" spans="1:5" s="87" customFormat="1" ht="15.75" thickBot="1" x14ac:dyDescent="0.3">
      <c r="A131" s="85">
        <v>45777</v>
      </c>
      <c r="B131" s="86" t="s">
        <v>201</v>
      </c>
      <c r="C131" s="92">
        <v>1650</v>
      </c>
      <c r="D131" s="86" t="s">
        <v>125</v>
      </c>
      <c r="E131" s="86" t="s">
        <v>201</v>
      </c>
    </row>
    <row r="132" spans="1:5" s="87" customFormat="1" ht="15.75" thickBot="1" x14ac:dyDescent="0.3">
      <c r="A132" s="85">
        <v>45777</v>
      </c>
      <c r="B132" s="86" t="s">
        <v>122</v>
      </c>
      <c r="C132" s="92">
        <v>1650</v>
      </c>
      <c r="D132" s="86" t="s">
        <v>125</v>
      </c>
      <c r="E132" s="86" t="s">
        <v>122</v>
      </c>
    </row>
    <row r="133" spans="1:5" ht="16.5" customHeight="1" thickBot="1" x14ac:dyDescent="0.25">
      <c r="A133" s="48"/>
      <c r="B133" s="49" t="str">
        <f>+D132</f>
        <v>Impuestos</v>
      </c>
      <c r="C133" s="50">
        <f>SUM(C21:C132)</f>
        <v>1137294.3499999994</v>
      </c>
      <c r="D133" s="48"/>
      <c r="E133" s="48"/>
    </row>
    <row r="134" spans="1:5" s="87" customFormat="1" ht="15.75" thickBot="1" x14ac:dyDescent="0.25">
      <c r="A134" s="85">
        <v>45751</v>
      </c>
      <c r="B134" s="89" t="s">
        <v>209</v>
      </c>
      <c r="C134" s="92">
        <v>243000</v>
      </c>
      <c r="D134" s="89" t="s">
        <v>123</v>
      </c>
      <c r="E134" s="89" t="s">
        <v>131</v>
      </c>
    </row>
    <row r="135" spans="1:5" s="87" customFormat="1" ht="15.75" thickBot="1" x14ac:dyDescent="0.3">
      <c r="A135" s="85">
        <v>45751</v>
      </c>
      <c r="B135" s="86" t="s">
        <v>210</v>
      </c>
      <c r="C135" s="92">
        <v>21281.919999999998</v>
      </c>
      <c r="D135" s="89" t="s">
        <v>123</v>
      </c>
      <c r="E135" s="89" t="s">
        <v>187</v>
      </c>
    </row>
    <row r="136" spans="1:5" s="87" customFormat="1" ht="15.75" thickBot="1" x14ac:dyDescent="0.3">
      <c r="A136" s="85">
        <v>45751</v>
      </c>
      <c r="B136" s="86" t="s">
        <v>211</v>
      </c>
      <c r="C136" s="92">
        <v>274347</v>
      </c>
      <c r="D136" s="89" t="s">
        <v>123</v>
      </c>
      <c r="E136" s="89" t="s">
        <v>129</v>
      </c>
    </row>
    <row r="137" spans="1:5" s="87" customFormat="1" ht="15.75" thickBot="1" x14ac:dyDescent="0.25">
      <c r="A137" s="85">
        <v>45751</v>
      </c>
      <c r="B137" s="89" t="s">
        <v>296</v>
      </c>
      <c r="C137" s="92">
        <v>363000</v>
      </c>
      <c r="D137" s="89" t="s">
        <v>123</v>
      </c>
      <c r="E137" s="89" t="s">
        <v>212</v>
      </c>
    </row>
    <row r="138" spans="1:5" s="87" customFormat="1" ht="15.75" thickBot="1" x14ac:dyDescent="0.25">
      <c r="A138" s="85">
        <v>45754</v>
      </c>
      <c r="B138" s="89" t="s">
        <v>216</v>
      </c>
      <c r="C138" s="92">
        <v>26908.14</v>
      </c>
      <c r="D138" s="89" t="s">
        <v>123</v>
      </c>
      <c r="E138" s="89" t="s">
        <v>130</v>
      </c>
    </row>
    <row r="139" spans="1:5" s="87" customFormat="1" ht="15.75" thickBot="1" x14ac:dyDescent="0.25">
      <c r="A139" s="85">
        <v>45757</v>
      </c>
      <c r="B139" s="89" t="s">
        <v>219</v>
      </c>
      <c r="C139" s="92">
        <v>133342</v>
      </c>
      <c r="D139" s="89" t="s">
        <v>123</v>
      </c>
      <c r="E139" s="89" t="s">
        <v>128</v>
      </c>
    </row>
    <row r="140" spans="1:5" s="87" customFormat="1" ht="15.75" thickBot="1" x14ac:dyDescent="0.25">
      <c r="A140" s="85">
        <v>45768</v>
      </c>
      <c r="B140" s="89" t="s">
        <v>225</v>
      </c>
      <c r="C140" s="92">
        <v>488167.97</v>
      </c>
      <c r="D140" s="89" t="s">
        <v>123</v>
      </c>
      <c r="E140" s="89" t="s">
        <v>161</v>
      </c>
    </row>
    <row r="141" spans="1:5" s="87" customFormat="1" ht="15.75" thickBot="1" x14ac:dyDescent="0.25">
      <c r="A141" s="85">
        <v>45768</v>
      </c>
      <c r="B141" s="89" t="s">
        <v>226</v>
      </c>
      <c r="C141" s="92">
        <v>14520</v>
      </c>
      <c r="D141" s="89" t="s">
        <v>123</v>
      </c>
      <c r="E141" s="89" t="s">
        <v>227</v>
      </c>
    </row>
    <row r="142" spans="1:5" s="87" customFormat="1" ht="15.75" thickBot="1" x14ac:dyDescent="0.25">
      <c r="A142" s="85">
        <v>45769</v>
      </c>
      <c r="B142" s="89" t="s">
        <v>121</v>
      </c>
      <c r="C142" s="92">
        <v>87.12</v>
      </c>
      <c r="D142" s="89" t="s">
        <v>123</v>
      </c>
      <c r="E142" s="89" t="s">
        <v>227</v>
      </c>
    </row>
    <row r="143" spans="1:5" s="87" customFormat="1" ht="15.75" thickBot="1" x14ac:dyDescent="0.25">
      <c r="A143" s="85">
        <v>45769</v>
      </c>
      <c r="B143" s="89" t="s">
        <v>121</v>
      </c>
      <c r="C143" s="92">
        <v>2929.01</v>
      </c>
      <c r="D143" s="89" t="s">
        <v>123</v>
      </c>
      <c r="E143" s="89" t="s">
        <v>227</v>
      </c>
    </row>
    <row r="144" spans="1:5" s="87" customFormat="1" ht="15.75" thickBot="1" x14ac:dyDescent="0.25">
      <c r="A144" s="85">
        <v>45769</v>
      </c>
      <c r="B144" s="89" t="s">
        <v>228</v>
      </c>
      <c r="C144" s="92">
        <v>53240</v>
      </c>
      <c r="D144" s="89" t="s">
        <v>123</v>
      </c>
      <c r="E144" s="89" t="s">
        <v>229</v>
      </c>
    </row>
    <row r="145" spans="1:5" s="87" customFormat="1" ht="15.75" thickBot="1" x14ac:dyDescent="0.25">
      <c r="A145" s="85">
        <v>45770</v>
      </c>
      <c r="B145" s="89" t="s">
        <v>230</v>
      </c>
      <c r="C145" s="92">
        <v>124000</v>
      </c>
      <c r="D145" s="89" t="s">
        <v>123</v>
      </c>
      <c r="E145" s="89" t="s">
        <v>231</v>
      </c>
    </row>
    <row r="146" spans="1:5" s="87" customFormat="1" ht="15.75" thickBot="1" x14ac:dyDescent="0.25">
      <c r="A146" s="88">
        <v>45750</v>
      </c>
      <c r="B146" s="89" t="s">
        <v>154</v>
      </c>
      <c r="C146" s="92">
        <v>80000</v>
      </c>
      <c r="D146" s="89" t="s">
        <v>123</v>
      </c>
      <c r="E146" s="89" t="s">
        <v>188</v>
      </c>
    </row>
    <row r="147" spans="1:5" s="87" customFormat="1" ht="15.75" thickBot="1" x14ac:dyDescent="0.25">
      <c r="A147" s="88">
        <v>45754</v>
      </c>
      <c r="B147" s="89" t="s">
        <v>242</v>
      </c>
      <c r="C147" s="93">
        <v>892337</v>
      </c>
      <c r="D147" s="89" t="s">
        <v>123</v>
      </c>
      <c r="E147" s="89" t="s">
        <v>129</v>
      </c>
    </row>
    <row r="148" spans="1:5" s="87" customFormat="1" ht="15.75" thickBot="1" x14ac:dyDescent="0.25">
      <c r="A148" s="88">
        <v>45777</v>
      </c>
      <c r="B148" s="89" t="s">
        <v>244</v>
      </c>
      <c r="C148" s="92">
        <v>250000</v>
      </c>
      <c r="D148" s="89" t="s">
        <v>123</v>
      </c>
      <c r="E148" s="89" t="s">
        <v>248</v>
      </c>
    </row>
    <row r="149" spans="1:5" s="87" customFormat="1" ht="15.75" thickBot="1" x14ac:dyDescent="0.25">
      <c r="A149" s="88">
        <v>45777</v>
      </c>
      <c r="B149" s="89" t="s">
        <v>245</v>
      </c>
      <c r="C149" s="92">
        <v>200000</v>
      </c>
      <c r="D149" s="89" t="s">
        <v>123</v>
      </c>
      <c r="E149" s="89" t="s">
        <v>248</v>
      </c>
    </row>
    <row r="150" spans="1:5" ht="16.5" customHeight="1" thickBot="1" x14ac:dyDescent="0.25">
      <c r="A150" s="48"/>
      <c r="B150" s="49" t="str">
        <f>+D149</f>
        <v>Local</v>
      </c>
      <c r="C150" s="50">
        <f>SUM(C134:C149)</f>
        <v>3167160.16</v>
      </c>
      <c r="D150" s="48"/>
      <c r="E150" s="48"/>
    </row>
    <row r="151" spans="1:5" ht="15.75" thickBot="1" x14ac:dyDescent="0.3">
      <c r="A151" s="47">
        <v>45747</v>
      </c>
      <c r="B151" s="45" t="s">
        <v>198</v>
      </c>
      <c r="C151" s="83">
        <v>517599</v>
      </c>
      <c r="D151" s="45" t="s">
        <v>124</v>
      </c>
      <c r="E151" s="45" t="s">
        <v>124</v>
      </c>
    </row>
    <row r="152" spans="1:5" ht="15.75" thickBot="1" x14ac:dyDescent="0.3">
      <c r="A152" s="47">
        <v>45747</v>
      </c>
      <c r="B152" s="45" t="s">
        <v>199</v>
      </c>
      <c r="C152" s="83">
        <v>517599</v>
      </c>
      <c r="D152" s="45" t="s">
        <v>124</v>
      </c>
      <c r="E152" s="45" t="s">
        <v>124</v>
      </c>
    </row>
    <row r="153" spans="1:5" ht="15.75" thickBot="1" x14ac:dyDescent="0.3">
      <c r="A153" s="47">
        <v>45747</v>
      </c>
      <c r="B153" s="45" t="s">
        <v>200</v>
      </c>
      <c r="C153" s="83">
        <v>2341663</v>
      </c>
      <c r="D153" s="45" t="s">
        <v>124</v>
      </c>
      <c r="E153" s="45" t="s">
        <v>124</v>
      </c>
    </row>
    <row r="154" spans="1:5" ht="15.75" thickBot="1" x14ac:dyDescent="0.3">
      <c r="A154" s="43">
        <v>45748</v>
      </c>
      <c r="B154" s="44" t="s">
        <v>203</v>
      </c>
      <c r="C154" s="83">
        <v>250000</v>
      </c>
      <c r="D154" s="45" t="s">
        <v>124</v>
      </c>
      <c r="E154" s="45" t="s">
        <v>124</v>
      </c>
    </row>
    <row r="155" spans="1:5" ht="15.75" thickBot="1" x14ac:dyDescent="0.3">
      <c r="A155" s="43">
        <v>45748</v>
      </c>
      <c r="B155" s="44" t="s">
        <v>204</v>
      </c>
      <c r="C155" s="83">
        <v>200000</v>
      </c>
      <c r="D155" s="45" t="s">
        <v>124</v>
      </c>
      <c r="E155" s="45" t="s">
        <v>124</v>
      </c>
    </row>
    <row r="156" spans="1:5" ht="15.75" thickBot="1" x14ac:dyDescent="0.3">
      <c r="A156" s="43">
        <v>45750</v>
      </c>
      <c r="B156" s="44" t="s">
        <v>205</v>
      </c>
      <c r="C156" s="83">
        <v>1000000</v>
      </c>
      <c r="D156" s="45" t="s">
        <v>124</v>
      </c>
      <c r="E156" s="45" t="s">
        <v>124</v>
      </c>
    </row>
    <row r="157" spans="1:5" ht="16.5" customHeight="1" x14ac:dyDescent="0.2">
      <c r="A157" s="48"/>
      <c r="B157" s="49" t="str">
        <f>+D156</f>
        <v>Sueldos</v>
      </c>
      <c r="C157" s="50">
        <f>SUM(C151:C156)</f>
        <v>4826861</v>
      </c>
      <c r="D157" s="48"/>
      <c r="E157" s="48"/>
    </row>
    <row r="158" spans="1:5" ht="15" x14ac:dyDescent="0.25">
      <c r="A158" s="99"/>
      <c r="B158" s="82"/>
      <c r="C158" s="100"/>
      <c r="D158" s="82"/>
      <c r="E158" s="82"/>
    </row>
    <row r="159" spans="1:5" ht="15" x14ac:dyDescent="0.25">
      <c r="A159" s="99"/>
      <c r="B159" s="82"/>
      <c r="C159" s="100"/>
      <c r="D159" s="82"/>
      <c r="E159" s="82"/>
    </row>
    <row r="160" spans="1:5" ht="13.5" thickBot="1" x14ac:dyDescent="0.25"/>
    <row r="161" spans="1:5" s="87" customFormat="1" ht="15.75" thickBot="1" x14ac:dyDescent="0.25">
      <c r="A161" s="85">
        <v>45748</v>
      </c>
      <c r="B161" s="89" t="s">
        <v>207</v>
      </c>
      <c r="C161" s="92">
        <v>22305472.75</v>
      </c>
      <c r="D161" s="89" t="s">
        <v>208</v>
      </c>
      <c r="E161" s="89" t="s">
        <v>208</v>
      </c>
    </row>
    <row r="162" spans="1:5" s="87" customFormat="1" ht="15.75" thickBot="1" x14ac:dyDescent="0.25">
      <c r="A162" s="85">
        <v>45755</v>
      </c>
      <c r="B162" s="89" t="s">
        <v>217</v>
      </c>
      <c r="C162" s="92">
        <v>10865000</v>
      </c>
      <c r="D162" s="89" t="s">
        <v>208</v>
      </c>
      <c r="E162" s="89" t="s">
        <v>208</v>
      </c>
    </row>
    <row r="163" spans="1:5" s="87" customFormat="1" ht="15.75" thickBot="1" x14ac:dyDescent="0.25">
      <c r="A163" s="85"/>
      <c r="B163" s="89"/>
      <c r="C163" s="92"/>
      <c r="D163" s="89"/>
      <c r="E163" s="89"/>
    </row>
    <row r="164" spans="1:5" s="87" customFormat="1" ht="15.75" thickBot="1" x14ac:dyDescent="0.25">
      <c r="A164" s="88">
        <v>45749</v>
      </c>
      <c r="B164" s="89" t="s">
        <v>240</v>
      </c>
      <c r="C164" s="92">
        <v>800000</v>
      </c>
      <c r="D164" s="89" t="s">
        <v>247</v>
      </c>
      <c r="E164" s="89"/>
    </row>
    <row r="165" spans="1:5" s="87" customFormat="1" ht="15.75" thickBot="1" x14ac:dyDescent="0.25">
      <c r="A165" s="88">
        <v>45749</v>
      </c>
      <c r="B165" s="89" t="s">
        <v>241</v>
      </c>
      <c r="C165" s="92">
        <v>800000</v>
      </c>
      <c r="D165" s="89" t="s">
        <v>247</v>
      </c>
      <c r="E165" s="89"/>
    </row>
    <row r="166" spans="1:5" s="87" customFormat="1" ht="15.75" thickBot="1" x14ac:dyDescent="0.25">
      <c r="A166" s="88">
        <v>45770</v>
      </c>
      <c r="B166" s="89" t="s">
        <v>243</v>
      </c>
      <c r="C166" s="92">
        <v>738000</v>
      </c>
      <c r="D166" s="89"/>
      <c r="E166" s="89"/>
    </row>
    <row r="167" spans="1:5" ht="16.5" customHeight="1" x14ac:dyDescent="0.2">
      <c r="A167" s="96"/>
      <c r="B167" s="97" t="s">
        <v>298</v>
      </c>
      <c r="C167" s="98">
        <f>SUM(C161:C166)</f>
        <v>35508472.75</v>
      </c>
      <c r="D167" s="96"/>
      <c r="E167" s="96"/>
    </row>
    <row r="169" spans="1:5" ht="13.5" thickBot="1" x14ac:dyDescent="0.25">
      <c r="A169" s="84" t="s">
        <v>297</v>
      </c>
    </row>
    <row r="170" spans="1:5" s="87" customFormat="1" ht="15.75" thickBot="1" x14ac:dyDescent="0.3">
      <c r="A170" s="85">
        <v>45777</v>
      </c>
      <c r="B170" s="86" t="s">
        <v>232</v>
      </c>
      <c r="C170" s="94">
        <v>513113</v>
      </c>
      <c r="D170" s="86" t="s">
        <v>124</v>
      </c>
      <c r="E170" s="90" t="s">
        <v>124</v>
      </c>
    </row>
    <row r="171" spans="1:5" s="87" customFormat="1" ht="15.75" thickBot="1" x14ac:dyDescent="0.3">
      <c r="A171" s="85">
        <v>45777</v>
      </c>
      <c r="B171" s="86" t="s">
        <v>233</v>
      </c>
      <c r="C171" s="94">
        <v>531345</v>
      </c>
      <c r="D171" s="86" t="s">
        <v>124</v>
      </c>
      <c r="E171" s="90" t="s">
        <v>124</v>
      </c>
    </row>
    <row r="172" spans="1:5" s="87" customFormat="1" ht="15.75" thickBot="1" x14ac:dyDescent="0.3">
      <c r="A172" s="85">
        <v>45777</v>
      </c>
      <c r="B172" s="86" t="s">
        <v>234</v>
      </c>
      <c r="C172" s="94">
        <v>2341663</v>
      </c>
      <c r="D172" s="86" t="s">
        <v>124</v>
      </c>
      <c r="E172" s="90" t="s">
        <v>124</v>
      </c>
    </row>
  </sheetData>
  <autoFilter ref="A1:D1" xr:uid="{7D39FC09-67B1-4389-93ED-E9AE970AAC6E}"/>
  <sortState xmlns:xlrd2="http://schemas.microsoft.com/office/spreadsheetml/2017/richdata2" ref="A2:E166">
    <sortCondition ref="D2:D16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Z1018"/>
  <sheetViews>
    <sheetView topLeftCell="K15" zoomScale="90" zoomScaleNormal="90" workbookViewId="0">
      <selection activeCell="Y2" sqref="Y2:Y25"/>
    </sheetView>
  </sheetViews>
  <sheetFormatPr baseColWidth="10" defaultRowHeight="15" x14ac:dyDescent="0.25"/>
  <cols>
    <col min="3" max="3" width="25.140625" customWidth="1"/>
    <col min="4" max="4" width="31.5703125" customWidth="1"/>
    <col min="5" max="5" width="11.28515625" bestFit="1" customWidth="1"/>
    <col min="6" max="6" width="12.42578125" bestFit="1" customWidth="1"/>
    <col min="8" max="8" width="12.5703125" bestFit="1" customWidth="1"/>
    <col min="9" max="9" width="13.5703125" bestFit="1" customWidth="1"/>
    <col min="10" max="10" width="12.5703125" bestFit="1" customWidth="1"/>
    <col min="11" max="11" width="13.5703125" bestFit="1" customWidth="1"/>
    <col min="12" max="22" width="11.42578125" customWidth="1"/>
    <col min="23" max="23" width="14.5703125" bestFit="1" customWidth="1"/>
    <col min="24" max="24" width="11.42578125" style="81" customWidth="1"/>
    <col min="25" max="25" width="14.42578125" customWidth="1"/>
  </cols>
  <sheetData>
    <row r="1" spans="1:26" ht="30.75" thickBot="1" x14ac:dyDescent="0.3">
      <c r="A1" s="58" t="s">
        <v>167</v>
      </c>
      <c r="B1" s="58" t="s">
        <v>150</v>
      </c>
      <c r="C1" s="58" t="s">
        <v>168</v>
      </c>
      <c r="D1" s="58" t="s">
        <v>169</v>
      </c>
      <c r="E1" s="58" t="s">
        <v>132</v>
      </c>
      <c r="F1" s="58" t="s">
        <v>133</v>
      </c>
      <c r="G1" s="58" t="s">
        <v>134</v>
      </c>
      <c r="H1" s="58" t="s">
        <v>170</v>
      </c>
      <c r="I1" s="58" t="s">
        <v>171</v>
      </c>
      <c r="J1" s="58" t="s">
        <v>172</v>
      </c>
      <c r="K1" s="58" t="s">
        <v>173</v>
      </c>
      <c r="L1" s="58" t="s">
        <v>174</v>
      </c>
      <c r="M1" s="58" t="s">
        <v>135</v>
      </c>
      <c r="N1" s="58" t="s">
        <v>120</v>
      </c>
      <c r="O1" s="58" t="s">
        <v>175</v>
      </c>
      <c r="P1" s="58" t="s">
        <v>136</v>
      </c>
      <c r="Q1" s="58" t="s">
        <v>176</v>
      </c>
      <c r="R1" s="58" t="s">
        <v>177</v>
      </c>
      <c r="S1" s="58" t="s">
        <v>178</v>
      </c>
      <c r="T1" s="58" t="s">
        <v>179</v>
      </c>
      <c r="U1" s="58" t="s">
        <v>180</v>
      </c>
      <c r="V1" s="58" t="s">
        <v>181</v>
      </c>
      <c r="W1" s="58" t="s">
        <v>137</v>
      </c>
      <c r="X1" s="58" t="s">
        <v>138</v>
      </c>
      <c r="Y1" s="58" t="s">
        <v>139</v>
      </c>
      <c r="Z1" s="12"/>
    </row>
    <row r="2" spans="1:26" ht="30.75" thickBot="1" x14ac:dyDescent="0.3">
      <c r="A2" s="61" t="s">
        <v>119</v>
      </c>
      <c r="B2" s="62">
        <v>45748</v>
      </c>
      <c r="C2" s="63" t="s">
        <v>249</v>
      </c>
      <c r="D2" s="63" t="s">
        <v>143</v>
      </c>
      <c r="E2" s="63">
        <v>24146017</v>
      </c>
      <c r="F2" s="63" t="s">
        <v>141</v>
      </c>
      <c r="G2" s="61">
        <v>1</v>
      </c>
      <c r="H2" s="64">
        <v>4350000</v>
      </c>
      <c r="I2" s="64">
        <v>4350000</v>
      </c>
      <c r="J2" s="65">
        <v>0</v>
      </c>
      <c r="K2" s="64">
        <v>4350000</v>
      </c>
      <c r="L2" s="64">
        <v>2175000</v>
      </c>
      <c r="M2" s="66">
        <v>0.105</v>
      </c>
      <c r="N2" s="64">
        <v>228375</v>
      </c>
      <c r="O2" s="64">
        <v>2403375</v>
      </c>
      <c r="P2" s="64">
        <v>4578375</v>
      </c>
      <c r="Q2" s="67"/>
      <c r="R2" s="67"/>
      <c r="S2" s="64">
        <v>4578375</v>
      </c>
      <c r="T2" s="64">
        <v>4578375</v>
      </c>
      <c r="U2" s="68">
        <v>0</v>
      </c>
      <c r="V2" s="63" t="s">
        <v>250</v>
      </c>
      <c r="W2" s="61">
        <v>20312339626</v>
      </c>
      <c r="X2" s="61" t="s">
        <v>183</v>
      </c>
      <c r="Y2" s="64">
        <v>1251938</v>
      </c>
      <c r="Z2" s="12"/>
    </row>
    <row r="3" spans="1:26" ht="30.75" thickBot="1" x14ac:dyDescent="0.3">
      <c r="A3" s="69" t="s">
        <v>119</v>
      </c>
      <c r="B3" s="70">
        <v>45755</v>
      </c>
      <c r="C3" s="71" t="s">
        <v>251</v>
      </c>
      <c r="D3" s="63" t="s">
        <v>192</v>
      </c>
      <c r="E3" s="63">
        <v>202410300</v>
      </c>
      <c r="F3" s="63" t="s">
        <v>141</v>
      </c>
      <c r="G3" s="61">
        <v>1</v>
      </c>
      <c r="H3" s="72">
        <v>1080000</v>
      </c>
      <c r="I3" s="64">
        <v>1080000</v>
      </c>
      <c r="J3" s="65">
        <v>0.05</v>
      </c>
      <c r="K3" s="64">
        <v>1026000</v>
      </c>
      <c r="L3" s="64">
        <v>513000</v>
      </c>
      <c r="M3" s="66">
        <v>0.21</v>
      </c>
      <c r="N3" s="64">
        <v>107730</v>
      </c>
      <c r="O3" s="64">
        <v>620730</v>
      </c>
      <c r="P3" s="73">
        <v>1243840</v>
      </c>
      <c r="Q3" s="74"/>
      <c r="R3" s="74"/>
      <c r="S3" s="73">
        <v>1244000</v>
      </c>
      <c r="T3" s="73">
        <v>1244000</v>
      </c>
      <c r="U3" s="75">
        <v>-160</v>
      </c>
      <c r="V3" s="71" t="s">
        <v>252</v>
      </c>
      <c r="W3" s="69" t="s">
        <v>253</v>
      </c>
      <c r="X3" s="69" t="s">
        <v>183</v>
      </c>
      <c r="Y3" s="64">
        <v>308825</v>
      </c>
      <c r="Z3" s="12"/>
    </row>
    <row r="4" spans="1:26" ht="15.75" thickBot="1" x14ac:dyDescent="0.3">
      <c r="A4" s="69"/>
      <c r="B4" s="70"/>
      <c r="C4" s="71"/>
      <c r="D4" s="63" t="s">
        <v>254</v>
      </c>
      <c r="E4" s="63" t="s">
        <v>142</v>
      </c>
      <c r="F4" s="63" t="s">
        <v>142</v>
      </c>
      <c r="G4" s="61">
        <v>1</v>
      </c>
      <c r="H4" s="72">
        <v>91000</v>
      </c>
      <c r="I4" s="64">
        <v>91000</v>
      </c>
      <c r="J4" s="65">
        <v>0</v>
      </c>
      <c r="K4" s="64">
        <v>91000</v>
      </c>
      <c r="L4" s="64">
        <v>91000</v>
      </c>
      <c r="M4" s="66">
        <v>0.21</v>
      </c>
      <c r="N4" s="64">
        <v>19110</v>
      </c>
      <c r="O4" s="64">
        <v>110110</v>
      </c>
      <c r="P4" s="73"/>
      <c r="Q4" s="74"/>
      <c r="R4" s="74"/>
      <c r="S4" s="73"/>
      <c r="T4" s="73"/>
      <c r="U4" s="75"/>
      <c r="V4" s="71"/>
      <c r="W4" s="69"/>
      <c r="X4" s="69"/>
      <c r="Y4" s="64">
        <v>35800</v>
      </c>
      <c r="Z4" s="12"/>
    </row>
    <row r="5" spans="1:26" ht="30.75" thickBot="1" x14ac:dyDescent="0.3">
      <c r="A5" s="69" t="s">
        <v>119</v>
      </c>
      <c r="B5" s="70">
        <v>45758</v>
      </c>
      <c r="C5" s="71" t="s">
        <v>255</v>
      </c>
      <c r="D5" s="63" t="s">
        <v>256</v>
      </c>
      <c r="E5" s="63" t="s">
        <v>257</v>
      </c>
      <c r="F5" s="63" t="s">
        <v>144</v>
      </c>
      <c r="G5" s="61">
        <v>1</v>
      </c>
      <c r="H5" s="64">
        <v>3210000</v>
      </c>
      <c r="I5" s="64">
        <v>3210000</v>
      </c>
      <c r="J5" s="65">
        <v>0</v>
      </c>
      <c r="K5" s="73">
        <v>3210000</v>
      </c>
      <c r="L5" s="64">
        <v>3210000</v>
      </c>
      <c r="M5" s="66">
        <v>0.105</v>
      </c>
      <c r="N5" s="64">
        <v>337050</v>
      </c>
      <c r="O5" s="64">
        <v>3547050</v>
      </c>
      <c r="P5" s="73">
        <v>3588630</v>
      </c>
      <c r="Q5" s="73">
        <v>3786630</v>
      </c>
      <c r="R5" s="74"/>
      <c r="S5" s="74"/>
      <c r="T5" s="73">
        <v>3786630</v>
      </c>
      <c r="U5" s="73">
        <v>-198000</v>
      </c>
      <c r="V5" s="71" t="s">
        <v>258</v>
      </c>
      <c r="W5" s="69">
        <v>30700986604</v>
      </c>
      <c r="X5" s="69" t="s">
        <v>182</v>
      </c>
      <c r="Y5" s="64">
        <v>1320200</v>
      </c>
      <c r="Z5" s="12"/>
    </row>
    <row r="6" spans="1:26" ht="15.75" thickBot="1" x14ac:dyDescent="0.3">
      <c r="A6" s="69"/>
      <c r="B6" s="70"/>
      <c r="C6" s="71"/>
      <c r="D6" s="63" t="s">
        <v>254</v>
      </c>
      <c r="E6" s="76" t="s">
        <v>259</v>
      </c>
      <c r="F6" s="76" t="s">
        <v>259</v>
      </c>
      <c r="G6" s="61">
        <v>1</v>
      </c>
      <c r="H6" s="72">
        <v>91000</v>
      </c>
      <c r="I6" s="64">
        <v>91000</v>
      </c>
      <c r="J6" s="65">
        <v>1</v>
      </c>
      <c r="K6" s="73"/>
      <c r="L6" s="68">
        <v>0</v>
      </c>
      <c r="M6" s="67"/>
      <c r="N6" s="68">
        <v>0</v>
      </c>
      <c r="O6" s="68">
        <v>0</v>
      </c>
      <c r="P6" s="73"/>
      <c r="Q6" s="73"/>
      <c r="R6" s="74"/>
      <c r="S6" s="74"/>
      <c r="T6" s="73"/>
      <c r="U6" s="73"/>
      <c r="V6" s="71"/>
      <c r="W6" s="69"/>
      <c r="X6" s="69"/>
      <c r="Y6" s="64">
        <v>35800</v>
      </c>
      <c r="Z6" s="12"/>
    </row>
    <row r="7" spans="1:26" ht="15.75" thickBot="1" x14ac:dyDescent="0.3">
      <c r="A7" s="69"/>
      <c r="B7" s="70"/>
      <c r="C7" s="71"/>
      <c r="D7" s="63" t="s">
        <v>190</v>
      </c>
      <c r="E7" s="63" t="s">
        <v>142</v>
      </c>
      <c r="F7" s="63" t="s">
        <v>142</v>
      </c>
      <c r="G7" s="61">
        <v>1</v>
      </c>
      <c r="H7" s="64">
        <v>106000</v>
      </c>
      <c r="I7" s="64">
        <v>106000</v>
      </c>
      <c r="J7" s="65">
        <v>0</v>
      </c>
      <c r="K7" s="68">
        <v>0</v>
      </c>
      <c r="L7" s="64">
        <v>106000</v>
      </c>
      <c r="M7" s="66">
        <v>0.21</v>
      </c>
      <c r="N7" s="64">
        <v>22260</v>
      </c>
      <c r="O7" s="64">
        <v>128260</v>
      </c>
      <c r="P7" s="73"/>
      <c r="Q7" s="73"/>
      <c r="R7" s="74"/>
      <c r="S7" s="74"/>
      <c r="T7" s="73"/>
      <c r="U7" s="73"/>
      <c r="V7" s="71"/>
      <c r="W7" s="69"/>
      <c r="X7" s="69"/>
      <c r="Y7" s="64">
        <v>45666</v>
      </c>
      <c r="Z7" s="12"/>
    </row>
    <row r="8" spans="1:26" ht="15.75" thickBot="1" x14ac:dyDescent="0.3">
      <c r="A8" s="69"/>
      <c r="B8" s="70"/>
      <c r="C8" s="71"/>
      <c r="D8" s="63" t="s">
        <v>260</v>
      </c>
      <c r="E8" s="63" t="s">
        <v>142</v>
      </c>
      <c r="F8" s="63" t="s">
        <v>142</v>
      </c>
      <c r="G8" s="61">
        <v>1</v>
      </c>
      <c r="H8" s="64">
        <v>80000</v>
      </c>
      <c r="I8" s="64">
        <v>80000</v>
      </c>
      <c r="J8" s="65">
        <v>0</v>
      </c>
      <c r="K8" s="68">
        <v>0</v>
      </c>
      <c r="L8" s="64">
        <v>80000</v>
      </c>
      <c r="M8" s="66">
        <v>0.21</v>
      </c>
      <c r="N8" s="64">
        <v>16800</v>
      </c>
      <c r="O8" s="64">
        <v>96800</v>
      </c>
      <c r="P8" s="73"/>
      <c r="Q8" s="73"/>
      <c r="R8" s="74"/>
      <c r="S8" s="74"/>
      <c r="T8" s="73"/>
      <c r="U8" s="73"/>
      <c r="V8" s="71"/>
      <c r="W8" s="69"/>
      <c r="X8" s="69"/>
      <c r="Y8" s="64">
        <v>106722</v>
      </c>
      <c r="Z8" s="12"/>
    </row>
    <row r="9" spans="1:26" ht="15.75" thickBot="1" x14ac:dyDescent="0.3">
      <c r="A9" s="69"/>
      <c r="B9" s="70"/>
      <c r="C9" s="71"/>
      <c r="D9" s="63" t="s">
        <v>191</v>
      </c>
      <c r="E9" s="63" t="s">
        <v>142</v>
      </c>
      <c r="F9" s="63" t="s">
        <v>142</v>
      </c>
      <c r="G9" s="61">
        <v>1</v>
      </c>
      <c r="H9" s="64">
        <v>12000</v>
      </c>
      <c r="I9" s="64">
        <v>12000</v>
      </c>
      <c r="J9" s="65">
        <v>0</v>
      </c>
      <c r="K9" s="68">
        <v>0</v>
      </c>
      <c r="L9" s="64">
        <v>12000</v>
      </c>
      <c r="M9" s="66">
        <v>0.21</v>
      </c>
      <c r="N9" s="64">
        <v>2520</v>
      </c>
      <c r="O9" s="64">
        <v>14520</v>
      </c>
      <c r="P9" s="73"/>
      <c r="Q9" s="73"/>
      <c r="R9" s="74"/>
      <c r="S9" s="74"/>
      <c r="T9" s="73"/>
      <c r="U9" s="73"/>
      <c r="V9" s="71"/>
      <c r="W9" s="69"/>
      <c r="X9" s="69"/>
      <c r="Y9" s="64">
        <v>9917</v>
      </c>
      <c r="Z9" s="12"/>
    </row>
    <row r="10" spans="1:26" ht="30.75" thickBot="1" x14ac:dyDescent="0.3">
      <c r="A10" s="69" t="s">
        <v>119</v>
      </c>
      <c r="B10" s="70">
        <v>45762</v>
      </c>
      <c r="C10" s="71" t="s">
        <v>261</v>
      </c>
      <c r="D10" s="63" t="s">
        <v>256</v>
      </c>
      <c r="E10" s="63" t="s">
        <v>262</v>
      </c>
      <c r="F10" s="63" t="s">
        <v>144</v>
      </c>
      <c r="G10" s="61">
        <v>1</v>
      </c>
      <c r="H10" s="64">
        <v>3210000</v>
      </c>
      <c r="I10" s="64">
        <v>3210000</v>
      </c>
      <c r="J10" s="65">
        <v>0</v>
      </c>
      <c r="K10" s="64">
        <v>3210000</v>
      </c>
      <c r="L10" s="73">
        <v>1605000</v>
      </c>
      <c r="M10" s="77">
        <v>0.105</v>
      </c>
      <c r="N10" s="73">
        <v>168525</v>
      </c>
      <c r="O10" s="73">
        <v>1773525</v>
      </c>
      <c r="P10" s="73">
        <v>3378525</v>
      </c>
      <c r="Q10" s="73">
        <v>1773525</v>
      </c>
      <c r="R10" s="74"/>
      <c r="S10" s="73">
        <v>1605000</v>
      </c>
      <c r="T10" s="73">
        <v>3378525</v>
      </c>
      <c r="U10" s="75">
        <v>0</v>
      </c>
      <c r="V10" s="71" t="s">
        <v>263</v>
      </c>
      <c r="W10" s="69">
        <v>20331587037</v>
      </c>
      <c r="X10" s="69" t="s">
        <v>182</v>
      </c>
      <c r="Y10" s="64">
        <v>1320200</v>
      </c>
      <c r="Z10" s="12"/>
    </row>
    <row r="11" spans="1:26" ht="15.75" thickBot="1" x14ac:dyDescent="0.3">
      <c r="A11" s="69"/>
      <c r="B11" s="70"/>
      <c r="C11" s="71"/>
      <c r="D11" s="63" t="s">
        <v>254</v>
      </c>
      <c r="E11" s="76" t="s">
        <v>259</v>
      </c>
      <c r="F11" s="76" t="s">
        <v>259</v>
      </c>
      <c r="G11" s="61">
        <v>1</v>
      </c>
      <c r="H11" s="72">
        <v>91000</v>
      </c>
      <c r="I11" s="64">
        <v>91000</v>
      </c>
      <c r="J11" s="65">
        <v>1</v>
      </c>
      <c r="K11" s="68">
        <v>0</v>
      </c>
      <c r="L11" s="73"/>
      <c r="M11" s="77"/>
      <c r="N11" s="73"/>
      <c r="O11" s="73"/>
      <c r="P11" s="73"/>
      <c r="Q11" s="73"/>
      <c r="R11" s="74"/>
      <c r="S11" s="73"/>
      <c r="T11" s="73"/>
      <c r="U11" s="75"/>
      <c r="V11" s="71"/>
      <c r="W11" s="69"/>
      <c r="X11" s="69"/>
      <c r="Y11" s="64">
        <v>35800</v>
      </c>
      <c r="Z11" s="12"/>
    </row>
    <row r="12" spans="1:26" ht="30.75" thickBot="1" x14ac:dyDescent="0.3">
      <c r="A12" s="69" t="s">
        <v>119</v>
      </c>
      <c r="B12" s="70">
        <v>45758</v>
      </c>
      <c r="C12" s="71" t="s">
        <v>264</v>
      </c>
      <c r="D12" s="63" t="s">
        <v>192</v>
      </c>
      <c r="E12" s="63">
        <v>202410311</v>
      </c>
      <c r="F12" s="63" t="s">
        <v>141</v>
      </c>
      <c r="G12" s="61">
        <v>1</v>
      </c>
      <c r="H12" s="72">
        <v>1080000</v>
      </c>
      <c r="I12" s="64">
        <v>1080000</v>
      </c>
      <c r="J12" s="65">
        <v>0</v>
      </c>
      <c r="K12" s="73">
        <v>1080000</v>
      </c>
      <c r="L12" s="73">
        <v>1080000</v>
      </c>
      <c r="M12" s="77">
        <v>0.21</v>
      </c>
      <c r="N12" s="73">
        <v>226800</v>
      </c>
      <c r="O12" s="73">
        <v>1306800</v>
      </c>
      <c r="P12" s="73">
        <v>1306800</v>
      </c>
      <c r="Q12" s="73">
        <v>1306800</v>
      </c>
      <c r="R12" s="74"/>
      <c r="S12" s="74"/>
      <c r="T12" s="73">
        <v>1306800</v>
      </c>
      <c r="U12" s="75">
        <v>0</v>
      </c>
      <c r="V12" s="71" t="s">
        <v>265</v>
      </c>
      <c r="W12" s="69">
        <v>20109705218</v>
      </c>
      <c r="X12" s="69" t="s">
        <v>182</v>
      </c>
      <c r="Y12" s="64">
        <v>308825</v>
      </c>
      <c r="Z12" s="12"/>
    </row>
    <row r="13" spans="1:26" ht="15.75" thickBot="1" x14ac:dyDescent="0.3">
      <c r="A13" s="69"/>
      <c r="B13" s="70"/>
      <c r="C13" s="71"/>
      <c r="D13" s="63" t="s">
        <v>254</v>
      </c>
      <c r="E13" s="76" t="s">
        <v>259</v>
      </c>
      <c r="F13" s="76" t="s">
        <v>259</v>
      </c>
      <c r="G13" s="61">
        <v>1</v>
      </c>
      <c r="H13" s="72">
        <v>91000</v>
      </c>
      <c r="I13" s="64">
        <v>91000</v>
      </c>
      <c r="J13" s="65">
        <v>1</v>
      </c>
      <c r="K13" s="73"/>
      <c r="L13" s="73"/>
      <c r="M13" s="77"/>
      <c r="N13" s="73"/>
      <c r="O13" s="73"/>
      <c r="P13" s="73"/>
      <c r="Q13" s="73"/>
      <c r="R13" s="74"/>
      <c r="S13" s="74"/>
      <c r="T13" s="73"/>
      <c r="U13" s="75"/>
      <c r="V13" s="71"/>
      <c r="W13" s="69"/>
      <c r="X13" s="69"/>
      <c r="Y13" s="64">
        <v>35800</v>
      </c>
      <c r="Z13" s="12"/>
    </row>
    <row r="14" spans="1:26" ht="30.75" thickBot="1" x14ac:dyDescent="0.3">
      <c r="A14" s="61" t="s">
        <v>119</v>
      </c>
      <c r="B14" s="62">
        <v>45770</v>
      </c>
      <c r="C14" s="63" t="s">
        <v>266</v>
      </c>
      <c r="D14" s="63" t="s">
        <v>267</v>
      </c>
      <c r="E14" s="63" t="s">
        <v>268</v>
      </c>
      <c r="F14" s="63" t="s">
        <v>141</v>
      </c>
      <c r="G14" s="61">
        <v>1</v>
      </c>
      <c r="H14" s="72">
        <v>1080000</v>
      </c>
      <c r="I14" s="64">
        <v>1080000</v>
      </c>
      <c r="J14" s="65">
        <v>0.15</v>
      </c>
      <c r="K14" s="64">
        <v>918000</v>
      </c>
      <c r="L14" s="64">
        <v>918000</v>
      </c>
      <c r="M14" s="66">
        <v>0.105</v>
      </c>
      <c r="N14" s="64">
        <v>96390</v>
      </c>
      <c r="O14" s="64">
        <v>1014390</v>
      </c>
      <c r="P14" s="64">
        <v>1014390</v>
      </c>
      <c r="Q14" s="67"/>
      <c r="R14" s="67"/>
      <c r="S14" s="64">
        <v>1014390</v>
      </c>
      <c r="T14" s="64">
        <v>1014390</v>
      </c>
      <c r="U14" s="68">
        <v>0</v>
      </c>
      <c r="V14" s="63" t="s">
        <v>269</v>
      </c>
      <c r="W14" s="61" t="s">
        <v>270</v>
      </c>
      <c r="X14" s="61" t="s">
        <v>183</v>
      </c>
      <c r="Y14" s="64">
        <v>314375</v>
      </c>
      <c r="Z14" s="12"/>
    </row>
    <row r="15" spans="1:26" ht="15.75" thickBot="1" x14ac:dyDescent="0.3">
      <c r="A15" s="61" t="s">
        <v>119</v>
      </c>
      <c r="B15" s="62">
        <v>45772</v>
      </c>
      <c r="C15" s="63" t="s">
        <v>271</v>
      </c>
      <c r="D15" s="63" t="s">
        <v>190</v>
      </c>
      <c r="E15" s="63" t="s">
        <v>142</v>
      </c>
      <c r="F15" s="63" t="s">
        <v>142</v>
      </c>
      <c r="G15" s="61">
        <v>1</v>
      </c>
      <c r="H15" s="72">
        <v>118000</v>
      </c>
      <c r="I15" s="64">
        <v>118000</v>
      </c>
      <c r="J15" s="65">
        <v>0</v>
      </c>
      <c r="K15" s="64">
        <v>118000</v>
      </c>
      <c r="L15" s="64">
        <v>118000</v>
      </c>
      <c r="M15" s="66">
        <v>0.21</v>
      </c>
      <c r="N15" s="64">
        <v>24780</v>
      </c>
      <c r="O15" s="64">
        <v>142780</v>
      </c>
      <c r="P15" s="64">
        <v>142780</v>
      </c>
      <c r="Q15" s="64">
        <v>142780</v>
      </c>
      <c r="R15" s="67"/>
      <c r="S15" s="67"/>
      <c r="T15" s="64">
        <v>142780</v>
      </c>
      <c r="U15" s="68">
        <v>0</v>
      </c>
      <c r="V15" s="63" t="s">
        <v>272</v>
      </c>
      <c r="W15" s="61">
        <v>20360034624</v>
      </c>
      <c r="X15" s="61" t="s">
        <v>182</v>
      </c>
      <c r="Y15" s="64">
        <v>45666</v>
      </c>
      <c r="Z15" s="12"/>
    </row>
    <row r="16" spans="1:26" ht="30.75" thickBot="1" x14ac:dyDescent="0.3">
      <c r="A16" s="61" t="s">
        <v>140</v>
      </c>
      <c r="B16" s="62">
        <v>45748</v>
      </c>
      <c r="C16" s="63" t="s">
        <v>273</v>
      </c>
      <c r="D16" s="63" t="s">
        <v>143</v>
      </c>
      <c r="E16" s="63">
        <v>24146018</v>
      </c>
      <c r="F16" s="63" t="s">
        <v>141</v>
      </c>
      <c r="G16" s="61">
        <v>1</v>
      </c>
      <c r="H16" s="64">
        <v>4350000</v>
      </c>
      <c r="I16" s="64">
        <v>4350000</v>
      </c>
      <c r="J16" s="67"/>
      <c r="K16" s="64">
        <v>4350000</v>
      </c>
      <c r="L16" s="64">
        <v>2175000</v>
      </c>
      <c r="M16" s="66">
        <v>0.105</v>
      </c>
      <c r="N16" s="64">
        <v>228375</v>
      </c>
      <c r="O16" s="64">
        <v>2403375</v>
      </c>
      <c r="P16" s="64">
        <v>4578375</v>
      </c>
      <c r="Q16" s="67"/>
      <c r="R16" s="67"/>
      <c r="S16" s="64">
        <v>4578375</v>
      </c>
      <c r="T16" s="64">
        <v>4578375</v>
      </c>
      <c r="U16" s="68">
        <v>0</v>
      </c>
      <c r="V16" s="63" t="s">
        <v>274</v>
      </c>
      <c r="W16" s="61">
        <v>20370803928</v>
      </c>
      <c r="X16" s="61" t="s">
        <v>183</v>
      </c>
      <c r="Y16" s="64">
        <v>1251938</v>
      </c>
      <c r="Z16" s="12"/>
    </row>
    <row r="17" spans="1:26" ht="30.75" thickBot="1" x14ac:dyDescent="0.3">
      <c r="A17" s="61" t="s">
        <v>140</v>
      </c>
      <c r="B17" s="62">
        <v>45751</v>
      </c>
      <c r="C17" s="63" t="s">
        <v>275</v>
      </c>
      <c r="D17" s="63" t="s">
        <v>276</v>
      </c>
      <c r="E17" s="63" t="s">
        <v>142</v>
      </c>
      <c r="F17" s="63" t="s">
        <v>142</v>
      </c>
      <c r="G17" s="61">
        <v>1</v>
      </c>
      <c r="H17" s="72">
        <v>248981</v>
      </c>
      <c r="I17" s="64">
        <v>248981</v>
      </c>
      <c r="J17" s="65">
        <v>0</v>
      </c>
      <c r="K17" s="64">
        <v>248981</v>
      </c>
      <c r="L17" s="64">
        <v>248981</v>
      </c>
      <c r="M17" s="66">
        <v>0.21</v>
      </c>
      <c r="N17" s="64">
        <v>52286</v>
      </c>
      <c r="O17" s="64">
        <v>301267</v>
      </c>
      <c r="P17" s="64">
        <v>301267</v>
      </c>
      <c r="Q17" s="64">
        <v>301267</v>
      </c>
      <c r="R17" s="67"/>
      <c r="S17" s="67"/>
      <c r="T17" s="64">
        <v>301267</v>
      </c>
      <c r="U17" s="68">
        <v>0</v>
      </c>
      <c r="V17" s="63" t="s">
        <v>277</v>
      </c>
      <c r="W17" s="63" t="s">
        <v>278</v>
      </c>
      <c r="X17" s="61" t="s">
        <v>182</v>
      </c>
      <c r="Y17" s="64">
        <v>264017</v>
      </c>
      <c r="Z17" s="12"/>
    </row>
    <row r="18" spans="1:26" ht="30.75" thickBot="1" x14ac:dyDescent="0.3">
      <c r="A18" s="69" t="s">
        <v>140</v>
      </c>
      <c r="B18" s="70">
        <v>45762</v>
      </c>
      <c r="C18" s="71" t="s">
        <v>279</v>
      </c>
      <c r="D18" s="63" t="s">
        <v>192</v>
      </c>
      <c r="E18" s="63">
        <v>202410315</v>
      </c>
      <c r="F18" s="63" t="s">
        <v>141</v>
      </c>
      <c r="G18" s="61">
        <v>1</v>
      </c>
      <c r="H18" s="64">
        <v>1080000</v>
      </c>
      <c r="I18" s="64">
        <v>1080000</v>
      </c>
      <c r="J18" s="65">
        <v>0</v>
      </c>
      <c r="K18" s="64">
        <v>1080000</v>
      </c>
      <c r="L18" s="64">
        <v>1080000</v>
      </c>
      <c r="M18" s="66">
        <v>0.21</v>
      </c>
      <c r="N18" s="64">
        <v>226800</v>
      </c>
      <c r="O18" s="64">
        <v>1306800</v>
      </c>
      <c r="P18" s="73">
        <v>1306800</v>
      </c>
      <c r="Q18" s="73">
        <v>1306800</v>
      </c>
      <c r="R18" s="74"/>
      <c r="S18" s="74"/>
      <c r="T18" s="73">
        <v>1306800</v>
      </c>
      <c r="U18" s="75">
        <v>0</v>
      </c>
      <c r="V18" s="71" t="s">
        <v>280</v>
      </c>
      <c r="W18" s="71" t="s">
        <v>281</v>
      </c>
      <c r="X18" s="69" t="s">
        <v>182</v>
      </c>
      <c r="Y18" s="64">
        <v>308825</v>
      </c>
      <c r="Z18" s="12"/>
    </row>
    <row r="19" spans="1:26" ht="15.75" thickBot="1" x14ac:dyDescent="0.3">
      <c r="A19" s="69"/>
      <c r="B19" s="70"/>
      <c r="C19" s="71"/>
      <c r="D19" s="63" t="s">
        <v>254</v>
      </c>
      <c r="E19" s="76" t="s">
        <v>259</v>
      </c>
      <c r="F19" s="76" t="s">
        <v>259</v>
      </c>
      <c r="G19" s="61">
        <v>1</v>
      </c>
      <c r="H19" s="72">
        <v>91000</v>
      </c>
      <c r="I19" s="64">
        <v>91000</v>
      </c>
      <c r="J19" s="65">
        <v>1</v>
      </c>
      <c r="K19" s="68">
        <v>0</v>
      </c>
      <c r="L19" s="67"/>
      <c r="M19" s="67"/>
      <c r="N19" s="68">
        <v>0</v>
      </c>
      <c r="O19" s="68">
        <v>0</v>
      </c>
      <c r="P19" s="73"/>
      <c r="Q19" s="73"/>
      <c r="R19" s="74"/>
      <c r="S19" s="74"/>
      <c r="T19" s="73"/>
      <c r="U19" s="75"/>
      <c r="V19" s="71"/>
      <c r="W19" s="71"/>
      <c r="X19" s="69"/>
      <c r="Y19" s="64">
        <v>35800</v>
      </c>
      <c r="Z19" s="12"/>
    </row>
    <row r="20" spans="1:26" ht="15.75" thickBot="1" x14ac:dyDescent="0.3">
      <c r="A20" s="61" t="s">
        <v>140</v>
      </c>
      <c r="B20" s="62">
        <v>45750</v>
      </c>
      <c r="C20" s="63" t="s">
        <v>282</v>
      </c>
      <c r="D20" s="63" t="s">
        <v>143</v>
      </c>
      <c r="E20" s="67"/>
      <c r="F20" s="67"/>
      <c r="G20" s="61">
        <v>1</v>
      </c>
      <c r="H20" s="64">
        <v>4350000</v>
      </c>
      <c r="I20" s="64">
        <v>4350000</v>
      </c>
      <c r="J20" s="65">
        <v>0</v>
      </c>
      <c r="K20" s="64">
        <v>4350000</v>
      </c>
      <c r="L20" s="64">
        <v>2175000</v>
      </c>
      <c r="M20" s="66">
        <v>0.105</v>
      </c>
      <c r="N20" s="64">
        <v>228375</v>
      </c>
      <c r="O20" s="64">
        <v>2403375</v>
      </c>
      <c r="P20" s="64">
        <v>4578375</v>
      </c>
      <c r="Q20" s="67"/>
      <c r="R20" s="67"/>
      <c r="S20" s="64">
        <v>4578400</v>
      </c>
      <c r="T20" s="64">
        <v>4578400</v>
      </c>
      <c r="U20" s="68">
        <v>-25</v>
      </c>
      <c r="V20" s="78"/>
      <c r="W20" s="67"/>
      <c r="X20" s="61" t="s">
        <v>183</v>
      </c>
      <c r="Y20" s="64">
        <v>1251938</v>
      </c>
      <c r="Z20" s="12"/>
    </row>
    <row r="21" spans="1:26" ht="30.75" thickBot="1" x14ac:dyDescent="0.3">
      <c r="A21" s="61" t="s">
        <v>140</v>
      </c>
      <c r="B21" s="62">
        <v>45773</v>
      </c>
      <c r="C21" s="63" t="s">
        <v>283</v>
      </c>
      <c r="D21" s="63" t="s">
        <v>254</v>
      </c>
      <c r="E21" s="63" t="s">
        <v>142</v>
      </c>
      <c r="F21" s="63" t="s">
        <v>142</v>
      </c>
      <c r="G21" s="61">
        <v>1</v>
      </c>
      <c r="H21" s="64">
        <v>91000</v>
      </c>
      <c r="I21" s="64">
        <v>91000</v>
      </c>
      <c r="J21" s="65">
        <v>0</v>
      </c>
      <c r="K21" s="64">
        <v>91000</v>
      </c>
      <c r="L21" s="64">
        <v>91000</v>
      </c>
      <c r="M21" s="66">
        <v>0.21</v>
      </c>
      <c r="N21" s="64">
        <v>19110</v>
      </c>
      <c r="O21" s="64">
        <v>110110</v>
      </c>
      <c r="P21" s="64">
        <v>110110</v>
      </c>
      <c r="Q21" s="67"/>
      <c r="R21" s="67"/>
      <c r="S21" s="64">
        <v>110110</v>
      </c>
      <c r="T21" s="64">
        <v>110110</v>
      </c>
      <c r="U21" s="68">
        <v>0</v>
      </c>
      <c r="V21" s="63" t="s">
        <v>284</v>
      </c>
      <c r="W21" s="61" t="s">
        <v>285</v>
      </c>
      <c r="X21" s="61" t="s">
        <v>183</v>
      </c>
      <c r="Y21" s="64">
        <v>35800</v>
      </c>
      <c r="Z21" s="12"/>
    </row>
    <row r="22" spans="1:26" ht="45.75" thickBot="1" x14ac:dyDescent="0.3">
      <c r="A22" s="61" t="s">
        <v>117</v>
      </c>
      <c r="B22" s="62">
        <v>45748</v>
      </c>
      <c r="C22" s="63" t="s">
        <v>286</v>
      </c>
      <c r="D22" s="63" t="s">
        <v>192</v>
      </c>
      <c r="E22" s="63">
        <v>202410309</v>
      </c>
      <c r="F22" s="63" t="s">
        <v>141</v>
      </c>
      <c r="G22" s="61">
        <v>1</v>
      </c>
      <c r="H22" s="72">
        <v>1080000</v>
      </c>
      <c r="I22" s="64">
        <v>1080000</v>
      </c>
      <c r="J22" s="65">
        <v>0.1</v>
      </c>
      <c r="K22" s="64">
        <v>972000</v>
      </c>
      <c r="L22" s="64">
        <v>486000</v>
      </c>
      <c r="M22" s="66">
        <v>0.21</v>
      </c>
      <c r="N22" s="64">
        <v>102060</v>
      </c>
      <c r="O22" s="64">
        <v>588060</v>
      </c>
      <c r="P22" s="64">
        <v>1074060</v>
      </c>
      <c r="Q22" s="67"/>
      <c r="R22" s="67"/>
      <c r="S22" s="64">
        <v>1079000</v>
      </c>
      <c r="T22" s="64">
        <v>1079000</v>
      </c>
      <c r="U22" s="64">
        <v>-4940</v>
      </c>
      <c r="V22" s="63" t="s">
        <v>287</v>
      </c>
      <c r="W22" s="63" t="s">
        <v>288</v>
      </c>
      <c r="X22" s="61" t="s">
        <v>183</v>
      </c>
      <c r="Y22" s="64">
        <v>308825</v>
      </c>
      <c r="Z22" s="12"/>
    </row>
    <row r="23" spans="1:26" ht="30.75" thickBot="1" x14ac:dyDescent="0.3">
      <c r="A23" s="69" t="s">
        <v>117</v>
      </c>
      <c r="B23" s="70">
        <v>45750</v>
      </c>
      <c r="C23" s="71" t="s">
        <v>289</v>
      </c>
      <c r="D23" s="63" t="s">
        <v>118</v>
      </c>
      <c r="E23" s="63">
        <v>202410327</v>
      </c>
      <c r="F23" s="63" t="s">
        <v>141</v>
      </c>
      <c r="G23" s="61">
        <v>1</v>
      </c>
      <c r="H23" s="72">
        <v>2010000</v>
      </c>
      <c r="I23" s="64">
        <v>2010000</v>
      </c>
      <c r="J23" s="65">
        <v>0</v>
      </c>
      <c r="K23" s="64">
        <v>2010000</v>
      </c>
      <c r="L23" s="64">
        <v>2010000</v>
      </c>
      <c r="M23" s="66">
        <v>0.21</v>
      </c>
      <c r="N23" s="64">
        <v>422100</v>
      </c>
      <c r="O23" s="64">
        <v>2432100</v>
      </c>
      <c r="P23" s="73">
        <v>2542210</v>
      </c>
      <c r="Q23" s="73">
        <v>2542210</v>
      </c>
      <c r="R23" s="74"/>
      <c r="S23" s="74"/>
      <c r="T23" s="73">
        <v>2542210</v>
      </c>
      <c r="U23" s="75">
        <v>0</v>
      </c>
      <c r="V23" s="71" t="s">
        <v>290</v>
      </c>
      <c r="W23" s="71" t="s">
        <v>291</v>
      </c>
      <c r="X23" s="69" t="s">
        <v>182</v>
      </c>
      <c r="Y23" s="64">
        <v>575113</v>
      </c>
      <c r="Z23" s="12"/>
    </row>
    <row r="24" spans="1:26" ht="15.75" thickBot="1" x14ac:dyDescent="0.3">
      <c r="A24" s="69"/>
      <c r="B24" s="70"/>
      <c r="C24" s="71"/>
      <c r="D24" s="63" t="s">
        <v>254</v>
      </c>
      <c r="E24" s="63" t="s">
        <v>142</v>
      </c>
      <c r="F24" s="63" t="s">
        <v>142</v>
      </c>
      <c r="G24" s="61">
        <v>1</v>
      </c>
      <c r="H24" s="72">
        <v>91000</v>
      </c>
      <c r="I24" s="64">
        <v>91000</v>
      </c>
      <c r="J24" s="65">
        <v>0</v>
      </c>
      <c r="K24" s="64">
        <v>91000</v>
      </c>
      <c r="L24" s="64">
        <v>91000</v>
      </c>
      <c r="M24" s="66">
        <v>0.21</v>
      </c>
      <c r="N24" s="64">
        <v>19110</v>
      </c>
      <c r="O24" s="64">
        <v>110110</v>
      </c>
      <c r="P24" s="73"/>
      <c r="Q24" s="73"/>
      <c r="R24" s="74"/>
      <c r="S24" s="74"/>
      <c r="T24" s="73"/>
      <c r="U24" s="75"/>
      <c r="V24" s="71"/>
      <c r="W24" s="71"/>
      <c r="X24" s="69"/>
      <c r="Y24" s="64">
        <v>35800</v>
      </c>
      <c r="Z24" s="12"/>
    </row>
    <row r="25" spans="1:26" ht="30.75" thickBot="1" x14ac:dyDescent="0.3">
      <c r="A25" s="61" t="s">
        <v>117</v>
      </c>
      <c r="B25" s="62">
        <v>45772</v>
      </c>
      <c r="C25" s="63" t="s">
        <v>292</v>
      </c>
      <c r="D25" s="63" t="s">
        <v>192</v>
      </c>
      <c r="E25" s="63">
        <v>202410296</v>
      </c>
      <c r="F25" s="63" t="s">
        <v>141</v>
      </c>
      <c r="G25" s="61">
        <v>1</v>
      </c>
      <c r="H25" s="72">
        <v>1080000</v>
      </c>
      <c r="I25" s="64">
        <v>1080000</v>
      </c>
      <c r="J25" s="65">
        <v>0</v>
      </c>
      <c r="K25" s="64">
        <v>1080000</v>
      </c>
      <c r="L25" s="64">
        <v>540000</v>
      </c>
      <c r="M25" s="66">
        <v>0.21</v>
      </c>
      <c r="N25" s="64">
        <v>113400</v>
      </c>
      <c r="O25" s="64">
        <v>653400</v>
      </c>
      <c r="P25" s="64">
        <v>1193400</v>
      </c>
      <c r="Q25" s="64">
        <v>653400</v>
      </c>
      <c r="R25" s="67"/>
      <c r="S25" s="64">
        <v>540000</v>
      </c>
      <c r="T25" s="64">
        <v>1193400</v>
      </c>
      <c r="U25" s="68">
        <v>0</v>
      </c>
      <c r="V25" s="63" t="s">
        <v>293</v>
      </c>
      <c r="W25" s="63" t="s">
        <v>294</v>
      </c>
      <c r="X25" s="61" t="s">
        <v>182</v>
      </c>
      <c r="Y25" s="64">
        <v>308825</v>
      </c>
      <c r="Z25" s="12"/>
    </row>
    <row r="26" spans="1:26" ht="15.75" thickBot="1" x14ac:dyDescent="0.3">
      <c r="A26" s="59"/>
      <c r="B26" s="59"/>
      <c r="C26" s="59"/>
      <c r="D26" s="59"/>
      <c r="E26" s="59"/>
      <c r="F26" s="59"/>
      <c r="G26" s="59"/>
      <c r="H26" s="59"/>
      <c r="I26" s="60">
        <v>29161981</v>
      </c>
      <c r="J26" s="60">
        <v>886000</v>
      </c>
      <c r="K26" s="60">
        <v>28275981</v>
      </c>
      <c r="L26" s="60">
        <v>16629981</v>
      </c>
      <c r="M26" s="59"/>
      <c r="N26" s="60">
        <v>2661956</v>
      </c>
      <c r="O26" s="60">
        <v>21466937</v>
      </c>
      <c r="P26" s="60">
        <v>30937937</v>
      </c>
      <c r="Q26" s="59"/>
      <c r="R26" s="59"/>
      <c r="S26" s="59"/>
      <c r="T26" s="60">
        <v>31141062</v>
      </c>
      <c r="U26" s="60">
        <v>-203125</v>
      </c>
      <c r="V26" s="59"/>
      <c r="W26" s="59"/>
      <c r="X26" s="79"/>
      <c r="Y26" s="60">
        <v>9552413</v>
      </c>
      <c r="Z26" s="42"/>
    </row>
    <row r="27" spans="1:26" ht="15.75" thickBot="1" x14ac:dyDescent="0.3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80"/>
      <c r="Y27" s="57">
        <v>0.33779999999999999</v>
      </c>
      <c r="Z27" s="12"/>
    </row>
    <row r="28" spans="1:26" ht="15.75" thickBo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53" t="s">
        <v>184</v>
      </c>
      <c r="V28" s="54"/>
      <c r="W28" s="55">
        <v>1250</v>
      </c>
      <c r="X28" s="37"/>
      <c r="Y28" s="12"/>
      <c r="Z28" s="12"/>
    </row>
    <row r="29" spans="1:26" ht="15.75" thickBo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37"/>
      <c r="Y29" s="12"/>
      <c r="Z29" s="12"/>
    </row>
    <row r="30" spans="1:26" ht="15.75" thickBo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37"/>
      <c r="Y30" s="12"/>
      <c r="Z30" s="12"/>
    </row>
    <row r="31" spans="1:26" ht="15.75" thickBo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37"/>
      <c r="Y31" s="12"/>
      <c r="Z31" s="12"/>
    </row>
    <row r="32" spans="1:26" ht="15.75" thickBo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37"/>
      <c r="Y32" s="12"/>
      <c r="Z32" s="12"/>
    </row>
    <row r="33" spans="1:26" ht="15.75" thickBo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37"/>
      <c r="Y33" s="12"/>
      <c r="Z33" s="12"/>
    </row>
    <row r="34" spans="1:26" ht="15.75" thickBo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37"/>
      <c r="Y34" s="12"/>
      <c r="Z34" s="12"/>
    </row>
    <row r="35" spans="1:26" ht="15.75" thickBo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37"/>
      <c r="Y35" s="12"/>
      <c r="Z35" s="12"/>
    </row>
    <row r="36" spans="1:26" ht="15.75" thickBo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37"/>
      <c r="Y36" s="12"/>
      <c r="Z36" s="12"/>
    </row>
    <row r="37" spans="1:26" ht="15.75" thickBo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37"/>
      <c r="Y37" s="12"/>
      <c r="Z37" s="12"/>
    </row>
    <row r="38" spans="1:26" ht="15.75" thickBo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44"/>
      <c r="Q38" s="12"/>
      <c r="R38" s="12"/>
      <c r="S38" s="12"/>
      <c r="T38" s="12"/>
      <c r="U38" s="12"/>
      <c r="V38" s="12"/>
      <c r="W38" s="12"/>
      <c r="X38" s="37"/>
      <c r="Y38" s="12"/>
      <c r="Z38" s="12"/>
    </row>
    <row r="39" spans="1:26" ht="15.75" thickBo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37"/>
      <c r="Y39" s="12"/>
      <c r="Z39" s="12"/>
    </row>
    <row r="40" spans="1:26" ht="15.75" thickBo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37"/>
      <c r="Y40" s="12"/>
      <c r="Z40" s="12"/>
    </row>
    <row r="41" spans="1:26" ht="15.75" thickBo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37"/>
      <c r="Y41" s="12"/>
      <c r="Z41" s="12"/>
    </row>
    <row r="42" spans="1:26" ht="15.75" thickBo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37"/>
      <c r="Y42" s="12"/>
      <c r="Z42" s="12"/>
    </row>
    <row r="43" spans="1:26" ht="15.75" thickBo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37"/>
      <c r="Y43" s="12"/>
      <c r="Z43" s="12"/>
    </row>
    <row r="44" spans="1:26" ht="15.75" thickBo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37"/>
      <c r="Y44" s="12"/>
      <c r="Z44" s="12"/>
    </row>
    <row r="45" spans="1:26" ht="15.75" thickBo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37"/>
      <c r="Y45" s="12"/>
      <c r="Z45" s="12"/>
    </row>
    <row r="46" spans="1:26" ht="15.75" thickBo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37"/>
      <c r="Y46" s="12"/>
      <c r="Z46" s="12"/>
    </row>
    <row r="47" spans="1:26" ht="15.75" thickBo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37"/>
      <c r="Y47" s="12"/>
      <c r="Z47" s="12"/>
    </row>
    <row r="48" spans="1:26" ht="15.75" thickBo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37"/>
      <c r="Y48" s="12"/>
      <c r="Z48" s="12"/>
    </row>
    <row r="49" spans="1:26" ht="15.75" thickBo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37"/>
      <c r="Y49" s="12"/>
      <c r="Z49" s="12"/>
    </row>
    <row r="50" spans="1:26" ht="15.75" thickBo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37"/>
      <c r="Y50" s="12"/>
      <c r="Z50" s="12"/>
    </row>
    <row r="51" spans="1:26" ht="15.75" thickBo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37"/>
      <c r="Y51" s="12"/>
      <c r="Z51" s="12"/>
    </row>
    <row r="52" spans="1:26" ht="15.75" thickBo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37"/>
      <c r="Y52" s="12"/>
      <c r="Z52" s="12"/>
    </row>
    <row r="53" spans="1:26" ht="15.75" thickBo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37"/>
      <c r="Y53" s="12"/>
      <c r="Z53" s="12"/>
    </row>
    <row r="54" spans="1:26" ht="15.75" thickBo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37"/>
      <c r="Y54" s="12"/>
      <c r="Z54" s="12"/>
    </row>
    <row r="55" spans="1:26" ht="15.75" thickBo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37"/>
      <c r="Y55" s="12"/>
      <c r="Z55" s="12"/>
    </row>
    <row r="56" spans="1:26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37"/>
      <c r="Y56" s="12"/>
      <c r="Z56" s="12"/>
    </row>
    <row r="57" spans="1:26" ht="15.75" thickBo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37"/>
      <c r="Y57" s="12"/>
      <c r="Z57" s="12"/>
    </row>
    <row r="58" spans="1:26" ht="15.75" thickBo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37"/>
      <c r="Y58" s="12"/>
      <c r="Z58" s="12"/>
    </row>
    <row r="59" spans="1:26" ht="15.75" thickBo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37"/>
      <c r="Y59" s="12"/>
      <c r="Z59" s="12"/>
    </row>
    <row r="60" spans="1:26" ht="15.75" thickBo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37"/>
      <c r="Y60" s="12"/>
      <c r="Z60" s="12"/>
    </row>
    <row r="61" spans="1:26" ht="15.75" thickBo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37"/>
      <c r="Y61" s="12"/>
      <c r="Z61" s="12"/>
    </row>
    <row r="62" spans="1:26" ht="15.75" thickBo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37"/>
      <c r="Y62" s="12"/>
      <c r="Z62" s="12"/>
    </row>
    <row r="63" spans="1:26" ht="15.75" thickBo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37"/>
      <c r="Y63" s="12"/>
      <c r="Z63" s="12"/>
    </row>
    <row r="64" spans="1:26" ht="15.75" thickBo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37"/>
      <c r="Y64" s="12"/>
      <c r="Z64" s="12"/>
    </row>
    <row r="65" spans="1:26" ht="15.75" thickBo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37"/>
      <c r="Y65" s="12"/>
      <c r="Z65" s="12"/>
    </row>
    <row r="66" spans="1:26" ht="15.75" thickBo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37"/>
      <c r="Y66" s="12"/>
      <c r="Z66" s="12"/>
    </row>
    <row r="67" spans="1:26" ht="15.75" thickBo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37"/>
      <c r="Y67" s="12"/>
      <c r="Z67" s="12"/>
    </row>
    <row r="68" spans="1:26" ht="15.75" thickBo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37"/>
      <c r="Y68" s="12"/>
      <c r="Z68" s="12"/>
    </row>
    <row r="69" spans="1:26" ht="15.75" thickBo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37"/>
      <c r="Y69" s="12"/>
      <c r="Z69" s="12"/>
    </row>
    <row r="70" spans="1:26" ht="15.75" thickBo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37"/>
      <c r="Y70" s="12"/>
      <c r="Z70" s="12"/>
    </row>
    <row r="71" spans="1:26" ht="15.75" thickBo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37"/>
      <c r="Y71" s="12"/>
      <c r="Z71" s="12"/>
    </row>
    <row r="72" spans="1:26" ht="15.75" thickBo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37"/>
      <c r="Y72" s="12"/>
      <c r="Z72" s="12"/>
    </row>
    <row r="73" spans="1:26" ht="15.75" thickBo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37"/>
      <c r="Y73" s="12"/>
      <c r="Z73" s="12"/>
    </row>
    <row r="74" spans="1:26" ht="15.75" thickBo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37"/>
      <c r="Y74" s="12"/>
      <c r="Z74" s="12"/>
    </row>
    <row r="75" spans="1:26" ht="15.75" thickBo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37"/>
      <c r="Y75" s="12"/>
      <c r="Z75" s="12"/>
    </row>
    <row r="76" spans="1:26" ht="15.75" thickBo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37"/>
      <c r="Y76" s="12"/>
      <c r="Z76" s="12"/>
    </row>
    <row r="77" spans="1:26" ht="15.75" thickBo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37"/>
      <c r="Y77" s="12"/>
      <c r="Z77" s="12"/>
    </row>
    <row r="78" spans="1:26" ht="15.75" thickBo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37"/>
      <c r="Y78" s="12"/>
      <c r="Z78" s="12"/>
    </row>
    <row r="79" spans="1:26" ht="15.75" thickBo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37"/>
      <c r="Y79" s="12"/>
      <c r="Z79" s="12"/>
    </row>
    <row r="80" spans="1:26" ht="15.75" thickBo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37"/>
      <c r="Y80" s="12"/>
      <c r="Z80" s="12"/>
    </row>
    <row r="81" spans="1:26" ht="15.75" thickBo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37"/>
      <c r="Y81" s="12"/>
      <c r="Z81" s="12"/>
    </row>
    <row r="82" spans="1:26" ht="15.75" thickBo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37"/>
      <c r="Y82" s="12"/>
      <c r="Z82" s="12"/>
    </row>
    <row r="83" spans="1:26" ht="15.75" thickBo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37"/>
      <c r="Y83" s="12"/>
      <c r="Z83" s="12"/>
    </row>
    <row r="84" spans="1:26" ht="15.75" thickBo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37"/>
      <c r="Y84" s="12"/>
      <c r="Z84" s="12"/>
    </row>
    <row r="85" spans="1:26" ht="15.75" thickBo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37"/>
      <c r="Y85" s="12"/>
      <c r="Z85" s="12"/>
    </row>
    <row r="86" spans="1:26" ht="15.75" thickBo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37"/>
      <c r="Y86" s="12"/>
      <c r="Z86" s="12"/>
    </row>
    <row r="87" spans="1:26" ht="15.75" thickBo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37"/>
      <c r="Y87" s="12"/>
      <c r="Z87" s="12"/>
    </row>
    <row r="88" spans="1:26" ht="15.75" thickBo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37"/>
      <c r="Y88" s="12"/>
      <c r="Z88" s="12"/>
    </row>
    <row r="89" spans="1:26" ht="15.75" thickBo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37"/>
      <c r="Y89" s="12"/>
      <c r="Z89" s="12"/>
    </row>
    <row r="90" spans="1:26" ht="15.75" thickBo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37"/>
      <c r="Y90" s="12"/>
      <c r="Z90" s="12"/>
    </row>
    <row r="91" spans="1:26" ht="15.75" thickBo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37"/>
      <c r="Y91" s="12"/>
      <c r="Z91" s="12"/>
    </row>
    <row r="92" spans="1:26" ht="15.75" thickBo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37"/>
      <c r="Y92" s="12"/>
      <c r="Z92" s="12"/>
    </row>
    <row r="93" spans="1:26" ht="15.75" thickBo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37"/>
      <c r="Y93" s="12"/>
      <c r="Z93" s="12"/>
    </row>
    <row r="94" spans="1:26" ht="15.75" thickBo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37"/>
      <c r="Y94" s="12"/>
      <c r="Z94" s="12"/>
    </row>
    <row r="95" spans="1:26" ht="15.75" thickBo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37"/>
      <c r="Y95" s="12"/>
      <c r="Z95" s="12"/>
    </row>
    <row r="96" spans="1:26" ht="15.75" thickBo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37"/>
      <c r="Y96" s="12"/>
      <c r="Z96" s="12"/>
    </row>
    <row r="97" spans="1:26" ht="15.75" thickBo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37"/>
      <c r="Y97" s="12"/>
      <c r="Z97" s="12"/>
    </row>
    <row r="98" spans="1:26" ht="15.75" thickBo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37"/>
      <c r="Y98" s="12"/>
      <c r="Z98" s="12"/>
    </row>
    <row r="99" spans="1:26" ht="15.75" thickBo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37"/>
      <c r="Y99" s="12"/>
      <c r="Z99" s="12"/>
    </row>
    <row r="100" spans="1:26" ht="15.75" thickBo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37"/>
      <c r="Y100" s="12"/>
      <c r="Z100" s="12"/>
    </row>
    <row r="101" spans="1:26" ht="15.75" thickBo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37"/>
      <c r="Y101" s="12"/>
      <c r="Z101" s="12"/>
    </row>
    <row r="102" spans="1:26" ht="15.75" thickBo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37"/>
      <c r="Y102" s="12"/>
      <c r="Z102" s="12"/>
    </row>
    <row r="103" spans="1:26" ht="15.75" thickBo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37"/>
      <c r="Y103" s="12"/>
      <c r="Z103" s="12"/>
    </row>
    <row r="104" spans="1:26" ht="15.75" thickBo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37"/>
      <c r="Y104" s="12"/>
      <c r="Z104" s="12"/>
    </row>
    <row r="105" spans="1:26" ht="15.75" thickBo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37"/>
      <c r="Y105" s="12"/>
      <c r="Z105" s="12"/>
    </row>
    <row r="106" spans="1:26" ht="15.75" thickBo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37"/>
      <c r="Y106" s="12"/>
      <c r="Z106" s="12"/>
    </row>
    <row r="107" spans="1:26" ht="15.75" thickBo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37"/>
      <c r="Y107" s="12"/>
      <c r="Z107" s="12"/>
    </row>
    <row r="108" spans="1:26" ht="15.75" thickBo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37"/>
      <c r="Y108" s="12"/>
      <c r="Z108" s="12"/>
    </row>
    <row r="109" spans="1:26" ht="15.75" thickBo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37"/>
      <c r="Y109" s="12"/>
      <c r="Z109" s="12"/>
    </row>
    <row r="110" spans="1:26" ht="15.75" thickBo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37"/>
      <c r="Y110" s="12"/>
      <c r="Z110" s="12"/>
    </row>
    <row r="111" spans="1:26" ht="15.75" thickBo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37"/>
      <c r="Y111" s="12"/>
      <c r="Z111" s="12"/>
    </row>
    <row r="112" spans="1:26" ht="15.75" thickBo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37"/>
      <c r="Y112" s="12"/>
      <c r="Z112" s="12"/>
    </row>
    <row r="113" spans="1:26" ht="15.75" thickBo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37"/>
      <c r="Y113" s="12"/>
      <c r="Z113" s="12"/>
    </row>
    <row r="114" spans="1:26" ht="15.75" thickBo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37"/>
      <c r="Y114" s="12"/>
      <c r="Z114" s="12"/>
    </row>
    <row r="115" spans="1:26" ht="15.75" thickBo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37"/>
      <c r="Y115" s="12"/>
      <c r="Z115" s="12"/>
    </row>
    <row r="116" spans="1:26" ht="15.75" thickBo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37"/>
      <c r="Y116" s="12"/>
      <c r="Z116" s="12"/>
    </row>
    <row r="117" spans="1:26" ht="15.75" thickBo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37"/>
      <c r="Y117" s="12"/>
      <c r="Z117" s="12"/>
    </row>
    <row r="118" spans="1:26" ht="15.75" thickBo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37"/>
      <c r="Y118" s="12"/>
      <c r="Z118" s="12"/>
    </row>
    <row r="119" spans="1:26" ht="15.75" thickBo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37"/>
      <c r="Y119" s="12"/>
      <c r="Z119" s="12"/>
    </row>
    <row r="120" spans="1:26" ht="15.75" thickBo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37"/>
      <c r="Y120" s="12"/>
      <c r="Z120" s="12"/>
    </row>
    <row r="121" spans="1:26" ht="15.75" thickBo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37"/>
      <c r="Y121" s="12"/>
      <c r="Z121" s="12"/>
    </row>
    <row r="122" spans="1:26" ht="15.75" thickBo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37"/>
      <c r="Y122" s="12"/>
      <c r="Z122" s="12"/>
    </row>
    <row r="123" spans="1:26" ht="15.75" thickBo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37"/>
      <c r="Y123" s="12"/>
      <c r="Z123" s="12"/>
    </row>
    <row r="124" spans="1:26" ht="15.75" thickBo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37"/>
      <c r="Y124" s="12"/>
      <c r="Z124" s="12"/>
    </row>
    <row r="125" spans="1:26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37"/>
      <c r="Y125" s="12"/>
      <c r="Z125" s="12"/>
    </row>
    <row r="126" spans="1:26" ht="15.75" thickBo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37"/>
      <c r="Y126" s="12"/>
      <c r="Z126" s="12"/>
    </row>
    <row r="127" spans="1:26" ht="15.75" thickBo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37"/>
      <c r="Y127" s="12"/>
      <c r="Z127" s="12"/>
    </row>
    <row r="128" spans="1:26" ht="15.75" thickBo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37"/>
      <c r="Y128" s="12"/>
      <c r="Z128" s="12"/>
    </row>
    <row r="129" spans="1:26" ht="15.75" thickBo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37"/>
      <c r="Y129" s="12"/>
      <c r="Z129" s="12"/>
    </row>
    <row r="130" spans="1:26" ht="15.75" thickBo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37"/>
      <c r="Y130" s="12"/>
      <c r="Z130" s="12"/>
    </row>
    <row r="131" spans="1:26" ht="15.75" thickBo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37"/>
      <c r="Y131" s="12"/>
      <c r="Z131" s="12"/>
    </row>
    <row r="132" spans="1:26" ht="15.75" thickBo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37"/>
      <c r="Y132" s="12"/>
      <c r="Z132" s="12"/>
    </row>
    <row r="133" spans="1:26" ht="15.75" thickBo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37"/>
      <c r="Y133" s="12"/>
      <c r="Z133" s="12"/>
    </row>
    <row r="134" spans="1:26" ht="15.75" thickBo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37"/>
      <c r="Y134" s="12"/>
      <c r="Z134" s="12"/>
    </row>
    <row r="135" spans="1:26" ht="15.75" thickBo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37"/>
      <c r="Y135" s="12"/>
      <c r="Z135" s="12"/>
    </row>
    <row r="136" spans="1:26" ht="15.75" thickBo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37"/>
      <c r="Y136" s="12"/>
      <c r="Z136" s="12"/>
    </row>
    <row r="137" spans="1:26" ht="15.75" thickBo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37"/>
      <c r="Y137" s="12"/>
      <c r="Z137" s="12"/>
    </row>
    <row r="138" spans="1:26" ht="15.75" thickBo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37"/>
      <c r="Y138" s="12"/>
      <c r="Z138" s="12"/>
    </row>
    <row r="139" spans="1:26" ht="15.75" thickBo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37"/>
      <c r="Y139" s="12"/>
      <c r="Z139" s="12"/>
    </row>
    <row r="140" spans="1:26" ht="15.75" thickBo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37"/>
      <c r="Y140" s="12"/>
      <c r="Z140" s="12"/>
    </row>
    <row r="141" spans="1:26" ht="15.75" thickBo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37"/>
      <c r="Y141" s="12"/>
      <c r="Z141" s="12"/>
    </row>
    <row r="142" spans="1:26" ht="15.75" thickBo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37"/>
      <c r="Y142" s="12"/>
      <c r="Z142" s="12"/>
    </row>
    <row r="143" spans="1:26" ht="15.75" thickBo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37"/>
      <c r="Y143" s="12"/>
      <c r="Z143" s="12"/>
    </row>
    <row r="144" spans="1:26" ht="15.75" thickBo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37"/>
      <c r="Y144" s="12"/>
      <c r="Z144" s="12"/>
    </row>
    <row r="145" spans="1:26" ht="15.75" thickBo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37"/>
      <c r="Y145" s="12"/>
      <c r="Z145" s="12"/>
    </row>
    <row r="146" spans="1:26" ht="15.75" thickBo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37"/>
      <c r="Y146" s="12"/>
      <c r="Z146" s="12"/>
    </row>
    <row r="147" spans="1:26" ht="15.75" thickBo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37"/>
      <c r="Y147" s="12"/>
      <c r="Z147" s="12"/>
    </row>
    <row r="148" spans="1:26" ht="15.75" thickBo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37"/>
      <c r="Y148" s="12"/>
      <c r="Z148" s="12"/>
    </row>
    <row r="149" spans="1:26" ht="15.75" thickBo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37"/>
      <c r="Y149" s="12"/>
      <c r="Z149" s="12"/>
    </row>
    <row r="150" spans="1:26" ht="15.75" thickBo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37"/>
      <c r="Y150" s="12"/>
      <c r="Z150" s="12"/>
    </row>
    <row r="151" spans="1:26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37"/>
      <c r="Y151" s="12"/>
      <c r="Z151" s="12"/>
    </row>
    <row r="152" spans="1:26" ht="15.75" thickBo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37"/>
      <c r="Y152" s="12"/>
      <c r="Z152" s="12"/>
    </row>
    <row r="153" spans="1:26" ht="15.75" thickBo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37"/>
      <c r="Y153" s="12"/>
      <c r="Z153" s="12"/>
    </row>
    <row r="154" spans="1:26" ht="15.75" thickBo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37"/>
      <c r="Y154" s="12"/>
      <c r="Z154" s="12"/>
    </row>
    <row r="155" spans="1:26" ht="15.75" thickBo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37"/>
      <c r="Y155" s="12"/>
      <c r="Z155" s="12"/>
    </row>
    <row r="156" spans="1:26" ht="15.75" thickBo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37"/>
      <c r="Y156" s="12"/>
      <c r="Z156" s="12"/>
    </row>
    <row r="157" spans="1:26" ht="15.75" thickBo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37"/>
      <c r="Y157" s="12"/>
      <c r="Z157" s="12"/>
    </row>
    <row r="158" spans="1:26" ht="15.75" thickBo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37"/>
      <c r="Y158" s="12"/>
      <c r="Z158" s="12"/>
    </row>
    <row r="159" spans="1:26" ht="15.75" thickBo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37"/>
      <c r="Y159" s="12"/>
      <c r="Z159" s="12"/>
    </row>
    <row r="160" spans="1:26" ht="15.75" thickBo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37"/>
      <c r="Y160" s="12"/>
      <c r="Z160" s="12"/>
    </row>
    <row r="161" spans="1:26" ht="15.75" thickBo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37"/>
      <c r="Y161" s="12"/>
      <c r="Z161" s="12"/>
    </row>
    <row r="162" spans="1:26" ht="15.75" thickBo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37"/>
      <c r="Y162" s="12"/>
      <c r="Z162" s="12"/>
    </row>
    <row r="163" spans="1:26" ht="15.75" thickBo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37"/>
      <c r="Y163" s="12"/>
      <c r="Z163" s="12"/>
    </row>
    <row r="164" spans="1:26" ht="15.75" thickBo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37"/>
      <c r="Y164" s="12"/>
      <c r="Z164" s="12"/>
    </row>
    <row r="165" spans="1:26" ht="15.75" thickBo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37"/>
      <c r="Y165" s="12"/>
      <c r="Z165" s="12"/>
    </row>
    <row r="166" spans="1:26" ht="15.75" thickBo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37"/>
      <c r="Y166" s="12"/>
      <c r="Z166" s="12"/>
    </row>
    <row r="167" spans="1:26" ht="15.75" thickBo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37"/>
      <c r="Y167" s="12"/>
      <c r="Z167" s="12"/>
    </row>
    <row r="168" spans="1:26" ht="15.75" thickBo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37"/>
      <c r="Y168" s="12"/>
      <c r="Z168" s="12"/>
    </row>
    <row r="169" spans="1:26" ht="15.75" thickBo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37"/>
      <c r="Y169" s="12"/>
      <c r="Z169" s="12"/>
    </row>
    <row r="170" spans="1:26" ht="15.75" thickBo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37"/>
      <c r="Y170" s="12"/>
      <c r="Z170" s="12"/>
    </row>
    <row r="171" spans="1:26" ht="15.75" thickBo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37"/>
      <c r="Y171" s="12"/>
      <c r="Z171" s="12"/>
    </row>
    <row r="172" spans="1:26" ht="15.75" thickBo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37"/>
      <c r="Y172" s="12"/>
      <c r="Z172" s="12"/>
    </row>
    <row r="173" spans="1:26" ht="15.75" thickBo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37"/>
      <c r="Y173" s="12"/>
      <c r="Z173" s="12"/>
    </row>
    <row r="174" spans="1:26" ht="15.75" thickBo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37"/>
      <c r="Y174" s="12"/>
      <c r="Z174" s="12"/>
    </row>
    <row r="175" spans="1:26" ht="15.75" thickBo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37"/>
      <c r="Y175" s="12"/>
      <c r="Z175" s="12"/>
    </row>
    <row r="176" spans="1:26" ht="15.75" thickBo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37"/>
      <c r="Y176" s="12"/>
      <c r="Z176" s="12"/>
    </row>
    <row r="177" spans="1:26" ht="15.75" thickBo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37"/>
      <c r="Y177" s="12"/>
      <c r="Z177" s="12"/>
    </row>
    <row r="178" spans="1:26" ht="15.75" thickBo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37"/>
      <c r="Y178" s="12"/>
      <c r="Z178" s="12"/>
    </row>
    <row r="179" spans="1:26" ht="15.75" thickBo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37"/>
      <c r="Y179" s="12"/>
      <c r="Z179" s="12"/>
    </row>
    <row r="180" spans="1:26" ht="15.75" thickBo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37"/>
      <c r="Y180" s="12"/>
      <c r="Z180" s="12"/>
    </row>
    <row r="181" spans="1:26" ht="15.75" thickBo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37"/>
      <c r="Y181" s="12"/>
      <c r="Z181" s="12"/>
    </row>
    <row r="182" spans="1:26" ht="15.75" thickBo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37"/>
      <c r="Y182" s="12"/>
      <c r="Z182" s="12"/>
    </row>
    <row r="183" spans="1:26" ht="15.75" thickBo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37"/>
      <c r="Y183" s="12"/>
      <c r="Z183" s="12"/>
    </row>
    <row r="184" spans="1:26" ht="15.75" thickBo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37"/>
      <c r="Y184" s="12"/>
      <c r="Z184" s="12"/>
    </row>
    <row r="185" spans="1:26" ht="15.75" thickBo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37"/>
      <c r="Y185" s="12"/>
      <c r="Z185" s="12"/>
    </row>
    <row r="186" spans="1:26" ht="15.75" thickBo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37"/>
      <c r="Y186" s="12"/>
      <c r="Z186" s="12"/>
    </row>
    <row r="187" spans="1:26" ht="15.75" thickBo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37"/>
      <c r="Y187" s="12"/>
      <c r="Z187" s="12"/>
    </row>
    <row r="188" spans="1:26" ht="15.75" thickBo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37"/>
      <c r="Y188" s="12"/>
      <c r="Z188" s="12"/>
    </row>
    <row r="189" spans="1:26" ht="15.75" thickBo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37"/>
      <c r="Y189" s="12"/>
      <c r="Z189" s="12"/>
    </row>
    <row r="190" spans="1:26" ht="15.75" thickBo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37"/>
      <c r="Y190" s="12"/>
      <c r="Z190" s="12"/>
    </row>
    <row r="191" spans="1:26" ht="15.75" thickBo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37"/>
      <c r="Y191" s="12"/>
      <c r="Z191" s="12"/>
    </row>
    <row r="192" spans="1:26" ht="15.75" thickBo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37"/>
      <c r="Y192" s="12"/>
      <c r="Z192" s="12"/>
    </row>
    <row r="193" spans="1:26" ht="15.75" thickBo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37"/>
      <c r="Y193" s="12"/>
      <c r="Z193" s="12"/>
    </row>
    <row r="194" spans="1:26" ht="15.75" thickBo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37"/>
      <c r="Y194" s="12"/>
      <c r="Z194" s="12"/>
    </row>
    <row r="195" spans="1:26" ht="15.75" thickBo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37"/>
      <c r="Y195" s="12"/>
      <c r="Z195" s="12"/>
    </row>
    <row r="196" spans="1:26" ht="15.75" thickBo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37"/>
      <c r="Y196" s="12"/>
      <c r="Z196" s="12"/>
    </row>
    <row r="197" spans="1:26" ht="15.75" thickBo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37"/>
      <c r="Y197" s="12"/>
      <c r="Z197" s="12"/>
    </row>
    <row r="198" spans="1:26" ht="15.75" thickBo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37"/>
      <c r="Y198" s="12"/>
      <c r="Z198" s="12"/>
    </row>
    <row r="199" spans="1:26" ht="15.75" thickBo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37"/>
      <c r="Y199" s="12"/>
      <c r="Z199" s="12"/>
    </row>
    <row r="200" spans="1:26" ht="15.75" thickBo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37"/>
      <c r="Y200" s="12"/>
      <c r="Z200" s="12"/>
    </row>
    <row r="201" spans="1:26" ht="15.75" thickBo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37"/>
      <c r="Y201" s="12"/>
      <c r="Z201" s="12"/>
    </row>
    <row r="202" spans="1:26" ht="15.75" thickBo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37"/>
      <c r="Y202" s="12"/>
      <c r="Z202" s="12"/>
    </row>
    <row r="203" spans="1:26" ht="15.75" thickBo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37"/>
      <c r="Y203" s="12"/>
      <c r="Z203" s="12"/>
    </row>
    <row r="204" spans="1:26" ht="15.75" thickBo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37"/>
      <c r="Y204" s="12"/>
      <c r="Z204" s="12"/>
    </row>
    <row r="205" spans="1:26" ht="15.75" thickBo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37"/>
      <c r="Y205" s="12"/>
      <c r="Z205" s="12"/>
    </row>
    <row r="206" spans="1:26" ht="15.75" thickBo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37"/>
      <c r="Y206" s="12"/>
      <c r="Z206" s="12"/>
    </row>
    <row r="207" spans="1:26" ht="15.75" thickBo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37"/>
      <c r="Y207" s="12"/>
      <c r="Z207" s="12"/>
    </row>
    <row r="208" spans="1:26" ht="15.75" thickBo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37"/>
      <c r="Y208" s="12"/>
      <c r="Z208" s="12"/>
    </row>
    <row r="209" spans="1:26" ht="15.75" thickBo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37"/>
      <c r="Y209" s="12"/>
      <c r="Z209" s="12"/>
    </row>
    <row r="210" spans="1:26" ht="15.75" thickBo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37"/>
      <c r="Y210" s="12"/>
      <c r="Z210" s="12"/>
    </row>
    <row r="211" spans="1:26" ht="15.75" thickBo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37"/>
      <c r="Y211" s="12"/>
      <c r="Z211" s="12"/>
    </row>
    <row r="212" spans="1:26" ht="15.75" thickBo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37"/>
      <c r="Y212" s="12"/>
      <c r="Z212" s="12"/>
    </row>
    <row r="213" spans="1:26" ht="15.75" thickBo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37"/>
      <c r="Y213" s="12"/>
      <c r="Z213" s="12"/>
    </row>
    <row r="214" spans="1:26" ht="15.75" thickBo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37"/>
      <c r="Y214" s="12"/>
      <c r="Z214" s="12"/>
    </row>
    <row r="215" spans="1:26" ht="15.75" thickBo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37"/>
      <c r="Y215" s="12"/>
      <c r="Z215" s="12"/>
    </row>
    <row r="216" spans="1:26" ht="15.75" thickBo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37"/>
      <c r="Y216" s="12"/>
      <c r="Z216" s="12"/>
    </row>
    <row r="217" spans="1:26" ht="15.75" thickBo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37"/>
      <c r="Y217" s="12"/>
      <c r="Z217" s="12"/>
    </row>
    <row r="218" spans="1:26" ht="15.75" thickBo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37"/>
      <c r="Y218" s="12"/>
      <c r="Z218" s="12"/>
    </row>
    <row r="219" spans="1:26" ht="15.75" thickBo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37"/>
      <c r="Y219" s="12"/>
      <c r="Z219" s="12"/>
    </row>
    <row r="220" spans="1:26" ht="15.75" thickBo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37"/>
      <c r="Y220" s="12"/>
      <c r="Z220" s="12"/>
    </row>
    <row r="221" spans="1:26" ht="15.75" thickBo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37"/>
      <c r="Y221" s="12"/>
      <c r="Z221" s="12"/>
    </row>
    <row r="222" spans="1:26" ht="15.75" thickBo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37"/>
      <c r="Y222" s="12"/>
      <c r="Z222" s="12"/>
    </row>
    <row r="223" spans="1:26" ht="15.75" thickBo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37"/>
      <c r="Y223" s="12"/>
      <c r="Z223" s="12"/>
    </row>
    <row r="224" spans="1:26" ht="15.75" thickBo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37"/>
      <c r="Y224" s="12"/>
      <c r="Z224" s="12"/>
    </row>
    <row r="225" spans="1:26" ht="15.75" thickBo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37"/>
      <c r="Y225" s="12"/>
      <c r="Z225" s="12"/>
    </row>
    <row r="226" spans="1:26" ht="15.75" thickBo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37"/>
      <c r="Y226" s="12"/>
      <c r="Z226" s="12"/>
    </row>
    <row r="227" spans="1:26" ht="15.75" thickBo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37"/>
      <c r="Y227" s="12"/>
      <c r="Z227" s="12"/>
    </row>
    <row r="228" spans="1:26" ht="15.75" thickBo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37"/>
      <c r="Y228" s="12"/>
      <c r="Z228" s="12"/>
    </row>
    <row r="229" spans="1:26" ht="15.75" thickBo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37"/>
      <c r="Y229" s="12"/>
      <c r="Z229" s="12"/>
    </row>
    <row r="230" spans="1:26" ht="15.75" thickBo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37"/>
      <c r="Y230" s="12"/>
      <c r="Z230" s="12"/>
    </row>
    <row r="231" spans="1:26" ht="15.75" thickBo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37"/>
      <c r="Y231" s="12"/>
      <c r="Z231" s="12"/>
    </row>
    <row r="232" spans="1:26" ht="15.75" thickBo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37"/>
      <c r="Y232" s="12"/>
      <c r="Z232" s="12"/>
    </row>
    <row r="233" spans="1:26" ht="15.75" thickBo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37"/>
      <c r="Y233" s="12"/>
      <c r="Z233" s="12"/>
    </row>
    <row r="234" spans="1:26" ht="15.75" thickBo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37"/>
      <c r="Y234" s="12"/>
      <c r="Z234" s="12"/>
    </row>
    <row r="235" spans="1:26" ht="15.75" thickBo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37"/>
      <c r="Y235" s="12"/>
      <c r="Z235" s="12"/>
    </row>
    <row r="236" spans="1:26" ht="15.75" thickBo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37"/>
      <c r="Y236" s="12"/>
      <c r="Z236" s="12"/>
    </row>
    <row r="237" spans="1:26" ht="15.75" thickBo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37"/>
      <c r="Y237" s="12"/>
      <c r="Z237" s="12"/>
    </row>
    <row r="238" spans="1:26" ht="15.75" thickBo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37"/>
      <c r="Y238" s="12"/>
      <c r="Z238" s="12"/>
    </row>
    <row r="239" spans="1:26" ht="15.75" thickBo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37"/>
      <c r="Y239" s="12"/>
      <c r="Z239" s="12"/>
    </row>
    <row r="240" spans="1:26" ht="15.75" thickBo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37"/>
      <c r="Y240" s="12"/>
      <c r="Z240" s="12"/>
    </row>
    <row r="241" spans="1:26" ht="15.75" thickBo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37"/>
      <c r="Y241" s="12"/>
      <c r="Z241" s="12"/>
    </row>
    <row r="242" spans="1:26" ht="15.75" thickBo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37"/>
      <c r="Y242" s="12"/>
      <c r="Z242" s="12"/>
    </row>
    <row r="243" spans="1:26" ht="15.75" thickBo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37"/>
      <c r="Y243" s="12"/>
      <c r="Z243" s="12"/>
    </row>
    <row r="244" spans="1:26" ht="15.75" thickBo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37"/>
      <c r="Y244" s="12"/>
      <c r="Z244" s="12"/>
    </row>
    <row r="245" spans="1:26" ht="15.75" thickBo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37"/>
      <c r="Y245" s="12"/>
      <c r="Z245" s="12"/>
    </row>
    <row r="246" spans="1:26" ht="15.75" thickBo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37"/>
      <c r="Y246" s="12"/>
      <c r="Z246" s="12"/>
    </row>
    <row r="247" spans="1:26" ht="15.75" thickBo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37"/>
      <c r="Y247" s="12"/>
      <c r="Z247" s="12"/>
    </row>
    <row r="248" spans="1:26" ht="15.75" thickBo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37"/>
      <c r="Y248" s="12"/>
      <c r="Z248" s="12"/>
    </row>
    <row r="249" spans="1:26" ht="15.75" thickBo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37"/>
      <c r="Y249" s="12"/>
      <c r="Z249" s="12"/>
    </row>
    <row r="250" spans="1:26" ht="15.75" thickBo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37"/>
      <c r="Y250" s="12"/>
      <c r="Z250" s="12"/>
    </row>
    <row r="251" spans="1:26" ht="15.75" thickBo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37"/>
      <c r="Y251" s="12"/>
      <c r="Z251" s="12"/>
    </row>
    <row r="252" spans="1:26" ht="15.75" thickBo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37"/>
      <c r="Y252" s="12"/>
      <c r="Z252" s="12"/>
    </row>
    <row r="253" spans="1:26" ht="15.75" thickBo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37"/>
      <c r="Y253" s="12"/>
      <c r="Z253" s="12"/>
    </row>
    <row r="254" spans="1:26" ht="15.75" thickBo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37"/>
      <c r="Y254" s="12"/>
      <c r="Z254" s="12"/>
    </row>
    <row r="255" spans="1:26" ht="15.75" thickBo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37"/>
      <c r="Y255" s="12"/>
      <c r="Z255" s="12"/>
    </row>
    <row r="256" spans="1:26" ht="15.75" thickBo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37"/>
      <c r="Y256" s="12"/>
      <c r="Z256" s="12"/>
    </row>
    <row r="257" spans="1:26" ht="15.75" thickBo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37"/>
      <c r="Y257" s="12"/>
      <c r="Z257" s="12"/>
    </row>
    <row r="258" spans="1:26" ht="15.75" thickBo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37"/>
      <c r="Y258" s="12"/>
      <c r="Z258" s="12"/>
    </row>
    <row r="259" spans="1:26" ht="15.75" thickBo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37"/>
      <c r="Y259" s="12"/>
      <c r="Z259" s="12"/>
    </row>
    <row r="260" spans="1:26" ht="15.75" thickBo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37"/>
      <c r="Y260" s="12"/>
      <c r="Z260" s="12"/>
    </row>
    <row r="261" spans="1:26" ht="15.75" thickBo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37"/>
      <c r="Y261" s="12"/>
      <c r="Z261" s="12"/>
    </row>
    <row r="262" spans="1:26" ht="15.75" thickBo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37"/>
      <c r="Y262" s="12"/>
      <c r="Z262" s="12"/>
    </row>
    <row r="263" spans="1:26" ht="15.75" thickBo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37"/>
      <c r="Y263" s="12"/>
      <c r="Z263" s="12"/>
    </row>
    <row r="264" spans="1:26" ht="15.75" thickBo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37"/>
      <c r="Y264" s="12"/>
      <c r="Z264" s="12"/>
    </row>
    <row r="265" spans="1:26" ht="15.75" thickBo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37"/>
      <c r="Y265" s="12"/>
      <c r="Z265" s="12"/>
    </row>
    <row r="266" spans="1:26" ht="15.75" thickBo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37"/>
      <c r="Y266" s="12"/>
      <c r="Z266" s="12"/>
    </row>
    <row r="267" spans="1:26" ht="15.75" thickBo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37"/>
      <c r="Y267" s="12"/>
      <c r="Z267" s="12"/>
    </row>
    <row r="268" spans="1:26" ht="15.75" thickBo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37"/>
      <c r="Y268" s="12"/>
      <c r="Z268" s="12"/>
    </row>
    <row r="269" spans="1:26" ht="15.75" thickBo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37"/>
      <c r="Y269" s="12"/>
      <c r="Z269" s="12"/>
    </row>
    <row r="270" spans="1:26" ht="15.75" thickBo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37"/>
      <c r="Y270" s="12"/>
      <c r="Z270" s="12"/>
    </row>
    <row r="271" spans="1:26" ht="15.75" thickBo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37"/>
      <c r="Y271" s="12"/>
      <c r="Z271" s="12"/>
    </row>
    <row r="272" spans="1:26" ht="15.75" thickBo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37"/>
      <c r="Y272" s="12"/>
      <c r="Z272" s="12"/>
    </row>
    <row r="273" spans="1:26" ht="15.75" thickBo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37"/>
      <c r="Y273" s="12"/>
      <c r="Z273" s="12"/>
    </row>
    <row r="274" spans="1:26" ht="15.75" thickBo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37"/>
      <c r="Y274" s="12"/>
      <c r="Z274" s="12"/>
    </row>
    <row r="275" spans="1:26" ht="15.75" thickBo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37"/>
      <c r="Y275" s="12"/>
      <c r="Z275" s="12"/>
    </row>
    <row r="276" spans="1:26" ht="15.75" thickBo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37"/>
      <c r="Y276" s="12"/>
      <c r="Z276" s="12"/>
    </row>
    <row r="277" spans="1:26" ht="15.75" thickBo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37"/>
      <c r="Y277" s="12"/>
      <c r="Z277" s="12"/>
    </row>
    <row r="278" spans="1:26" ht="15.75" thickBo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37"/>
      <c r="Y278" s="12"/>
      <c r="Z278" s="12"/>
    </row>
    <row r="279" spans="1:26" ht="15.75" thickBo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37"/>
      <c r="Y279" s="12"/>
      <c r="Z279" s="12"/>
    </row>
    <row r="280" spans="1:26" ht="15.75" thickBo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37"/>
      <c r="Y280" s="12"/>
      <c r="Z280" s="12"/>
    </row>
    <row r="281" spans="1:26" ht="15.75" thickBo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37"/>
      <c r="Y281" s="12"/>
      <c r="Z281" s="12"/>
    </row>
    <row r="282" spans="1:26" ht="15.75" thickBo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37"/>
      <c r="Y282" s="12"/>
      <c r="Z282" s="12"/>
    </row>
    <row r="283" spans="1:26" ht="15.75" thickBo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37"/>
      <c r="Y283" s="12"/>
      <c r="Z283" s="12"/>
    </row>
    <row r="284" spans="1:26" ht="15.75" thickBo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37"/>
      <c r="Y284" s="12"/>
      <c r="Z284" s="12"/>
    </row>
    <row r="285" spans="1:26" ht="15.75" thickBo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37"/>
      <c r="Y285" s="12"/>
      <c r="Z285" s="12"/>
    </row>
    <row r="286" spans="1:26" ht="15.75" thickBo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37"/>
      <c r="Y286" s="12"/>
      <c r="Z286" s="12"/>
    </row>
    <row r="287" spans="1:26" ht="15.75" thickBo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37"/>
      <c r="Y287" s="12"/>
      <c r="Z287" s="12"/>
    </row>
    <row r="288" spans="1:26" ht="15.75" thickBo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37"/>
      <c r="Y288" s="12"/>
      <c r="Z288" s="12"/>
    </row>
    <row r="289" spans="1:26" ht="15.75" thickBo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37"/>
      <c r="Y289" s="12"/>
      <c r="Z289" s="12"/>
    </row>
    <row r="290" spans="1:26" ht="15.75" thickBo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37"/>
      <c r="Y290" s="12"/>
      <c r="Z290" s="12"/>
    </row>
    <row r="291" spans="1:26" ht="15.75" thickBo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37"/>
      <c r="Y291" s="12"/>
      <c r="Z291" s="12"/>
    </row>
    <row r="292" spans="1:26" ht="15.75" thickBo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37"/>
      <c r="Y292" s="12"/>
      <c r="Z292" s="12"/>
    </row>
    <row r="293" spans="1:26" ht="15.75" thickBo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37"/>
      <c r="Y293" s="12"/>
      <c r="Z293" s="12"/>
    </row>
    <row r="294" spans="1:26" ht="15.75" thickBo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37"/>
      <c r="Y294" s="12"/>
      <c r="Z294" s="12"/>
    </row>
    <row r="295" spans="1:26" ht="15.75" thickBo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37"/>
      <c r="Y295" s="12"/>
      <c r="Z295" s="12"/>
    </row>
    <row r="296" spans="1:26" ht="15.75" thickBo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37"/>
      <c r="Y296" s="12"/>
      <c r="Z296" s="12"/>
    </row>
    <row r="297" spans="1:26" ht="15.75" thickBo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37"/>
      <c r="Y297" s="12"/>
      <c r="Z297" s="12"/>
    </row>
    <row r="298" spans="1:26" ht="15.75" thickBo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37"/>
      <c r="Y298" s="12"/>
      <c r="Z298" s="12"/>
    </row>
    <row r="299" spans="1:26" ht="15.75" thickBo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37"/>
      <c r="Y299" s="12"/>
      <c r="Z299" s="12"/>
    </row>
    <row r="300" spans="1:26" ht="15.75" thickBo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37"/>
      <c r="Y300" s="12"/>
      <c r="Z300" s="12"/>
    </row>
    <row r="301" spans="1:26" ht="15.75" thickBo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37"/>
      <c r="Y301" s="12"/>
      <c r="Z301" s="12"/>
    </row>
    <row r="302" spans="1:26" ht="15.75" thickBo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37"/>
      <c r="Y302" s="12"/>
      <c r="Z302" s="12"/>
    </row>
    <row r="303" spans="1:26" ht="15.75" thickBo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37"/>
      <c r="Y303" s="12"/>
      <c r="Z303" s="12"/>
    </row>
    <row r="304" spans="1:26" ht="15.75" thickBo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37"/>
      <c r="Y304" s="12"/>
      <c r="Z304" s="12"/>
    </row>
    <row r="305" spans="1:26" ht="15.75" thickBo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37"/>
      <c r="Y305" s="12"/>
      <c r="Z305" s="12"/>
    </row>
    <row r="306" spans="1:26" ht="15.75" thickBo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37"/>
      <c r="Y306" s="12"/>
      <c r="Z306" s="12"/>
    </row>
    <row r="307" spans="1:26" ht="15.75" thickBo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37"/>
      <c r="Y307" s="12"/>
      <c r="Z307" s="12"/>
    </row>
    <row r="308" spans="1:26" ht="15.75" thickBo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37"/>
      <c r="Y308" s="12"/>
      <c r="Z308" s="12"/>
    </row>
    <row r="309" spans="1:26" ht="15.75" thickBo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37"/>
      <c r="Y309" s="12"/>
      <c r="Z309" s="12"/>
    </row>
    <row r="310" spans="1:26" ht="15.75" thickBo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37"/>
      <c r="Y310" s="12"/>
      <c r="Z310" s="12"/>
    </row>
    <row r="311" spans="1:26" ht="15.75" thickBo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37"/>
      <c r="Y311" s="12"/>
      <c r="Z311" s="12"/>
    </row>
    <row r="312" spans="1:26" ht="15.75" thickBo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37"/>
      <c r="Y312" s="12"/>
      <c r="Z312" s="12"/>
    </row>
    <row r="313" spans="1:26" ht="15.75" thickBo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37"/>
      <c r="Y313" s="12"/>
      <c r="Z313" s="12"/>
    </row>
    <row r="314" spans="1:26" ht="15.75" thickBo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37"/>
      <c r="Y314" s="12"/>
      <c r="Z314" s="12"/>
    </row>
    <row r="315" spans="1:26" ht="15.75" thickBo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37"/>
      <c r="Y315" s="12"/>
      <c r="Z315" s="12"/>
    </row>
    <row r="316" spans="1:26" ht="15.75" thickBo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37"/>
      <c r="Y316" s="12"/>
      <c r="Z316" s="12"/>
    </row>
    <row r="317" spans="1:26" ht="15.75" thickBo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37"/>
      <c r="Y317" s="12"/>
      <c r="Z317" s="12"/>
    </row>
    <row r="318" spans="1:26" ht="15.75" thickBo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37"/>
      <c r="Y318" s="12"/>
      <c r="Z318" s="12"/>
    </row>
    <row r="319" spans="1:26" ht="15.75" thickBo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37"/>
      <c r="Y319" s="12"/>
      <c r="Z319" s="12"/>
    </row>
    <row r="320" spans="1:26" ht="15.75" thickBo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37"/>
      <c r="Y320" s="12"/>
      <c r="Z320" s="12"/>
    </row>
    <row r="321" spans="1:26" ht="15.75" thickBo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37"/>
      <c r="Y321" s="12"/>
      <c r="Z321" s="12"/>
    </row>
    <row r="322" spans="1:26" ht="15.75" thickBo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37"/>
      <c r="Y322" s="12"/>
      <c r="Z322" s="12"/>
    </row>
    <row r="323" spans="1:26" ht="15.75" thickBo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37"/>
      <c r="Y323" s="12"/>
      <c r="Z323" s="12"/>
    </row>
    <row r="324" spans="1:26" ht="15.75" thickBo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37"/>
      <c r="Y324" s="12"/>
      <c r="Z324" s="12"/>
    </row>
    <row r="325" spans="1:26" ht="15.75" thickBo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37"/>
      <c r="Y325" s="12"/>
      <c r="Z325" s="12"/>
    </row>
    <row r="326" spans="1:26" ht="15.75" thickBo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37"/>
      <c r="Y326" s="12"/>
      <c r="Z326" s="12"/>
    </row>
    <row r="327" spans="1:26" ht="15.75" thickBo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37"/>
      <c r="Y327" s="12"/>
      <c r="Z327" s="12"/>
    </row>
    <row r="328" spans="1:26" ht="15.75" thickBo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37"/>
      <c r="Y328" s="12"/>
      <c r="Z328" s="12"/>
    </row>
    <row r="329" spans="1:26" ht="15.75" thickBo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37"/>
      <c r="Y329" s="12"/>
      <c r="Z329" s="12"/>
    </row>
    <row r="330" spans="1:26" ht="15.75" thickBo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37"/>
      <c r="Y330" s="12"/>
      <c r="Z330" s="12"/>
    </row>
    <row r="331" spans="1:26" ht="15.75" thickBo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37"/>
      <c r="Y331" s="12"/>
      <c r="Z331" s="12"/>
    </row>
    <row r="332" spans="1:26" ht="15.75" thickBo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37"/>
      <c r="Y332" s="12"/>
      <c r="Z332" s="12"/>
    </row>
    <row r="333" spans="1:26" ht="15.75" thickBo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37"/>
      <c r="Y333" s="12"/>
      <c r="Z333" s="12"/>
    </row>
    <row r="334" spans="1:26" ht="15.75" thickBo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37"/>
      <c r="Y334" s="12"/>
      <c r="Z334" s="12"/>
    </row>
    <row r="335" spans="1:26" ht="15.75" thickBo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37"/>
      <c r="Y335" s="12"/>
      <c r="Z335" s="12"/>
    </row>
    <row r="336" spans="1:26" ht="15.75" thickBo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37"/>
      <c r="Y336" s="12"/>
      <c r="Z336" s="12"/>
    </row>
    <row r="337" spans="1:26" ht="15.75" thickBo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37"/>
      <c r="Y337" s="12"/>
      <c r="Z337" s="12"/>
    </row>
    <row r="338" spans="1:26" ht="15.75" thickBo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37"/>
      <c r="Y338" s="12"/>
      <c r="Z338" s="12"/>
    </row>
    <row r="339" spans="1:26" ht="15.75" thickBo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37"/>
      <c r="Y339" s="12"/>
      <c r="Z339" s="12"/>
    </row>
    <row r="340" spans="1:26" ht="15.75" thickBo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37"/>
      <c r="Y340" s="12"/>
      <c r="Z340" s="12"/>
    </row>
    <row r="341" spans="1:26" ht="15.75" thickBo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37"/>
      <c r="Y341" s="12"/>
      <c r="Z341" s="12"/>
    </row>
    <row r="342" spans="1:26" ht="15.75" thickBo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37"/>
      <c r="Y342" s="12"/>
      <c r="Z342" s="12"/>
    </row>
    <row r="343" spans="1:26" ht="15.75" thickBo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37"/>
      <c r="Y343" s="12"/>
      <c r="Z343" s="12"/>
    </row>
    <row r="344" spans="1:26" ht="15.75" thickBo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37"/>
      <c r="Y344" s="12"/>
      <c r="Z344" s="12"/>
    </row>
    <row r="345" spans="1:26" ht="15.75" thickBo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37"/>
      <c r="Y345" s="12"/>
      <c r="Z345" s="12"/>
    </row>
    <row r="346" spans="1:26" ht="15.75" thickBo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37"/>
      <c r="Y346" s="12"/>
      <c r="Z346" s="12"/>
    </row>
    <row r="347" spans="1:26" ht="15.75" thickBo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37"/>
      <c r="Y347" s="12"/>
      <c r="Z347" s="12"/>
    </row>
    <row r="348" spans="1:26" ht="15.75" thickBo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37"/>
      <c r="Y348" s="12"/>
      <c r="Z348" s="12"/>
    </row>
    <row r="349" spans="1:26" ht="15.75" thickBo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37"/>
      <c r="Y349" s="12"/>
      <c r="Z349" s="12"/>
    </row>
    <row r="350" spans="1:26" ht="15.75" thickBo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37"/>
      <c r="Y350" s="12"/>
      <c r="Z350" s="12"/>
    </row>
    <row r="351" spans="1:26" ht="15.75" thickBo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37"/>
      <c r="Y351" s="12"/>
      <c r="Z351" s="12"/>
    </row>
    <row r="352" spans="1:26" ht="15.75" thickBo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37"/>
      <c r="Y352" s="12"/>
      <c r="Z352" s="12"/>
    </row>
    <row r="353" spans="1:26" ht="15.75" thickBo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37"/>
      <c r="Y353" s="12"/>
      <c r="Z353" s="12"/>
    </row>
    <row r="354" spans="1:26" ht="15.75" thickBo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37"/>
      <c r="Y354" s="12"/>
      <c r="Z354" s="12"/>
    </row>
    <row r="355" spans="1:26" ht="15.75" thickBo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37"/>
      <c r="Y355" s="12"/>
      <c r="Z355" s="12"/>
    </row>
    <row r="356" spans="1:26" ht="15.75" thickBo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37"/>
      <c r="Y356" s="12"/>
      <c r="Z356" s="12"/>
    </row>
    <row r="357" spans="1:26" ht="15.75" thickBo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37"/>
      <c r="Y357" s="12"/>
      <c r="Z357" s="12"/>
    </row>
    <row r="358" spans="1:26" ht="15.75" thickBo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37"/>
      <c r="Y358" s="12"/>
      <c r="Z358" s="12"/>
    </row>
    <row r="359" spans="1:26" ht="15.75" thickBo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37"/>
      <c r="Y359" s="12"/>
      <c r="Z359" s="12"/>
    </row>
    <row r="360" spans="1:26" ht="15.75" thickBo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37"/>
      <c r="Y360" s="12"/>
      <c r="Z360" s="12"/>
    </row>
    <row r="361" spans="1:26" ht="15.75" thickBo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37"/>
      <c r="Y361" s="12"/>
      <c r="Z361" s="12"/>
    </row>
    <row r="362" spans="1:26" ht="15.75" thickBo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37"/>
      <c r="Y362" s="12"/>
      <c r="Z362" s="12"/>
    </row>
    <row r="363" spans="1:26" ht="15.75" thickBo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37"/>
      <c r="Y363" s="12"/>
      <c r="Z363" s="12"/>
    </row>
    <row r="364" spans="1:26" ht="15.75" thickBo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37"/>
      <c r="Y364" s="12"/>
      <c r="Z364" s="12"/>
    </row>
    <row r="365" spans="1:26" ht="15.75" thickBo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37"/>
      <c r="Y365" s="12"/>
      <c r="Z365" s="12"/>
    </row>
    <row r="366" spans="1:26" ht="15.75" thickBo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37"/>
      <c r="Y366" s="12"/>
      <c r="Z366" s="12"/>
    </row>
    <row r="367" spans="1:26" ht="15.75" thickBo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37"/>
      <c r="Y367" s="12"/>
      <c r="Z367" s="12"/>
    </row>
    <row r="368" spans="1:26" ht="15.75" thickBo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37"/>
      <c r="Y368" s="12"/>
      <c r="Z368" s="12"/>
    </row>
    <row r="369" spans="1:26" ht="15.75" thickBo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37"/>
      <c r="Y369" s="12"/>
      <c r="Z369" s="12"/>
    </row>
    <row r="370" spans="1:26" ht="15.75" thickBo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37"/>
      <c r="Y370" s="12"/>
      <c r="Z370" s="12"/>
    </row>
    <row r="371" spans="1:26" ht="15.75" thickBo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37"/>
      <c r="Y371" s="12"/>
      <c r="Z371" s="12"/>
    </row>
    <row r="372" spans="1:26" ht="15.75" thickBo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37"/>
      <c r="Y372" s="12"/>
      <c r="Z372" s="12"/>
    </row>
    <row r="373" spans="1:26" ht="15.75" thickBo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37"/>
      <c r="Y373" s="12"/>
      <c r="Z373" s="12"/>
    </row>
    <row r="374" spans="1:26" ht="15.75" thickBo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37"/>
      <c r="Y374" s="12"/>
      <c r="Z374" s="12"/>
    </row>
    <row r="375" spans="1:26" ht="15.75" thickBo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37"/>
      <c r="Y375" s="12"/>
      <c r="Z375" s="12"/>
    </row>
    <row r="376" spans="1:26" ht="15.75" thickBo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37"/>
      <c r="Y376" s="12"/>
      <c r="Z376" s="12"/>
    </row>
    <row r="377" spans="1:26" ht="15.75" thickBo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37"/>
      <c r="Y377" s="12"/>
      <c r="Z377" s="12"/>
    </row>
    <row r="378" spans="1:26" ht="15.75" thickBo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37"/>
      <c r="Y378" s="12"/>
      <c r="Z378" s="12"/>
    </row>
    <row r="379" spans="1:26" ht="15.75" thickBo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37"/>
      <c r="Y379" s="12"/>
      <c r="Z379" s="12"/>
    </row>
    <row r="380" spans="1:26" ht="15.75" thickBo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37"/>
      <c r="Y380" s="12"/>
      <c r="Z380" s="12"/>
    </row>
    <row r="381" spans="1:26" ht="15.75" thickBo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37"/>
      <c r="Y381" s="12"/>
      <c r="Z381" s="12"/>
    </row>
    <row r="382" spans="1:26" ht="15.75" thickBo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37"/>
      <c r="Y382" s="12"/>
      <c r="Z382" s="12"/>
    </row>
    <row r="383" spans="1:26" ht="15.75" thickBo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37"/>
      <c r="Y383" s="12"/>
      <c r="Z383" s="12"/>
    </row>
    <row r="384" spans="1:26" ht="15.75" thickBo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37"/>
      <c r="Y384" s="12"/>
      <c r="Z384" s="12"/>
    </row>
    <row r="385" spans="1:26" ht="15.75" thickBo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37"/>
      <c r="Y385" s="12"/>
      <c r="Z385" s="12"/>
    </row>
    <row r="386" spans="1:26" ht="15.75" thickBo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37"/>
      <c r="Y386" s="12"/>
      <c r="Z386" s="12"/>
    </row>
    <row r="387" spans="1:26" ht="15.75" thickBo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37"/>
      <c r="Y387" s="12"/>
      <c r="Z387" s="12"/>
    </row>
    <row r="388" spans="1:26" ht="15.75" thickBo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37"/>
      <c r="Y388" s="12"/>
      <c r="Z388" s="12"/>
    </row>
    <row r="389" spans="1:26" ht="15.75" thickBo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37"/>
      <c r="Y389" s="12"/>
      <c r="Z389" s="12"/>
    </row>
    <row r="390" spans="1:26" ht="15.75" thickBo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37"/>
      <c r="Y390" s="12"/>
      <c r="Z390" s="12"/>
    </row>
    <row r="391" spans="1:26" ht="15.75" thickBo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37"/>
      <c r="Y391" s="12"/>
      <c r="Z391" s="12"/>
    </row>
    <row r="392" spans="1:26" ht="15.75" thickBo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37"/>
      <c r="Y392" s="12"/>
      <c r="Z392" s="12"/>
    </row>
    <row r="393" spans="1:26" ht="15.75" thickBo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37"/>
      <c r="Y393" s="12"/>
      <c r="Z393" s="12"/>
    </row>
    <row r="394" spans="1:26" ht="15.75" thickBo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37"/>
      <c r="Y394" s="12"/>
      <c r="Z394" s="12"/>
    </row>
    <row r="395" spans="1:26" ht="15.75" thickBo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37"/>
      <c r="Y395" s="12"/>
      <c r="Z395" s="12"/>
    </row>
    <row r="396" spans="1:26" ht="15.75" thickBo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37"/>
      <c r="Y396" s="12"/>
      <c r="Z396" s="12"/>
    </row>
    <row r="397" spans="1:26" ht="15.75" thickBo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37"/>
      <c r="Y397" s="12"/>
      <c r="Z397" s="12"/>
    </row>
    <row r="398" spans="1:26" ht="15.75" thickBo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37"/>
      <c r="Y398" s="12"/>
      <c r="Z398" s="12"/>
    </row>
    <row r="399" spans="1:26" ht="15.75" thickBo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37"/>
      <c r="Y399" s="12"/>
      <c r="Z399" s="12"/>
    </row>
    <row r="400" spans="1:26" ht="15.75" thickBo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37"/>
      <c r="Y400" s="12"/>
      <c r="Z400" s="12"/>
    </row>
    <row r="401" spans="1:26" ht="15.75" thickBo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37"/>
      <c r="Y401" s="12"/>
      <c r="Z401" s="12"/>
    </row>
    <row r="402" spans="1:26" ht="15.75" thickBo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37"/>
      <c r="Y402" s="12"/>
      <c r="Z402" s="12"/>
    </row>
    <row r="403" spans="1:26" ht="15.75" thickBo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37"/>
      <c r="Y403" s="12"/>
      <c r="Z403" s="12"/>
    </row>
    <row r="404" spans="1:26" ht="15.75" thickBo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37"/>
      <c r="Y404" s="12"/>
      <c r="Z404" s="12"/>
    </row>
    <row r="405" spans="1:26" ht="15.75" thickBo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37"/>
      <c r="Y405" s="12"/>
      <c r="Z405" s="12"/>
    </row>
    <row r="406" spans="1:26" ht="15.75" thickBo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37"/>
      <c r="Y406" s="12"/>
      <c r="Z406" s="12"/>
    </row>
    <row r="407" spans="1:26" ht="15.75" thickBo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37"/>
      <c r="Y407" s="12"/>
      <c r="Z407" s="12"/>
    </row>
    <row r="408" spans="1:26" ht="15.75" thickBo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37"/>
      <c r="Y408" s="12"/>
      <c r="Z408" s="12"/>
    </row>
    <row r="409" spans="1:26" ht="15.75" thickBo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37"/>
      <c r="Y409" s="12"/>
      <c r="Z409" s="12"/>
    </row>
    <row r="410" spans="1:26" ht="15.75" thickBo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37"/>
      <c r="Y410" s="12"/>
      <c r="Z410" s="12"/>
    </row>
    <row r="411" spans="1:26" ht="15.75" thickBo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37"/>
      <c r="Y411" s="12"/>
      <c r="Z411" s="12"/>
    </row>
    <row r="412" spans="1:26" ht="15.75" thickBo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37"/>
      <c r="Y412" s="12"/>
      <c r="Z412" s="12"/>
    </row>
    <row r="413" spans="1:26" ht="15.75" thickBo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37"/>
      <c r="Y413" s="12"/>
      <c r="Z413" s="12"/>
    </row>
    <row r="414" spans="1:26" ht="15.75" thickBo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37"/>
      <c r="Y414" s="12"/>
      <c r="Z414" s="12"/>
    </row>
    <row r="415" spans="1:26" ht="15.75" thickBo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37"/>
      <c r="Y415" s="12"/>
      <c r="Z415" s="12"/>
    </row>
    <row r="416" spans="1:26" ht="15.75" thickBo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37"/>
      <c r="Y416" s="12"/>
      <c r="Z416" s="12"/>
    </row>
    <row r="417" spans="1:26" ht="15.75" thickBo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37"/>
      <c r="Y417" s="12"/>
      <c r="Z417" s="12"/>
    </row>
    <row r="418" spans="1:26" ht="15.75" thickBo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37"/>
      <c r="Y418" s="12"/>
      <c r="Z418" s="12"/>
    </row>
    <row r="419" spans="1:26" ht="15.75" thickBo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37"/>
      <c r="Y419" s="12"/>
      <c r="Z419" s="12"/>
    </row>
    <row r="420" spans="1:26" ht="15.75" thickBo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37"/>
      <c r="Y420" s="12"/>
      <c r="Z420" s="12"/>
    </row>
    <row r="421" spans="1:26" ht="15.75" thickBo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37"/>
      <c r="Y421" s="12"/>
      <c r="Z421" s="12"/>
    </row>
    <row r="422" spans="1:26" ht="15.75" thickBo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37"/>
      <c r="Y422" s="12"/>
      <c r="Z422" s="12"/>
    </row>
    <row r="423" spans="1:26" ht="15.75" thickBo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37"/>
      <c r="Y423" s="12"/>
      <c r="Z423" s="12"/>
    </row>
    <row r="424" spans="1:26" ht="15.75" thickBo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37"/>
      <c r="Y424" s="12"/>
      <c r="Z424" s="12"/>
    </row>
    <row r="425" spans="1:26" ht="15.75" thickBo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37"/>
      <c r="Y425" s="12"/>
      <c r="Z425" s="12"/>
    </row>
    <row r="426" spans="1:26" ht="15.75" thickBo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37"/>
      <c r="Y426" s="12"/>
      <c r="Z426" s="12"/>
    </row>
    <row r="427" spans="1:26" ht="15.75" thickBo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37"/>
      <c r="Y427" s="12"/>
      <c r="Z427" s="12"/>
    </row>
    <row r="428" spans="1:26" ht="15.75" thickBo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37"/>
      <c r="Y428" s="12"/>
      <c r="Z428" s="12"/>
    </row>
    <row r="429" spans="1:26" ht="15.75" thickBo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37"/>
      <c r="Y429" s="12"/>
      <c r="Z429" s="12"/>
    </row>
    <row r="430" spans="1:26" ht="15.75" thickBo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37"/>
      <c r="Y430" s="12"/>
      <c r="Z430" s="12"/>
    </row>
    <row r="431" spans="1:26" ht="15.75" thickBo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37"/>
      <c r="Y431" s="12"/>
      <c r="Z431" s="12"/>
    </row>
    <row r="432" spans="1:26" ht="15.75" thickBo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37"/>
      <c r="Y432" s="12"/>
      <c r="Z432" s="12"/>
    </row>
    <row r="433" spans="1:26" ht="15.75" thickBo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37"/>
      <c r="Y433" s="12"/>
      <c r="Z433" s="12"/>
    </row>
    <row r="434" spans="1:26" ht="15.75" thickBo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37"/>
      <c r="Y434" s="12"/>
      <c r="Z434" s="12"/>
    </row>
    <row r="435" spans="1:26" ht="15.75" thickBo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37"/>
      <c r="Y435" s="12"/>
      <c r="Z435" s="12"/>
    </row>
    <row r="436" spans="1:26" ht="15.75" thickBo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37"/>
      <c r="Y436" s="12"/>
      <c r="Z436" s="12"/>
    </row>
    <row r="437" spans="1:26" ht="15.75" thickBo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37"/>
      <c r="Y437" s="12"/>
      <c r="Z437" s="12"/>
    </row>
    <row r="438" spans="1:26" ht="15.75" thickBo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37"/>
      <c r="Y438" s="12"/>
      <c r="Z438" s="12"/>
    </row>
    <row r="439" spans="1:26" ht="15.75" thickBo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37"/>
      <c r="Y439" s="12"/>
      <c r="Z439" s="12"/>
    </row>
    <row r="440" spans="1:26" ht="15.75" thickBo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37"/>
      <c r="Y440" s="12"/>
      <c r="Z440" s="12"/>
    </row>
    <row r="441" spans="1:26" ht="15.75" thickBo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37"/>
      <c r="Y441" s="12"/>
      <c r="Z441" s="12"/>
    </row>
    <row r="442" spans="1:26" ht="15.75" thickBo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37"/>
      <c r="Y442" s="12"/>
      <c r="Z442" s="12"/>
    </row>
    <row r="443" spans="1:26" ht="15.75" thickBo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37"/>
      <c r="Y443" s="12"/>
      <c r="Z443" s="12"/>
    </row>
    <row r="444" spans="1:26" ht="15.75" thickBo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37"/>
      <c r="Y444" s="12"/>
      <c r="Z444" s="12"/>
    </row>
    <row r="445" spans="1:26" ht="15.75" thickBo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37"/>
      <c r="Y445" s="12"/>
      <c r="Z445" s="12"/>
    </row>
    <row r="446" spans="1:26" ht="15.75" thickBo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37"/>
      <c r="Y446" s="12"/>
      <c r="Z446" s="12"/>
    </row>
    <row r="447" spans="1:26" ht="15.75" thickBo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37"/>
      <c r="Y447" s="12"/>
      <c r="Z447" s="12"/>
    </row>
    <row r="448" spans="1:26" ht="15.75" thickBo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37"/>
      <c r="Y448" s="12"/>
      <c r="Z448" s="12"/>
    </row>
    <row r="449" spans="1:26" ht="15.75" thickBo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37"/>
      <c r="Y449" s="12"/>
      <c r="Z449" s="12"/>
    </row>
    <row r="450" spans="1:26" ht="15.75" thickBo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37"/>
      <c r="Y450" s="12"/>
      <c r="Z450" s="12"/>
    </row>
    <row r="451" spans="1:26" ht="15.75" thickBo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37"/>
      <c r="Y451" s="12"/>
      <c r="Z451" s="12"/>
    </row>
    <row r="452" spans="1:26" ht="15.75" thickBo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37"/>
      <c r="Y452" s="12"/>
      <c r="Z452" s="12"/>
    </row>
    <row r="453" spans="1:26" ht="15.75" thickBo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37"/>
      <c r="Y453" s="12"/>
      <c r="Z453" s="12"/>
    </row>
    <row r="454" spans="1:26" ht="15.75" thickBo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37"/>
      <c r="Y454" s="12"/>
      <c r="Z454" s="12"/>
    </row>
    <row r="455" spans="1:26" ht="15.75" thickBo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37"/>
      <c r="Y455" s="12"/>
      <c r="Z455" s="12"/>
    </row>
    <row r="456" spans="1:26" ht="15.75" thickBo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37"/>
      <c r="Y456" s="12"/>
      <c r="Z456" s="12"/>
    </row>
    <row r="457" spans="1:26" ht="15.75" thickBo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37"/>
      <c r="Y457" s="12"/>
      <c r="Z457" s="12"/>
    </row>
    <row r="458" spans="1:26" ht="15.75" thickBo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37"/>
      <c r="Y458" s="12"/>
      <c r="Z458" s="12"/>
    </row>
    <row r="459" spans="1:26" ht="15.75" thickBo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37"/>
      <c r="Y459" s="12"/>
      <c r="Z459" s="12"/>
    </row>
    <row r="460" spans="1:26" ht="15.75" thickBo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37"/>
      <c r="Y460" s="12"/>
      <c r="Z460" s="12"/>
    </row>
    <row r="461" spans="1:26" ht="15.75" thickBo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37"/>
      <c r="Y461" s="12"/>
      <c r="Z461" s="12"/>
    </row>
    <row r="462" spans="1:26" ht="15.75" thickBo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37"/>
      <c r="Y462" s="12"/>
      <c r="Z462" s="12"/>
    </row>
    <row r="463" spans="1:26" ht="15.75" thickBo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37"/>
      <c r="Y463" s="12"/>
      <c r="Z463" s="12"/>
    </row>
    <row r="464" spans="1:26" ht="15.75" thickBo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37"/>
      <c r="Y464" s="12"/>
      <c r="Z464" s="12"/>
    </row>
    <row r="465" spans="1:26" ht="15.75" thickBo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37"/>
      <c r="Y465" s="12"/>
      <c r="Z465" s="12"/>
    </row>
    <row r="466" spans="1:26" ht="15.75" thickBo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37"/>
      <c r="Y466" s="12"/>
      <c r="Z466" s="12"/>
    </row>
    <row r="467" spans="1:26" ht="15.75" thickBo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37"/>
      <c r="Y467" s="12"/>
      <c r="Z467" s="12"/>
    </row>
    <row r="468" spans="1:26" ht="15.75" thickBo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37"/>
      <c r="Y468" s="12"/>
      <c r="Z468" s="12"/>
    </row>
    <row r="469" spans="1:26" ht="15.75" thickBo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37"/>
      <c r="Y469" s="12"/>
      <c r="Z469" s="12"/>
    </row>
    <row r="470" spans="1:26" ht="15.75" thickBo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37"/>
      <c r="Y470" s="12"/>
      <c r="Z470" s="12"/>
    </row>
    <row r="471" spans="1:26" ht="15.75" thickBo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37"/>
      <c r="Y471" s="12"/>
      <c r="Z471" s="12"/>
    </row>
    <row r="472" spans="1:26" ht="15.75" thickBo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37"/>
      <c r="Y472" s="12"/>
      <c r="Z472" s="12"/>
    </row>
    <row r="473" spans="1:26" ht="15.75" thickBo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37"/>
      <c r="Y473" s="12"/>
      <c r="Z473" s="12"/>
    </row>
    <row r="474" spans="1:26" ht="15.75" thickBo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37"/>
      <c r="Y474" s="12"/>
      <c r="Z474" s="12"/>
    </row>
    <row r="475" spans="1:26" ht="15.75" thickBo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37"/>
      <c r="Y475" s="12"/>
      <c r="Z475" s="12"/>
    </row>
    <row r="476" spans="1:26" ht="15.75" thickBo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37"/>
      <c r="Y476" s="12"/>
      <c r="Z476" s="12"/>
    </row>
    <row r="477" spans="1:26" ht="15.75" thickBo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37"/>
      <c r="Y477" s="12"/>
      <c r="Z477" s="12"/>
    </row>
    <row r="478" spans="1:26" ht="15.75" thickBo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37"/>
      <c r="Y478" s="12"/>
      <c r="Z478" s="12"/>
    </row>
    <row r="479" spans="1:26" ht="15.75" thickBo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37"/>
      <c r="Y479" s="12"/>
      <c r="Z479" s="12"/>
    </row>
    <row r="480" spans="1:26" ht="15.75" thickBo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37"/>
      <c r="Y480" s="12"/>
      <c r="Z480" s="12"/>
    </row>
    <row r="481" spans="1:26" ht="15.75" thickBo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37"/>
      <c r="Y481" s="12"/>
      <c r="Z481" s="12"/>
    </row>
    <row r="482" spans="1:26" ht="15.75" thickBo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37"/>
      <c r="Y482" s="12"/>
      <c r="Z482" s="12"/>
    </row>
    <row r="483" spans="1:26" ht="15.75" thickBo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37"/>
      <c r="Y483" s="12"/>
      <c r="Z483" s="12"/>
    </row>
    <row r="484" spans="1:26" ht="15.75" thickBo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37"/>
      <c r="Y484" s="12"/>
      <c r="Z484" s="12"/>
    </row>
    <row r="485" spans="1:26" ht="15.75" thickBo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37"/>
      <c r="Y485" s="12"/>
      <c r="Z485" s="12"/>
    </row>
    <row r="486" spans="1:26" ht="15.75" thickBo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37"/>
      <c r="Y486" s="12"/>
      <c r="Z486" s="12"/>
    </row>
    <row r="487" spans="1:26" ht="15.75" thickBo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37"/>
      <c r="Y487" s="12"/>
      <c r="Z487" s="12"/>
    </row>
    <row r="488" spans="1:26" ht="15.75" thickBo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37"/>
      <c r="Y488" s="12"/>
      <c r="Z488" s="12"/>
    </row>
    <row r="489" spans="1:26" ht="15.75" thickBo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37"/>
      <c r="Y489" s="12"/>
      <c r="Z489" s="12"/>
    </row>
    <row r="490" spans="1:26" ht="15.75" thickBo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37"/>
      <c r="Y490" s="12"/>
      <c r="Z490" s="12"/>
    </row>
    <row r="491" spans="1:26" ht="15.75" thickBo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37"/>
      <c r="Y491" s="12"/>
      <c r="Z491" s="12"/>
    </row>
    <row r="492" spans="1:26" ht="15.75" thickBo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37"/>
      <c r="Y492" s="12"/>
      <c r="Z492" s="12"/>
    </row>
    <row r="493" spans="1:26" ht="15.75" thickBo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37"/>
      <c r="Y493" s="12"/>
      <c r="Z493" s="12"/>
    </row>
    <row r="494" spans="1:26" ht="15.75" thickBo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37"/>
      <c r="Y494" s="12"/>
      <c r="Z494" s="12"/>
    </row>
    <row r="495" spans="1:26" ht="15.75" thickBo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37"/>
      <c r="Y495" s="12"/>
      <c r="Z495" s="12"/>
    </row>
    <row r="496" spans="1:26" ht="15.75" thickBo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37"/>
      <c r="Y496" s="12"/>
      <c r="Z496" s="12"/>
    </row>
    <row r="497" spans="1:26" ht="15.75" thickBo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37"/>
      <c r="Y497" s="12"/>
      <c r="Z497" s="12"/>
    </row>
    <row r="498" spans="1:26" ht="15.75" thickBo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37"/>
      <c r="Y498" s="12"/>
      <c r="Z498" s="12"/>
    </row>
    <row r="499" spans="1:26" ht="15.75" thickBo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37"/>
      <c r="Y499" s="12"/>
      <c r="Z499" s="12"/>
    </row>
    <row r="500" spans="1:26" ht="15.75" thickBo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37"/>
      <c r="Y500" s="12"/>
      <c r="Z500" s="12"/>
    </row>
    <row r="501" spans="1:26" ht="15.75" thickBo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37"/>
      <c r="Y501" s="12"/>
      <c r="Z501" s="12"/>
    </row>
    <row r="502" spans="1:26" ht="15.75" thickBo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37"/>
      <c r="Y502" s="12"/>
      <c r="Z502" s="12"/>
    </row>
    <row r="503" spans="1:26" ht="15.75" thickBo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37"/>
      <c r="Y503" s="12"/>
      <c r="Z503" s="12"/>
    </row>
    <row r="504" spans="1:26" ht="15.75" thickBo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37"/>
      <c r="Y504" s="12"/>
      <c r="Z504" s="12"/>
    </row>
    <row r="505" spans="1:26" ht="15.75" thickBo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37"/>
      <c r="Y505" s="12"/>
      <c r="Z505" s="12"/>
    </row>
    <row r="506" spans="1:26" ht="15.75" thickBo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37"/>
      <c r="Y506" s="12"/>
      <c r="Z506" s="12"/>
    </row>
    <row r="507" spans="1:26" ht="15.75" thickBo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37"/>
      <c r="Y507" s="12"/>
      <c r="Z507" s="12"/>
    </row>
    <row r="508" spans="1:26" ht="15.75" thickBo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37"/>
      <c r="Y508" s="12"/>
      <c r="Z508" s="12"/>
    </row>
    <row r="509" spans="1:26" ht="15.75" thickBo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37"/>
      <c r="Y509" s="12"/>
      <c r="Z509" s="12"/>
    </row>
    <row r="510" spans="1:26" ht="15.75" thickBo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37"/>
      <c r="Y510" s="12"/>
      <c r="Z510" s="12"/>
    </row>
    <row r="511" spans="1:26" ht="15.75" thickBo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37"/>
      <c r="Y511" s="12"/>
      <c r="Z511" s="12"/>
    </row>
    <row r="512" spans="1:26" ht="15.75" thickBo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37"/>
      <c r="Y512" s="12"/>
      <c r="Z512" s="12"/>
    </row>
    <row r="513" spans="1:26" ht="15.75" thickBo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37"/>
      <c r="Y513" s="12"/>
      <c r="Z513" s="12"/>
    </row>
    <row r="514" spans="1:26" ht="15.75" thickBo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37"/>
      <c r="Y514" s="12"/>
      <c r="Z514" s="12"/>
    </row>
    <row r="515" spans="1:26" ht="15.75" thickBo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37"/>
      <c r="Y515" s="12"/>
      <c r="Z515" s="12"/>
    </row>
    <row r="516" spans="1:26" ht="15.75" thickBo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37"/>
      <c r="Y516" s="12"/>
      <c r="Z516" s="12"/>
    </row>
    <row r="517" spans="1:26" ht="15.75" thickBo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37"/>
      <c r="Y517" s="12"/>
      <c r="Z517" s="12"/>
    </row>
    <row r="518" spans="1:26" ht="15.75" thickBo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37"/>
      <c r="Y518" s="12"/>
      <c r="Z518" s="12"/>
    </row>
    <row r="519" spans="1:26" ht="15.75" thickBo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37"/>
      <c r="Y519" s="12"/>
      <c r="Z519" s="12"/>
    </row>
    <row r="520" spans="1:26" ht="15.75" thickBo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37"/>
      <c r="Y520" s="12"/>
      <c r="Z520" s="12"/>
    </row>
    <row r="521" spans="1:26" ht="15.75" thickBo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37"/>
      <c r="Y521" s="12"/>
      <c r="Z521" s="12"/>
    </row>
    <row r="522" spans="1:26" ht="15.75" thickBo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37"/>
      <c r="Y522" s="12"/>
      <c r="Z522" s="12"/>
    </row>
    <row r="523" spans="1:26" ht="15.75" thickBo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37"/>
      <c r="Y523" s="12"/>
      <c r="Z523" s="12"/>
    </row>
    <row r="524" spans="1:26" ht="15.75" thickBo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37"/>
      <c r="Y524" s="12"/>
      <c r="Z524" s="12"/>
    </row>
    <row r="525" spans="1:26" ht="15.75" thickBo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37"/>
      <c r="Y525" s="12"/>
      <c r="Z525" s="12"/>
    </row>
    <row r="526" spans="1:26" ht="15.75" thickBo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37"/>
      <c r="Y526" s="12"/>
      <c r="Z526" s="12"/>
    </row>
    <row r="527" spans="1:26" ht="15.75" thickBo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37"/>
      <c r="Y527" s="12"/>
      <c r="Z527" s="12"/>
    </row>
    <row r="528" spans="1:26" ht="15.75" thickBo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37"/>
      <c r="Y528" s="12"/>
      <c r="Z528" s="12"/>
    </row>
    <row r="529" spans="1:26" ht="15.75" thickBo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37"/>
      <c r="Y529" s="12"/>
      <c r="Z529" s="12"/>
    </row>
    <row r="530" spans="1:26" ht="15.75" thickBo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37"/>
      <c r="Y530" s="12"/>
      <c r="Z530" s="12"/>
    </row>
    <row r="531" spans="1:26" ht="15.75" thickBo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37"/>
      <c r="Y531" s="12"/>
      <c r="Z531" s="12"/>
    </row>
    <row r="532" spans="1:26" ht="15.75" thickBo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37"/>
      <c r="Y532" s="12"/>
      <c r="Z532" s="12"/>
    </row>
    <row r="533" spans="1:26" ht="15.75" thickBo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37"/>
      <c r="Y533" s="12"/>
      <c r="Z533" s="12"/>
    </row>
    <row r="534" spans="1:26" ht="15.75" thickBo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37"/>
      <c r="Y534" s="12"/>
      <c r="Z534" s="12"/>
    </row>
    <row r="535" spans="1:26" ht="15.75" thickBo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37"/>
      <c r="Y535" s="12"/>
      <c r="Z535" s="12"/>
    </row>
    <row r="536" spans="1:26" ht="15.75" thickBo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37"/>
      <c r="Y536" s="12"/>
      <c r="Z536" s="12"/>
    </row>
    <row r="537" spans="1:26" ht="15.75" thickBo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37"/>
      <c r="Y537" s="12"/>
      <c r="Z537" s="12"/>
    </row>
    <row r="538" spans="1:26" ht="15.75" thickBo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37"/>
      <c r="Y538" s="12"/>
      <c r="Z538" s="12"/>
    </row>
    <row r="539" spans="1:26" ht="15.75" thickBo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37"/>
      <c r="Y539" s="12"/>
      <c r="Z539" s="12"/>
    </row>
    <row r="540" spans="1:26" ht="15.75" thickBo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37"/>
      <c r="Y540" s="12"/>
      <c r="Z540" s="12"/>
    </row>
    <row r="541" spans="1:26" ht="15.75" thickBo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37"/>
      <c r="Y541" s="12"/>
      <c r="Z541" s="12"/>
    </row>
    <row r="542" spans="1:26" ht="15.75" thickBo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37"/>
      <c r="Y542" s="12"/>
      <c r="Z542" s="12"/>
    </row>
    <row r="543" spans="1:26" ht="15.75" thickBo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37"/>
      <c r="Y543" s="12"/>
      <c r="Z543" s="12"/>
    </row>
    <row r="544" spans="1:26" ht="15.75" thickBo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37"/>
      <c r="Y544" s="12"/>
      <c r="Z544" s="12"/>
    </row>
    <row r="545" spans="1:26" ht="15.75" thickBo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37"/>
      <c r="Y545" s="12"/>
      <c r="Z545" s="12"/>
    </row>
    <row r="546" spans="1:26" ht="15.75" thickBo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37"/>
      <c r="Y546" s="12"/>
      <c r="Z546" s="12"/>
    </row>
    <row r="547" spans="1:26" ht="15.75" thickBo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37"/>
      <c r="Y547" s="12"/>
      <c r="Z547" s="12"/>
    </row>
    <row r="548" spans="1:26" ht="15.75" thickBo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37"/>
      <c r="Y548" s="12"/>
      <c r="Z548" s="12"/>
    </row>
    <row r="549" spans="1:26" ht="15.75" thickBo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37"/>
      <c r="Y549" s="12"/>
      <c r="Z549" s="12"/>
    </row>
    <row r="550" spans="1:26" ht="15.75" thickBo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37"/>
      <c r="Y550" s="12"/>
      <c r="Z550" s="12"/>
    </row>
    <row r="551" spans="1:26" ht="15.75" thickBo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37"/>
      <c r="Y551" s="12"/>
      <c r="Z551" s="12"/>
    </row>
    <row r="552" spans="1:26" ht="15.75" thickBo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37"/>
      <c r="Y552" s="12"/>
      <c r="Z552" s="12"/>
    </row>
    <row r="553" spans="1:26" ht="15.75" thickBo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37"/>
      <c r="Y553" s="12"/>
      <c r="Z553" s="12"/>
    </row>
    <row r="554" spans="1:26" ht="15.75" thickBo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37"/>
      <c r="Y554" s="12"/>
      <c r="Z554" s="12"/>
    </row>
    <row r="555" spans="1:26" ht="15.75" thickBo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37"/>
      <c r="Y555" s="12"/>
      <c r="Z555" s="12"/>
    </row>
    <row r="556" spans="1:26" ht="15.75" thickBo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37"/>
      <c r="Y556" s="12"/>
      <c r="Z556" s="12"/>
    </row>
    <row r="557" spans="1:26" ht="15.75" thickBo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37"/>
      <c r="Y557" s="12"/>
      <c r="Z557" s="12"/>
    </row>
    <row r="558" spans="1:26" ht="15.75" thickBo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37"/>
      <c r="Y558" s="12"/>
      <c r="Z558" s="12"/>
    </row>
    <row r="559" spans="1:26" ht="15.75" thickBo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37"/>
      <c r="Y559" s="12"/>
      <c r="Z559" s="12"/>
    </row>
    <row r="560" spans="1:26" ht="15.75" thickBo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37"/>
      <c r="Y560" s="12"/>
      <c r="Z560" s="12"/>
    </row>
    <row r="561" spans="1:26" ht="15.75" thickBo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37"/>
      <c r="Y561" s="12"/>
      <c r="Z561" s="12"/>
    </row>
    <row r="562" spans="1:26" ht="15.75" thickBo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37"/>
      <c r="Y562" s="12"/>
      <c r="Z562" s="12"/>
    </row>
    <row r="563" spans="1:26" ht="15.75" thickBo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37"/>
      <c r="Y563" s="12"/>
      <c r="Z563" s="12"/>
    </row>
    <row r="564" spans="1:26" ht="15.75" thickBo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37"/>
      <c r="Y564" s="12"/>
      <c r="Z564" s="12"/>
    </row>
    <row r="565" spans="1:26" ht="15.75" thickBo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37"/>
      <c r="Y565" s="12"/>
      <c r="Z565" s="12"/>
    </row>
    <row r="566" spans="1:26" ht="15.75" thickBo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37"/>
      <c r="Y566" s="12"/>
      <c r="Z566" s="12"/>
    </row>
    <row r="567" spans="1:26" ht="15.75" thickBo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37"/>
      <c r="Y567" s="12"/>
      <c r="Z567" s="12"/>
    </row>
    <row r="568" spans="1:26" ht="15.75" thickBo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37"/>
      <c r="Y568" s="12"/>
      <c r="Z568" s="12"/>
    </row>
    <row r="569" spans="1:26" ht="15.75" thickBo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37"/>
      <c r="Y569" s="12"/>
      <c r="Z569" s="12"/>
    </row>
    <row r="570" spans="1:26" ht="15.75" thickBo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37"/>
      <c r="Y570" s="12"/>
      <c r="Z570" s="12"/>
    </row>
    <row r="571" spans="1:26" ht="15.75" thickBo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37"/>
      <c r="Y571" s="12"/>
      <c r="Z571" s="12"/>
    </row>
    <row r="572" spans="1:26" ht="15.75" thickBo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37"/>
      <c r="Y572" s="12"/>
      <c r="Z572" s="12"/>
    </row>
    <row r="573" spans="1:26" ht="15.75" thickBo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37"/>
      <c r="Y573" s="12"/>
      <c r="Z573" s="12"/>
    </row>
    <row r="574" spans="1:26" ht="15.75" thickBo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37"/>
      <c r="Y574" s="12"/>
      <c r="Z574" s="12"/>
    </row>
    <row r="575" spans="1:26" ht="15.75" thickBo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37"/>
      <c r="Y575" s="12"/>
      <c r="Z575" s="12"/>
    </row>
    <row r="576" spans="1:26" ht="15.75" thickBo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37"/>
      <c r="Y576" s="12"/>
      <c r="Z576" s="12"/>
    </row>
    <row r="577" spans="1:26" ht="15.75" thickBo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37"/>
      <c r="Y577" s="12"/>
      <c r="Z577" s="12"/>
    </row>
    <row r="578" spans="1:26" ht="15.75" thickBo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37"/>
      <c r="Y578" s="12"/>
      <c r="Z578" s="12"/>
    </row>
    <row r="579" spans="1:26" ht="15.75" thickBo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37"/>
      <c r="Y579" s="12"/>
      <c r="Z579" s="12"/>
    </row>
    <row r="580" spans="1:26" ht="15.75" thickBo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37"/>
      <c r="Y580" s="12"/>
      <c r="Z580" s="12"/>
    </row>
    <row r="581" spans="1:26" ht="15.75" thickBo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37"/>
      <c r="Y581" s="12"/>
      <c r="Z581" s="12"/>
    </row>
    <row r="582" spans="1:26" ht="15.75" thickBo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37"/>
      <c r="Y582" s="12"/>
      <c r="Z582" s="12"/>
    </row>
    <row r="583" spans="1:26" ht="15.75" thickBo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37"/>
      <c r="Y583" s="12"/>
      <c r="Z583" s="12"/>
    </row>
    <row r="584" spans="1:26" ht="15.75" thickBo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37"/>
      <c r="Y584" s="12"/>
      <c r="Z584" s="12"/>
    </row>
    <row r="585" spans="1:26" ht="15.75" thickBo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37"/>
      <c r="Y585" s="12"/>
      <c r="Z585" s="12"/>
    </row>
    <row r="586" spans="1:26" ht="15.75" thickBo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37"/>
      <c r="Y586" s="12"/>
      <c r="Z586" s="12"/>
    </row>
    <row r="587" spans="1:26" ht="15.75" thickBo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37"/>
      <c r="Y587" s="12"/>
      <c r="Z587" s="12"/>
    </row>
    <row r="588" spans="1:26" ht="15.75" thickBo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37"/>
      <c r="Y588" s="12"/>
      <c r="Z588" s="12"/>
    </row>
    <row r="589" spans="1:26" ht="15.75" thickBo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37"/>
      <c r="Y589" s="12"/>
      <c r="Z589" s="12"/>
    </row>
    <row r="590" spans="1:26" ht="15.75" thickBo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37"/>
      <c r="Y590" s="12"/>
      <c r="Z590" s="12"/>
    </row>
    <row r="591" spans="1:26" ht="15.75" thickBo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37"/>
      <c r="Y591" s="12"/>
      <c r="Z591" s="12"/>
    </row>
    <row r="592" spans="1:26" ht="15.75" thickBo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37"/>
      <c r="Y592" s="12"/>
      <c r="Z592" s="12"/>
    </row>
    <row r="593" spans="1:26" ht="15.75" thickBo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37"/>
      <c r="Y593" s="12"/>
      <c r="Z593" s="12"/>
    </row>
    <row r="594" spans="1:26" ht="15.75" thickBo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37"/>
      <c r="Y594" s="12"/>
      <c r="Z594" s="12"/>
    </row>
    <row r="595" spans="1:26" ht="15.75" thickBo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37"/>
      <c r="Y595" s="12"/>
      <c r="Z595" s="12"/>
    </row>
    <row r="596" spans="1:26" ht="15.75" thickBo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37"/>
      <c r="Y596" s="12"/>
      <c r="Z596" s="12"/>
    </row>
    <row r="597" spans="1:26" ht="15.75" thickBo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37"/>
      <c r="Y597" s="12"/>
      <c r="Z597" s="12"/>
    </row>
    <row r="598" spans="1:26" ht="15.75" thickBo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37"/>
      <c r="Y598" s="12"/>
      <c r="Z598" s="12"/>
    </row>
    <row r="599" spans="1:26" ht="15.75" thickBo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37"/>
      <c r="Y599" s="12"/>
      <c r="Z599" s="12"/>
    </row>
    <row r="600" spans="1:26" ht="15.75" thickBo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37"/>
      <c r="Y600" s="12"/>
      <c r="Z600" s="12"/>
    </row>
    <row r="601" spans="1:26" ht="15.75" thickBo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37"/>
      <c r="Y601" s="12"/>
      <c r="Z601" s="12"/>
    </row>
    <row r="602" spans="1:26" ht="15.75" thickBo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37"/>
      <c r="Y602" s="12"/>
      <c r="Z602" s="12"/>
    </row>
    <row r="603" spans="1:26" ht="15.75" thickBo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37"/>
      <c r="Y603" s="12"/>
      <c r="Z603" s="12"/>
    </row>
    <row r="604" spans="1:26" ht="15.75" thickBo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37"/>
      <c r="Y604" s="12"/>
      <c r="Z604" s="12"/>
    </row>
    <row r="605" spans="1:26" ht="15.75" thickBo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37"/>
      <c r="Y605" s="12"/>
      <c r="Z605" s="12"/>
    </row>
    <row r="606" spans="1:26" ht="15.75" thickBo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37"/>
      <c r="Y606" s="12"/>
      <c r="Z606" s="12"/>
    </row>
    <row r="607" spans="1:26" ht="15.75" thickBo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37"/>
      <c r="Y607" s="12"/>
      <c r="Z607" s="12"/>
    </row>
    <row r="608" spans="1:26" ht="15.75" thickBo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37"/>
      <c r="Y608" s="12"/>
      <c r="Z608" s="12"/>
    </row>
    <row r="609" spans="1:26" ht="15.75" thickBo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37"/>
      <c r="Y609" s="12"/>
      <c r="Z609" s="12"/>
    </row>
    <row r="610" spans="1:26" ht="15.75" thickBo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37"/>
      <c r="Y610" s="12"/>
      <c r="Z610" s="12"/>
    </row>
    <row r="611" spans="1:26" ht="15.75" thickBo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37"/>
      <c r="Y611" s="12"/>
      <c r="Z611" s="12"/>
    </row>
    <row r="612" spans="1:26" ht="15.75" thickBo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37"/>
      <c r="Y612" s="12"/>
      <c r="Z612" s="12"/>
    </row>
    <row r="613" spans="1:26" ht="15.75" thickBo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37"/>
      <c r="Y613" s="12"/>
      <c r="Z613" s="12"/>
    </row>
    <row r="614" spans="1:26" ht="15.75" thickBo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37"/>
      <c r="Y614" s="12"/>
      <c r="Z614" s="12"/>
    </row>
    <row r="615" spans="1:26" ht="15.75" thickBo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37"/>
      <c r="Y615" s="12"/>
      <c r="Z615" s="12"/>
    </row>
    <row r="616" spans="1:26" ht="15.75" thickBo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37"/>
      <c r="Y616" s="12"/>
      <c r="Z616" s="12"/>
    </row>
    <row r="617" spans="1:26" ht="15.75" thickBo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37"/>
      <c r="Y617" s="12"/>
      <c r="Z617" s="12"/>
    </row>
    <row r="618" spans="1:26" ht="15.75" thickBo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37"/>
      <c r="Y618" s="12"/>
      <c r="Z618" s="12"/>
    </row>
    <row r="619" spans="1:26" ht="15.75" thickBo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37"/>
      <c r="Y619" s="12"/>
      <c r="Z619" s="12"/>
    </row>
    <row r="620" spans="1:26" ht="15.75" thickBo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37"/>
      <c r="Y620" s="12"/>
      <c r="Z620" s="12"/>
    </row>
    <row r="621" spans="1:26" ht="15.75" thickBo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37"/>
      <c r="Y621" s="12"/>
      <c r="Z621" s="12"/>
    </row>
    <row r="622" spans="1:26" ht="15.75" thickBo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37"/>
      <c r="Y622" s="12"/>
      <c r="Z622" s="12"/>
    </row>
    <row r="623" spans="1:26" ht="15.75" thickBo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37"/>
      <c r="Y623" s="12"/>
      <c r="Z623" s="12"/>
    </row>
    <row r="624" spans="1:26" ht="15.75" thickBo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37"/>
      <c r="Y624" s="12"/>
      <c r="Z624" s="12"/>
    </row>
    <row r="625" spans="1:26" ht="15.75" thickBo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37"/>
      <c r="Y625" s="12"/>
      <c r="Z625" s="12"/>
    </row>
    <row r="626" spans="1:26" ht="15.75" thickBo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37"/>
      <c r="Y626" s="12"/>
      <c r="Z626" s="12"/>
    </row>
    <row r="627" spans="1:26" ht="15.75" thickBo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37"/>
      <c r="Y627" s="12"/>
      <c r="Z627" s="12"/>
    </row>
    <row r="628" spans="1:26" ht="15.75" thickBo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37"/>
      <c r="Y628" s="12"/>
      <c r="Z628" s="12"/>
    </row>
    <row r="629" spans="1:26" ht="15.75" thickBo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37"/>
      <c r="Y629" s="12"/>
      <c r="Z629" s="12"/>
    </row>
    <row r="630" spans="1:26" ht="15.75" thickBo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37"/>
      <c r="Y630" s="12"/>
      <c r="Z630" s="12"/>
    </row>
    <row r="631" spans="1:26" ht="15.75" thickBo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37"/>
      <c r="Y631" s="12"/>
      <c r="Z631" s="12"/>
    </row>
    <row r="632" spans="1:26" ht="15.75" thickBo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37"/>
      <c r="Y632" s="12"/>
      <c r="Z632" s="12"/>
    </row>
    <row r="633" spans="1:26" ht="15.75" thickBo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37"/>
      <c r="Y633" s="12"/>
      <c r="Z633" s="12"/>
    </row>
    <row r="634" spans="1:26" ht="15.75" thickBo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37"/>
      <c r="Y634" s="12"/>
      <c r="Z634" s="12"/>
    </row>
    <row r="635" spans="1:26" ht="15.75" thickBo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37"/>
      <c r="Y635" s="12"/>
      <c r="Z635" s="12"/>
    </row>
    <row r="636" spans="1:26" ht="15.75" thickBo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37"/>
      <c r="Y636" s="12"/>
      <c r="Z636" s="12"/>
    </row>
    <row r="637" spans="1:26" ht="15.75" thickBo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37"/>
      <c r="Y637" s="12"/>
      <c r="Z637" s="12"/>
    </row>
    <row r="638" spans="1:26" ht="15.75" thickBo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37"/>
      <c r="Y638" s="12"/>
      <c r="Z638" s="12"/>
    </row>
    <row r="639" spans="1:26" ht="15.75" thickBo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37"/>
      <c r="Y639" s="12"/>
      <c r="Z639" s="12"/>
    </row>
    <row r="640" spans="1:26" ht="15.75" thickBo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37"/>
      <c r="Y640" s="12"/>
      <c r="Z640" s="12"/>
    </row>
    <row r="641" spans="1:26" ht="15.75" thickBo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37"/>
      <c r="Y641" s="12"/>
      <c r="Z641" s="12"/>
    </row>
    <row r="642" spans="1:26" ht="15.75" thickBo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37"/>
      <c r="Y642" s="12"/>
      <c r="Z642" s="12"/>
    </row>
    <row r="643" spans="1:26" ht="15.75" thickBo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37"/>
      <c r="Y643" s="12"/>
      <c r="Z643" s="12"/>
    </row>
    <row r="644" spans="1:26" ht="15.75" thickBo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37"/>
      <c r="Y644" s="12"/>
      <c r="Z644" s="12"/>
    </row>
    <row r="645" spans="1:26" ht="15.75" thickBo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37"/>
      <c r="Y645" s="12"/>
      <c r="Z645" s="12"/>
    </row>
    <row r="646" spans="1:26" ht="15.75" thickBo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37"/>
      <c r="Y646" s="12"/>
      <c r="Z646" s="12"/>
    </row>
    <row r="647" spans="1:26" ht="15.75" thickBo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37"/>
      <c r="Y647" s="12"/>
      <c r="Z647" s="12"/>
    </row>
    <row r="648" spans="1:26" ht="15.75" thickBo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37"/>
      <c r="Y648" s="12"/>
      <c r="Z648" s="12"/>
    </row>
    <row r="649" spans="1:26" ht="15.75" thickBo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37"/>
      <c r="Y649" s="12"/>
      <c r="Z649" s="12"/>
    </row>
    <row r="650" spans="1:26" ht="15.75" thickBo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37"/>
      <c r="Y650" s="12"/>
      <c r="Z650" s="12"/>
    </row>
    <row r="651" spans="1:26" ht="15.75" thickBo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37"/>
      <c r="Y651" s="12"/>
      <c r="Z651" s="12"/>
    </row>
    <row r="652" spans="1:26" ht="15.75" thickBo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37"/>
      <c r="Y652" s="12"/>
      <c r="Z652" s="12"/>
    </row>
    <row r="653" spans="1:26" ht="15.75" thickBo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37"/>
      <c r="Y653" s="12"/>
      <c r="Z653" s="12"/>
    </row>
    <row r="654" spans="1:26" ht="15.75" thickBo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37"/>
      <c r="Y654" s="12"/>
      <c r="Z654" s="12"/>
    </row>
    <row r="655" spans="1:26" ht="15.75" thickBo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37"/>
      <c r="Y655" s="12"/>
      <c r="Z655" s="12"/>
    </row>
    <row r="656" spans="1:26" ht="15.75" thickBo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37"/>
      <c r="Y656" s="12"/>
      <c r="Z656" s="12"/>
    </row>
    <row r="657" spans="1:26" ht="15.75" thickBo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37"/>
      <c r="Y657" s="12"/>
      <c r="Z657" s="12"/>
    </row>
    <row r="658" spans="1:26" ht="15.75" thickBo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37"/>
      <c r="Y658" s="12"/>
      <c r="Z658" s="12"/>
    </row>
    <row r="659" spans="1:26" ht="15.75" thickBo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37"/>
      <c r="Y659" s="12"/>
      <c r="Z659" s="12"/>
    </row>
    <row r="660" spans="1:26" ht="15.75" thickBo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37"/>
      <c r="Y660" s="12"/>
      <c r="Z660" s="12"/>
    </row>
    <row r="661" spans="1:26" ht="15.75" thickBo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37"/>
      <c r="Y661" s="12"/>
      <c r="Z661" s="12"/>
    </row>
    <row r="662" spans="1:26" ht="15.75" thickBo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37"/>
      <c r="Y662" s="12"/>
      <c r="Z662" s="12"/>
    </row>
    <row r="663" spans="1:26" ht="15.75" thickBo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37"/>
      <c r="Y663" s="12"/>
      <c r="Z663" s="12"/>
    </row>
    <row r="664" spans="1:26" ht="15.75" thickBo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37"/>
      <c r="Y664" s="12"/>
      <c r="Z664" s="12"/>
    </row>
    <row r="665" spans="1:26" ht="15.75" thickBo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37"/>
      <c r="Y665" s="12"/>
      <c r="Z665" s="12"/>
    </row>
    <row r="666" spans="1:26" ht="15.75" thickBo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37"/>
      <c r="Y666" s="12"/>
      <c r="Z666" s="12"/>
    </row>
    <row r="667" spans="1:26" ht="15.75" thickBo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37"/>
      <c r="Y667" s="12"/>
      <c r="Z667" s="12"/>
    </row>
    <row r="668" spans="1:26" ht="15.75" thickBo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37"/>
      <c r="Y668" s="12"/>
      <c r="Z668" s="12"/>
    </row>
    <row r="669" spans="1:26" ht="15.75" thickBo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37"/>
      <c r="Y669" s="12"/>
      <c r="Z669" s="12"/>
    </row>
    <row r="670" spans="1:26" ht="15.75" thickBo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37"/>
      <c r="Y670" s="12"/>
      <c r="Z670" s="12"/>
    </row>
    <row r="671" spans="1:26" ht="15.75" thickBo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37"/>
      <c r="Y671" s="12"/>
      <c r="Z671" s="12"/>
    </row>
    <row r="672" spans="1:26" ht="15.75" thickBo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37"/>
      <c r="Y672" s="12"/>
      <c r="Z672" s="12"/>
    </row>
    <row r="673" spans="1:26" ht="15.75" thickBo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37"/>
      <c r="Y673" s="12"/>
      <c r="Z673" s="12"/>
    </row>
    <row r="674" spans="1:26" ht="15.75" thickBo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37"/>
      <c r="Y674" s="12"/>
      <c r="Z674" s="12"/>
    </row>
    <row r="675" spans="1:26" ht="15.75" thickBo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37"/>
      <c r="Y675" s="12"/>
      <c r="Z675" s="12"/>
    </row>
    <row r="676" spans="1:26" ht="15.75" thickBo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37"/>
      <c r="Y676" s="12"/>
      <c r="Z676" s="12"/>
    </row>
    <row r="677" spans="1:26" ht="15.75" thickBo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37"/>
      <c r="Y677" s="12"/>
      <c r="Z677" s="12"/>
    </row>
    <row r="678" spans="1:26" ht="15.75" thickBo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37"/>
      <c r="Y678" s="12"/>
      <c r="Z678" s="12"/>
    </row>
    <row r="679" spans="1:26" ht="15.75" thickBo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37"/>
      <c r="Y679" s="12"/>
      <c r="Z679" s="12"/>
    </row>
    <row r="680" spans="1:26" ht="15.75" thickBo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37"/>
      <c r="Y680" s="12"/>
      <c r="Z680" s="12"/>
    </row>
    <row r="681" spans="1:26" ht="15.75" thickBo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37"/>
      <c r="Y681" s="12"/>
      <c r="Z681" s="12"/>
    </row>
    <row r="682" spans="1:26" ht="15.75" thickBo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37"/>
      <c r="Y682" s="12"/>
      <c r="Z682" s="12"/>
    </row>
    <row r="683" spans="1:26" ht="15.75" thickBo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37"/>
      <c r="Y683" s="12"/>
      <c r="Z683" s="12"/>
    </row>
    <row r="684" spans="1:26" ht="15.75" thickBo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37"/>
      <c r="Y684" s="12"/>
      <c r="Z684" s="12"/>
    </row>
    <row r="685" spans="1:26" ht="15.75" thickBo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37"/>
      <c r="Y685" s="12"/>
      <c r="Z685" s="12"/>
    </row>
    <row r="686" spans="1:26" ht="15.75" thickBo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37"/>
      <c r="Y686" s="12"/>
      <c r="Z686" s="12"/>
    </row>
    <row r="687" spans="1:26" ht="15.75" thickBo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37"/>
      <c r="Y687" s="12"/>
      <c r="Z687" s="12"/>
    </row>
    <row r="688" spans="1:26" ht="15.75" thickBo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37"/>
      <c r="Y688" s="12"/>
      <c r="Z688" s="12"/>
    </row>
    <row r="689" spans="1:26" ht="15.75" thickBo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37"/>
      <c r="Y689" s="12"/>
      <c r="Z689" s="12"/>
    </row>
    <row r="690" spans="1:26" ht="15.75" thickBo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37"/>
      <c r="Y690" s="12"/>
      <c r="Z690" s="12"/>
    </row>
    <row r="691" spans="1:26" ht="15.75" thickBo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37"/>
      <c r="Y691" s="12"/>
      <c r="Z691" s="12"/>
    </row>
    <row r="692" spans="1:26" ht="15.75" thickBo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37"/>
      <c r="Y692" s="12"/>
      <c r="Z692" s="12"/>
    </row>
    <row r="693" spans="1:26" ht="15.75" thickBo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37"/>
      <c r="Y693" s="12"/>
      <c r="Z693" s="12"/>
    </row>
    <row r="694" spans="1:26" ht="15.75" thickBo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37"/>
      <c r="Y694" s="12"/>
      <c r="Z694" s="12"/>
    </row>
    <row r="695" spans="1:26" ht="15.75" thickBo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37"/>
      <c r="Y695" s="12"/>
      <c r="Z695" s="12"/>
    </row>
    <row r="696" spans="1:26" ht="15.75" thickBo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37"/>
      <c r="Y696" s="12"/>
      <c r="Z696" s="12"/>
    </row>
    <row r="697" spans="1:26" ht="15.75" thickBo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37"/>
      <c r="Y697" s="12"/>
      <c r="Z697" s="12"/>
    </row>
    <row r="698" spans="1:26" ht="15.75" thickBo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37"/>
      <c r="Y698" s="12"/>
      <c r="Z698" s="12"/>
    </row>
    <row r="699" spans="1:26" ht="15.75" thickBo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37"/>
      <c r="Y699" s="12"/>
      <c r="Z699" s="12"/>
    </row>
    <row r="700" spans="1:26" ht="15.75" thickBo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37"/>
      <c r="Y700" s="12"/>
      <c r="Z700" s="12"/>
    </row>
    <row r="701" spans="1:26" ht="15.75" thickBo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37"/>
      <c r="Y701" s="12"/>
      <c r="Z701" s="12"/>
    </row>
    <row r="702" spans="1:26" ht="15.75" thickBo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37"/>
      <c r="Y702" s="12"/>
      <c r="Z702" s="12"/>
    </row>
    <row r="703" spans="1:26" ht="15.75" thickBo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37"/>
      <c r="Y703" s="12"/>
      <c r="Z703" s="12"/>
    </row>
    <row r="704" spans="1:26" ht="15.75" thickBo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37"/>
      <c r="Y704" s="12"/>
      <c r="Z704" s="12"/>
    </row>
    <row r="705" spans="1:26" ht="15.75" thickBo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37"/>
      <c r="Y705" s="12"/>
      <c r="Z705" s="12"/>
    </row>
    <row r="706" spans="1:26" ht="15.75" thickBo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37"/>
      <c r="Y706" s="12"/>
      <c r="Z706" s="12"/>
    </row>
    <row r="707" spans="1:26" ht="15.75" thickBo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37"/>
      <c r="Y707" s="12"/>
      <c r="Z707" s="12"/>
    </row>
    <row r="708" spans="1:26" ht="15.75" thickBo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37"/>
      <c r="Y708" s="12"/>
      <c r="Z708" s="12"/>
    </row>
    <row r="709" spans="1:26" ht="15.75" thickBo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37"/>
      <c r="Y709" s="12"/>
      <c r="Z709" s="12"/>
    </row>
    <row r="710" spans="1:26" ht="15.75" thickBo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37"/>
      <c r="Y710" s="12"/>
      <c r="Z710" s="12"/>
    </row>
    <row r="711" spans="1:26" ht="15.75" thickBo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37"/>
      <c r="Y711" s="12"/>
      <c r="Z711" s="12"/>
    </row>
    <row r="712" spans="1:26" ht="15.75" thickBo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37"/>
      <c r="Y712" s="12"/>
      <c r="Z712" s="12"/>
    </row>
    <row r="713" spans="1:26" ht="15.75" thickBo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37"/>
      <c r="Y713" s="12"/>
      <c r="Z713" s="12"/>
    </row>
    <row r="714" spans="1:26" ht="15.75" thickBo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37"/>
      <c r="Y714" s="12"/>
      <c r="Z714" s="12"/>
    </row>
    <row r="715" spans="1:26" ht="15.75" thickBo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37"/>
      <c r="Y715" s="12"/>
      <c r="Z715" s="12"/>
    </row>
    <row r="716" spans="1:26" ht="15.75" thickBo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37"/>
      <c r="Y716" s="12"/>
      <c r="Z716" s="12"/>
    </row>
    <row r="717" spans="1:26" ht="15.75" thickBo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37"/>
      <c r="Y717" s="12"/>
      <c r="Z717" s="12"/>
    </row>
    <row r="718" spans="1:26" ht="15.75" thickBo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37"/>
      <c r="Y718" s="12"/>
      <c r="Z718" s="12"/>
    </row>
    <row r="719" spans="1:26" ht="15.75" thickBo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37"/>
      <c r="Y719" s="12"/>
      <c r="Z719" s="12"/>
    </row>
    <row r="720" spans="1:26" ht="15.75" thickBo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37"/>
      <c r="Y720" s="12"/>
      <c r="Z720" s="12"/>
    </row>
    <row r="721" spans="1:26" ht="15.75" thickBo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37"/>
      <c r="Y721" s="12"/>
      <c r="Z721" s="12"/>
    </row>
    <row r="722" spans="1:26" ht="15.75" thickBo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37"/>
      <c r="Y722" s="12"/>
      <c r="Z722" s="12"/>
    </row>
    <row r="723" spans="1:26" ht="15.75" thickBo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37"/>
      <c r="Y723" s="12"/>
      <c r="Z723" s="12"/>
    </row>
    <row r="724" spans="1:26" ht="15.75" thickBo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37"/>
      <c r="Y724" s="12"/>
      <c r="Z724" s="12"/>
    </row>
    <row r="725" spans="1:26" ht="15.75" thickBo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37"/>
      <c r="Y725" s="12"/>
      <c r="Z725" s="12"/>
    </row>
    <row r="726" spans="1:26" ht="15.75" thickBo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37"/>
      <c r="Y726" s="12"/>
      <c r="Z726" s="12"/>
    </row>
    <row r="727" spans="1:26" ht="15.75" thickBo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37"/>
      <c r="Y727" s="12"/>
      <c r="Z727" s="12"/>
    </row>
    <row r="728" spans="1:26" ht="15.75" thickBo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37"/>
      <c r="Y728" s="12"/>
      <c r="Z728" s="12"/>
    </row>
    <row r="729" spans="1:26" ht="15.75" thickBo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37"/>
      <c r="Y729" s="12"/>
      <c r="Z729" s="12"/>
    </row>
    <row r="730" spans="1:26" ht="15.75" thickBo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37"/>
      <c r="Y730" s="12"/>
      <c r="Z730" s="12"/>
    </row>
    <row r="731" spans="1:26" ht="15.75" thickBo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37"/>
      <c r="Y731" s="12"/>
      <c r="Z731" s="12"/>
    </row>
    <row r="732" spans="1:26" ht="15.75" thickBo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37"/>
      <c r="Y732" s="12"/>
      <c r="Z732" s="12"/>
    </row>
    <row r="733" spans="1:26" ht="15.75" thickBo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37"/>
      <c r="Y733" s="12"/>
      <c r="Z733" s="12"/>
    </row>
    <row r="734" spans="1:26" ht="15.75" thickBo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37"/>
      <c r="Y734" s="12"/>
      <c r="Z734" s="12"/>
    </row>
    <row r="735" spans="1:26" ht="15.75" thickBo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37"/>
      <c r="Y735" s="12"/>
      <c r="Z735" s="12"/>
    </row>
    <row r="736" spans="1:26" ht="15.75" thickBo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37"/>
      <c r="Y736" s="12"/>
      <c r="Z736" s="12"/>
    </row>
    <row r="737" spans="1:26" ht="15.75" thickBo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37"/>
      <c r="Y737" s="12"/>
      <c r="Z737" s="12"/>
    </row>
    <row r="738" spans="1:26" ht="15.75" thickBo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37"/>
      <c r="Y738" s="12"/>
      <c r="Z738" s="12"/>
    </row>
    <row r="739" spans="1:26" ht="15.75" thickBo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37"/>
      <c r="Y739" s="12"/>
      <c r="Z739" s="12"/>
    </row>
    <row r="740" spans="1:26" ht="15.75" thickBo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37"/>
      <c r="Y740" s="12"/>
      <c r="Z740" s="12"/>
    </row>
    <row r="741" spans="1:26" ht="15.75" thickBo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37"/>
      <c r="Y741" s="12"/>
      <c r="Z741" s="12"/>
    </row>
    <row r="742" spans="1:26" ht="15.75" thickBo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37"/>
      <c r="Y742" s="12"/>
      <c r="Z742" s="12"/>
    </row>
    <row r="743" spans="1:26" ht="15.75" thickBo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37"/>
      <c r="Y743" s="12"/>
      <c r="Z743" s="12"/>
    </row>
    <row r="744" spans="1:26" ht="15.75" thickBo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37"/>
      <c r="Y744" s="12"/>
      <c r="Z744" s="12"/>
    </row>
    <row r="745" spans="1:26" ht="15.75" thickBo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37"/>
      <c r="Y745" s="12"/>
      <c r="Z745" s="12"/>
    </row>
    <row r="746" spans="1:26" ht="15.75" thickBo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37"/>
      <c r="Y746" s="12"/>
      <c r="Z746" s="12"/>
    </row>
    <row r="747" spans="1:26" ht="15.75" thickBo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37"/>
      <c r="Y747" s="12"/>
      <c r="Z747" s="12"/>
    </row>
    <row r="748" spans="1:26" ht="15.75" thickBo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37"/>
      <c r="Y748" s="12"/>
      <c r="Z748" s="12"/>
    </row>
    <row r="749" spans="1:26" ht="15.75" thickBo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37"/>
      <c r="Y749" s="12"/>
      <c r="Z749" s="12"/>
    </row>
    <row r="750" spans="1:26" ht="15.75" thickBo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37"/>
      <c r="Y750" s="12"/>
      <c r="Z750" s="12"/>
    </row>
    <row r="751" spans="1:26" ht="15.75" thickBo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37"/>
      <c r="Y751" s="12"/>
      <c r="Z751" s="12"/>
    </row>
    <row r="752" spans="1:26" ht="15.75" thickBo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37"/>
      <c r="Y752" s="12"/>
      <c r="Z752" s="12"/>
    </row>
    <row r="753" spans="1:26" ht="15.75" thickBo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37"/>
      <c r="Y753" s="12"/>
      <c r="Z753" s="12"/>
    </row>
    <row r="754" spans="1:26" ht="15.75" thickBo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37"/>
      <c r="Y754" s="12"/>
      <c r="Z754" s="12"/>
    </row>
    <row r="755" spans="1:26" ht="15.75" thickBo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37"/>
      <c r="Y755" s="12"/>
      <c r="Z755" s="12"/>
    </row>
    <row r="756" spans="1:26" ht="15.75" thickBo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37"/>
      <c r="Y756" s="12"/>
      <c r="Z756" s="12"/>
    </row>
    <row r="757" spans="1:26" ht="15.75" thickBo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37"/>
      <c r="Y757" s="12"/>
      <c r="Z757" s="12"/>
    </row>
    <row r="758" spans="1:26" ht="15.75" thickBo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37"/>
      <c r="Y758" s="12"/>
      <c r="Z758" s="12"/>
    </row>
    <row r="759" spans="1:26" ht="15.75" thickBo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37"/>
      <c r="Y759" s="12"/>
      <c r="Z759" s="12"/>
    </row>
    <row r="760" spans="1:26" ht="15.75" thickBo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37"/>
      <c r="Y760" s="12"/>
      <c r="Z760" s="12"/>
    </row>
    <row r="761" spans="1:26" ht="15.75" thickBo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37"/>
      <c r="Y761" s="12"/>
      <c r="Z761" s="12"/>
    </row>
    <row r="762" spans="1:26" ht="15.75" thickBo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37"/>
      <c r="Y762" s="12"/>
      <c r="Z762" s="12"/>
    </row>
    <row r="763" spans="1:26" ht="15.75" thickBo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37"/>
      <c r="Y763" s="12"/>
      <c r="Z763" s="12"/>
    </row>
    <row r="764" spans="1:26" ht="15.75" thickBo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37"/>
      <c r="Y764" s="12"/>
      <c r="Z764" s="12"/>
    </row>
    <row r="765" spans="1:26" ht="15.75" thickBo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37"/>
      <c r="Y765" s="12"/>
      <c r="Z765" s="12"/>
    </row>
    <row r="766" spans="1:26" ht="15.75" thickBo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37"/>
      <c r="Y766" s="12"/>
      <c r="Z766" s="12"/>
    </row>
    <row r="767" spans="1:26" ht="15.75" thickBo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37"/>
      <c r="Y767" s="12"/>
      <c r="Z767" s="12"/>
    </row>
    <row r="768" spans="1:26" ht="15.75" thickBo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37"/>
      <c r="Y768" s="12"/>
      <c r="Z768" s="12"/>
    </row>
    <row r="769" spans="1:26" ht="15.75" thickBo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37"/>
      <c r="Y769" s="12"/>
      <c r="Z769" s="12"/>
    </row>
    <row r="770" spans="1:26" ht="15.75" thickBo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37"/>
      <c r="Y770" s="12"/>
      <c r="Z770" s="12"/>
    </row>
    <row r="771" spans="1:26" ht="15.75" thickBo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37"/>
      <c r="Y771" s="12"/>
      <c r="Z771" s="12"/>
    </row>
    <row r="772" spans="1:26" ht="15.75" thickBo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37"/>
      <c r="Y772" s="12"/>
      <c r="Z772" s="12"/>
    </row>
    <row r="773" spans="1:26" ht="15.75" thickBo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37"/>
      <c r="Y773" s="12"/>
      <c r="Z773" s="12"/>
    </row>
    <row r="774" spans="1:26" ht="15.75" thickBo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37"/>
      <c r="Y774" s="12"/>
      <c r="Z774" s="12"/>
    </row>
    <row r="775" spans="1:26" ht="15.75" thickBo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37"/>
      <c r="Y775" s="12"/>
      <c r="Z775" s="12"/>
    </row>
    <row r="776" spans="1:26" ht="15.75" thickBo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37"/>
      <c r="Y776" s="12"/>
      <c r="Z776" s="12"/>
    </row>
    <row r="777" spans="1:26" ht="15.75" thickBo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37"/>
      <c r="Y777" s="12"/>
      <c r="Z777" s="12"/>
    </row>
    <row r="778" spans="1:26" ht="15.75" thickBo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37"/>
      <c r="Y778" s="12"/>
      <c r="Z778" s="12"/>
    </row>
    <row r="779" spans="1:26" ht="15.75" thickBo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37"/>
      <c r="Y779" s="12"/>
      <c r="Z779" s="12"/>
    </row>
    <row r="780" spans="1:26" ht="15.75" thickBo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37"/>
      <c r="Y780" s="12"/>
      <c r="Z780" s="12"/>
    </row>
    <row r="781" spans="1:26" ht="15.75" thickBo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37"/>
      <c r="Y781" s="12"/>
      <c r="Z781" s="12"/>
    </row>
    <row r="782" spans="1:26" ht="15.75" thickBo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37"/>
      <c r="Y782" s="12"/>
      <c r="Z782" s="12"/>
    </row>
    <row r="783" spans="1:26" ht="15.75" thickBo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37"/>
      <c r="Y783" s="12"/>
      <c r="Z783" s="12"/>
    </row>
    <row r="784" spans="1:26" ht="15.75" thickBo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37"/>
      <c r="Y784" s="12"/>
      <c r="Z784" s="12"/>
    </row>
    <row r="785" spans="1:26" ht="15.75" thickBo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37"/>
      <c r="Y785" s="12"/>
      <c r="Z785" s="12"/>
    </row>
    <row r="786" spans="1:26" ht="15.75" thickBo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37"/>
      <c r="Y786" s="12"/>
      <c r="Z786" s="12"/>
    </row>
    <row r="787" spans="1:26" ht="15.75" thickBo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37"/>
      <c r="Y787" s="12"/>
      <c r="Z787" s="12"/>
    </row>
    <row r="788" spans="1:26" ht="15.75" thickBo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37"/>
      <c r="Y788" s="12"/>
      <c r="Z788" s="12"/>
    </row>
    <row r="789" spans="1:26" ht="15.75" thickBo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37"/>
      <c r="Y789" s="12"/>
      <c r="Z789" s="12"/>
    </row>
    <row r="790" spans="1:26" ht="15.75" thickBo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37"/>
      <c r="Y790" s="12"/>
      <c r="Z790" s="12"/>
    </row>
    <row r="791" spans="1:26" ht="15.75" thickBo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37"/>
      <c r="Y791" s="12"/>
      <c r="Z791" s="12"/>
    </row>
    <row r="792" spans="1:26" ht="15.75" thickBo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37"/>
      <c r="Y792" s="12"/>
      <c r="Z792" s="12"/>
    </row>
    <row r="793" spans="1:26" ht="15.75" thickBo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37"/>
      <c r="Y793" s="12"/>
      <c r="Z793" s="12"/>
    </row>
    <row r="794" spans="1:26" ht="15.75" thickBo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37"/>
      <c r="Y794" s="12"/>
      <c r="Z794" s="12"/>
    </row>
    <row r="795" spans="1:26" ht="15.75" thickBo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37"/>
      <c r="Y795" s="12"/>
      <c r="Z795" s="12"/>
    </row>
    <row r="796" spans="1:26" ht="15.75" thickBo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37"/>
      <c r="Y796" s="12"/>
      <c r="Z796" s="12"/>
    </row>
    <row r="797" spans="1:26" ht="15.75" thickBo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37"/>
      <c r="Y797" s="12"/>
      <c r="Z797" s="12"/>
    </row>
    <row r="798" spans="1:26" ht="15.75" thickBo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37"/>
      <c r="Y798" s="12"/>
      <c r="Z798" s="12"/>
    </row>
    <row r="799" spans="1:26" ht="15.75" thickBo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37"/>
      <c r="Y799" s="12"/>
      <c r="Z799" s="12"/>
    </row>
    <row r="800" spans="1:26" ht="15.75" thickBo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37"/>
      <c r="Y800" s="12"/>
      <c r="Z800" s="12"/>
    </row>
    <row r="801" spans="1:26" ht="15.75" thickBo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37"/>
      <c r="Y801" s="12"/>
      <c r="Z801" s="12"/>
    </row>
    <row r="802" spans="1:26" ht="15.75" thickBo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37"/>
      <c r="Y802" s="12"/>
      <c r="Z802" s="12"/>
    </row>
    <row r="803" spans="1:26" ht="15.75" thickBo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37"/>
      <c r="Y803" s="12"/>
      <c r="Z803" s="12"/>
    </row>
    <row r="804" spans="1:26" ht="15.75" thickBo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37"/>
      <c r="Y804" s="12"/>
      <c r="Z804" s="12"/>
    </row>
    <row r="805" spans="1:26" ht="15.75" thickBo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37"/>
      <c r="Y805" s="12"/>
      <c r="Z805" s="12"/>
    </row>
    <row r="806" spans="1:26" ht="15.75" thickBo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37"/>
      <c r="Y806" s="12"/>
      <c r="Z806" s="12"/>
    </row>
    <row r="807" spans="1:26" ht="15.75" thickBo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37"/>
      <c r="Y807" s="12"/>
      <c r="Z807" s="12"/>
    </row>
    <row r="808" spans="1:26" ht="15.75" thickBo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37"/>
      <c r="Y808" s="12"/>
      <c r="Z808" s="12"/>
    </row>
    <row r="809" spans="1:26" ht="15.75" thickBo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37"/>
      <c r="Y809" s="12"/>
      <c r="Z809" s="12"/>
    </row>
    <row r="810" spans="1:26" ht="15.75" thickBo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37"/>
      <c r="Y810" s="12"/>
      <c r="Z810" s="12"/>
    </row>
    <row r="811" spans="1:26" ht="15.75" thickBo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37"/>
      <c r="Y811" s="12"/>
      <c r="Z811" s="12"/>
    </row>
    <row r="812" spans="1:26" ht="15.75" thickBo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37"/>
      <c r="Y812" s="12"/>
      <c r="Z812" s="12"/>
    </row>
    <row r="813" spans="1:26" ht="15.75" thickBo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37"/>
      <c r="Y813" s="12"/>
      <c r="Z813" s="12"/>
    </row>
    <row r="814" spans="1:26" ht="15.75" thickBo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37"/>
      <c r="Y814" s="12"/>
      <c r="Z814" s="12"/>
    </row>
    <row r="815" spans="1:26" ht="15.75" thickBo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37"/>
      <c r="Y815" s="12"/>
      <c r="Z815" s="12"/>
    </row>
    <row r="816" spans="1:26" ht="15.75" thickBo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37"/>
      <c r="Y816" s="12"/>
      <c r="Z816" s="12"/>
    </row>
    <row r="817" spans="1:26" ht="15.75" thickBo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37"/>
      <c r="Y817" s="12"/>
      <c r="Z817" s="12"/>
    </row>
    <row r="818" spans="1:26" ht="15.75" thickBo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37"/>
      <c r="Y818" s="12"/>
      <c r="Z818" s="12"/>
    </row>
    <row r="819" spans="1:26" ht="15.75" thickBo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37"/>
      <c r="Y819" s="12"/>
      <c r="Z819" s="12"/>
    </row>
    <row r="820" spans="1:26" ht="15.75" thickBo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37"/>
      <c r="Y820" s="12"/>
      <c r="Z820" s="12"/>
    </row>
    <row r="821" spans="1:26" ht="15.75" thickBo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37"/>
      <c r="Y821" s="12"/>
      <c r="Z821" s="12"/>
    </row>
    <row r="822" spans="1:26" ht="15.75" thickBo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37"/>
      <c r="Y822" s="12"/>
      <c r="Z822" s="12"/>
    </row>
    <row r="823" spans="1:26" ht="15.75" thickBo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37"/>
      <c r="Y823" s="12"/>
      <c r="Z823" s="12"/>
    </row>
    <row r="824" spans="1:26" ht="15.75" thickBo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37"/>
      <c r="Y824" s="12"/>
      <c r="Z824" s="12"/>
    </row>
    <row r="825" spans="1:26" ht="15.75" thickBo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37"/>
      <c r="Y825" s="12"/>
      <c r="Z825" s="12"/>
    </row>
    <row r="826" spans="1:26" ht="15.75" thickBo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37"/>
      <c r="Y826" s="12"/>
      <c r="Z826" s="12"/>
    </row>
    <row r="827" spans="1:26" ht="15.75" thickBo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37"/>
      <c r="Y827" s="12"/>
      <c r="Z827" s="12"/>
    </row>
    <row r="828" spans="1:26" ht="15.75" thickBo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37"/>
      <c r="Y828" s="12"/>
      <c r="Z828" s="12"/>
    </row>
    <row r="829" spans="1:26" ht="15.75" thickBo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37"/>
      <c r="Y829" s="12"/>
      <c r="Z829" s="12"/>
    </row>
    <row r="830" spans="1:26" ht="15.75" thickBo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37"/>
      <c r="Y830" s="12"/>
      <c r="Z830" s="12"/>
    </row>
    <row r="831" spans="1:26" ht="15.75" thickBo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37"/>
      <c r="Y831" s="12"/>
      <c r="Z831" s="12"/>
    </row>
    <row r="832" spans="1:26" ht="15.75" thickBo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37"/>
      <c r="Y832" s="12"/>
      <c r="Z832" s="12"/>
    </row>
    <row r="833" spans="1:26" ht="15.75" thickBo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37"/>
      <c r="Y833" s="12"/>
      <c r="Z833" s="12"/>
    </row>
    <row r="834" spans="1:26" ht="15.75" thickBo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37"/>
      <c r="Y834" s="12"/>
      <c r="Z834" s="12"/>
    </row>
    <row r="835" spans="1:26" ht="15.75" thickBo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37"/>
      <c r="Y835" s="12"/>
      <c r="Z835" s="12"/>
    </row>
    <row r="836" spans="1:26" ht="15.75" thickBo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37"/>
      <c r="Y836" s="12"/>
      <c r="Z836" s="12"/>
    </row>
    <row r="837" spans="1:26" ht="15.75" thickBo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37"/>
      <c r="Y837" s="12"/>
      <c r="Z837" s="12"/>
    </row>
    <row r="838" spans="1:26" ht="15.75" thickBo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37"/>
      <c r="Y838" s="12"/>
      <c r="Z838" s="12"/>
    </row>
    <row r="839" spans="1:26" ht="15.75" thickBo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37"/>
      <c r="Y839" s="12"/>
      <c r="Z839" s="12"/>
    </row>
    <row r="840" spans="1:26" ht="15.75" thickBo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37"/>
      <c r="Y840" s="12"/>
      <c r="Z840" s="12"/>
    </row>
    <row r="841" spans="1:26" ht="15.75" thickBo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37"/>
      <c r="Y841" s="12"/>
      <c r="Z841" s="12"/>
    </row>
    <row r="842" spans="1:26" ht="15.75" thickBo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37"/>
      <c r="Y842" s="12"/>
      <c r="Z842" s="12"/>
    </row>
    <row r="843" spans="1:26" ht="15.75" thickBo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37"/>
      <c r="Y843" s="12"/>
      <c r="Z843" s="12"/>
    </row>
    <row r="844" spans="1:26" ht="15.75" thickBo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37"/>
      <c r="Y844" s="12"/>
      <c r="Z844" s="12"/>
    </row>
    <row r="845" spans="1:26" ht="15.75" thickBo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37"/>
      <c r="Y845" s="12"/>
      <c r="Z845" s="12"/>
    </row>
    <row r="846" spans="1:26" ht="15.75" thickBo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37"/>
      <c r="Y846" s="12"/>
      <c r="Z846" s="12"/>
    </row>
    <row r="847" spans="1:26" ht="15.75" thickBo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37"/>
      <c r="Y847" s="12"/>
      <c r="Z847" s="12"/>
    </row>
    <row r="848" spans="1:26" ht="15.75" thickBo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37"/>
      <c r="Y848" s="12"/>
      <c r="Z848" s="12"/>
    </row>
    <row r="849" spans="1:26" ht="15.75" thickBo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37"/>
      <c r="Y849" s="12"/>
      <c r="Z849" s="12"/>
    </row>
    <row r="850" spans="1:26" ht="15.75" thickBo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37"/>
      <c r="Y850" s="12"/>
      <c r="Z850" s="12"/>
    </row>
    <row r="851" spans="1:26" ht="15.75" thickBo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37"/>
      <c r="Y851" s="12"/>
      <c r="Z851" s="12"/>
    </row>
    <row r="852" spans="1:26" ht="15.75" thickBo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37"/>
      <c r="Y852" s="12"/>
      <c r="Z852" s="12"/>
    </row>
    <row r="853" spans="1:26" ht="15.75" thickBo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37"/>
      <c r="Y853" s="12"/>
      <c r="Z853" s="12"/>
    </row>
    <row r="854" spans="1:26" ht="15.75" thickBo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37"/>
      <c r="Y854" s="12"/>
      <c r="Z854" s="12"/>
    </row>
    <row r="855" spans="1:26" ht="15.75" thickBo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37"/>
      <c r="Y855" s="12"/>
      <c r="Z855" s="12"/>
    </row>
    <row r="856" spans="1:26" ht="15.75" thickBo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37"/>
      <c r="Y856" s="12"/>
      <c r="Z856" s="12"/>
    </row>
    <row r="857" spans="1:26" ht="15.75" thickBo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37"/>
      <c r="Y857" s="12"/>
      <c r="Z857" s="12"/>
    </row>
    <row r="858" spans="1:26" ht="15.75" thickBo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37"/>
      <c r="Y858" s="12"/>
      <c r="Z858" s="12"/>
    </row>
    <row r="859" spans="1:26" ht="15.75" thickBo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37"/>
      <c r="Y859" s="12"/>
      <c r="Z859" s="12"/>
    </row>
    <row r="860" spans="1:26" ht="15.75" thickBo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37"/>
      <c r="Y860" s="12"/>
      <c r="Z860" s="12"/>
    </row>
    <row r="861" spans="1:26" ht="15.75" thickBo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37"/>
      <c r="Y861" s="12"/>
      <c r="Z861" s="12"/>
    </row>
    <row r="862" spans="1:26" ht="15.75" thickBo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37"/>
      <c r="Y862" s="12"/>
      <c r="Z862" s="12"/>
    </row>
    <row r="863" spans="1:26" ht="15.75" thickBo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37"/>
      <c r="Y863" s="12"/>
      <c r="Z863" s="12"/>
    </row>
    <row r="864" spans="1:26" ht="15.75" thickBo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37"/>
      <c r="Y864" s="12"/>
      <c r="Z864" s="12"/>
    </row>
    <row r="865" spans="1:26" ht="15.75" thickBo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37"/>
      <c r="Y865" s="12"/>
      <c r="Z865" s="12"/>
    </row>
    <row r="866" spans="1:26" ht="15.75" thickBo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37"/>
      <c r="Y866" s="12"/>
      <c r="Z866" s="12"/>
    </row>
    <row r="867" spans="1:26" ht="15.75" thickBo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37"/>
      <c r="Y867" s="12"/>
      <c r="Z867" s="12"/>
    </row>
    <row r="868" spans="1:26" ht="15.75" thickBo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37"/>
      <c r="Y868" s="12"/>
      <c r="Z868" s="12"/>
    </row>
    <row r="869" spans="1:26" ht="15.75" thickBo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37"/>
      <c r="Y869" s="12"/>
      <c r="Z869" s="12"/>
    </row>
    <row r="870" spans="1:26" ht="15.75" thickBo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37"/>
      <c r="Y870" s="12"/>
      <c r="Z870" s="12"/>
    </row>
    <row r="871" spans="1:26" ht="15.75" thickBo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37"/>
      <c r="Y871" s="12"/>
      <c r="Z871" s="12"/>
    </row>
    <row r="872" spans="1:26" ht="15.75" thickBo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37"/>
      <c r="Y872" s="12"/>
      <c r="Z872" s="12"/>
    </row>
    <row r="873" spans="1:26" ht="15.75" thickBo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37"/>
      <c r="Y873" s="12"/>
      <c r="Z873" s="12"/>
    </row>
    <row r="874" spans="1:26" ht="15.75" thickBo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37"/>
      <c r="Y874" s="12"/>
      <c r="Z874" s="12"/>
    </row>
    <row r="875" spans="1:26" ht="15.75" thickBo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37"/>
      <c r="Y875" s="12"/>
      <c r="Z875" s="12"/>
    </row>
    <row r="876" spans="1:26" ht="15.75" thickBo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37"/>
      <c r="Y876" s="12"/>
      <c r="Z876" s="12"/>
    </row>
    <row r="877" spans="1:26" ht="15.75" thickBo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37"/>
      <c r="Y877" s="12"/>
      <c r="Z877" s="12"/>
    </row>
    <row r="878" spans="1:26" ht="15.75" thickBo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37"/>
      <c r="Y878" s="12"/>
      <c r="Z878" s="12"/>
    </row>
    <row r="879" spans="1:26" ht="15.75" thickBo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37"/>
      <c r="Y879" s="12"/>
      <c r="Z879" s="12"/>
    </row>
    <row r="880" spans="1:26" ht="15.75" thickBo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37"/>
      <c r="Y880" s="12"/>
      <c r="Z880" s="12"/>
    </row>
    <row r="881" spans="1:26" ht="15.75" thickBo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37"/>
      <c r="Y881" s="12"/>
      <c r="Z881" s="12"/>
    </row>
    <row r="882" spans="1:26" ht="15.75" thickBo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37"/>
      <c r="Y882" s="12"/>
      <c r="Z882" s="12"/>
    </row>
    <row r="883" spans="1:26" ht="15.75" thickBo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37"/>
      <c r="Y883" s="12"/>
      <c r="Z883" s="12"/>
    </row>
    <row r="884" spans="1:26" ht="15.75" thickBo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37"/>
      <c r="Y884" s="12"/>
      <c r="Z884" s="12"/>
    </row>
    <row r="885" spans="1:26" ht="15.75" thickBo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37"/>
      <c r="Y885" s="12"/>
      <c r="Z885" s="12"/>
    </row>
    <row r="886" spans="1:26" ht="15.75" thickBo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37"/>
      <c r="Y886" s="12"/>
      <c r="Z886" s="12"/>
    </row>
    <row r="887" spans="1:26" ht="15.75" thickBo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37"/>
      <c r="Y887" s="12"/>
      <c r="Z887" s="12"/>
    </row>
    <row r="888" spans="1:26" ht="15.75" thickBo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37"/>
      <c r="Y888" s="12"/>
      <c r="Z888" s="12"/>
    </row>
    <row r="889" spans="1:26" ht="15.75" thickBo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37"/>
      <c r="Y889" s="12"/>
      <c r="Z889" s="12"/>
    </row>
    <row r="890" spans="1:26" ht="15.75" thickBo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37"/>
      <c r="Y890" s="12"/>
      <c r="Z890" s="12"/>
    </row>
    <row r="891" spans="1:26" ht="15.75" thickBo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37"/>
      <c r="Y891" s="12"/>
      <c r="Z891" s="12"/>
    </row>
    <row r="892" spans="1:26" ht="15.75" thickBo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37"/>
      <c r="Y892" s="12"/>
      <c r="Z892" s="12"/>
    </row>
    <row r="893" spans="1:26" ht="15.75" thickBo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37"/>
      <c r="Y893" s="12"/>
      <c r="Z893" s="12"/>
    </row>
    <row r="894" spans="1:26" ht="15.75" thickBo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37"/>
      <c r="Y894" s="12"/>
      <c r="Z894" s="12"/>
    </row>
    <row r="895" spans="1:26" ht="15.75" thickBo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37"/>
      <c r="Y895" s="12"/>
      <c r="Z895" s="12"/>
    </row>
    <row r="896" spans="1:26" ht="15.75" thickBo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37"/>
      <c r="Y896" s="12"/>
      <c r="Z896" s="12"/>
    </row>
    <row r="897" spans="1:26" ht="15.75" thickBo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37"/>
      <c r="Y897" s="12"/>
      <c r="Z897" s="12"/>
    </row>
    <row r="898" spans="1:26" ht="15.75" thickBo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37"/>
      <c r="Y898" s="12"/>
      <c r="Z898" s="12"/>
    </row>
    <row r="899" spans="1:26" ht="15.75" thickBo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37"/>
      <c r="Y899" s="12"/>
      <c r="Z899" s="12"/>
    </row>
    <row r="900" spans="1:26" ht="15.75" thickBo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37"/>
      <c r="Y900" s="12"/>
      <c r="Z900" s="12"/>
    </row>
    <row r="901" spans="1:26" ht="15.75" thickBo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37"/>
      <c r="Y901" s="12"/>
      <c r="Z901" s="12"/>
    </row>
    <row r="902" spans="1:26" ht="15.75" thickBo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37"/>
      <c r="Y902" s="12"/>
      <c r="Z902" s="12"/>
    </row>
    <row r="903" spans="1:26" ht="15.75" thickBo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37"/>
      <c r="Y903" s="12"/>
      <c r="Z903" s="12"/>
    </row>
    <row r="904" spans="1:26" ht="15.75" thickBo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37"/>
      <c r="Y904" s="12"/>
      <c r="Z904" s="12"/>
    </row>
    <row r="905" spans="1:26" ht="15.75" thickBo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37"/>
      <c r="Y905" s="12"/>
      <c r="Z905" s="12"/>
    </row>
    <row r="906" spans="1:26" ht="15.75" thickBo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37"/>
      <c r="Y906" s="12"/>
      <c r="Z906" s="12"/>
    </row>
    <row r="907" spans="1:26" ht="15.75" thickBo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37"/>
      <c r="Y907" s="12"/>
      <c r="Z907" s="12"/>
    </row>
    <row r="908" spans="1:26" ht="15.75" thickBo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37"/>
      <c r="Y908" s="12"/>
      <c r="Z908" s="12"/>
    </row>
    <row r="909" spans="1:26" ht="15.75" thickBo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37"/>
      <c r="Y909" s="12"/>
      <c r="Z909" s="12"/>
    </row>
    <row r="910" spans="1:26" ht="15.75" thickBo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37"/>
      <c r="Y910" s="12"/>
      <c r="Z910" s="12"/>
    </row>
    <row r="911" spans="1:26" ht="15.75" thickBo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37"/>
      <c r="Y911" s="12"/>
      <c r="Z911" s="12"/>
    </row>
    <row r="912" spans="1:26" ht="15.75" thickBo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37"/>
      <c r="Y912" s="12"/>
      <c r="Z912" s="12"/>
    </row>
    <row r="913" spans="1:26" ht="15.75" thickBo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37"/>
      <c r="Y913" s="12"/>
      <c r="Z913" s="12"/>
    </row>
    <row r="914" spans="1:26" ht="15.75" thickBo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37"/>
      <c r="Y914" s="12"/>
      <c r="Z914" s="12"/>
    </row>
    <row r="915" spans="1:26" ht="15.75" thickBo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37"/>
      <c r="Y915" s="12"/>
      <c r="Z915" s="12"/>
    </row>
    <row r="916" spans="1:26" ht="15.75" thickBo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37"/>
      <c r="Y916" s="12"/>
      <c r="Z916" s="12"/>
    </row>
    <row r="917" spans="1:26" ht="15.75" thickBo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37"/>
      <c r="Y917" s="12"/>
      <c r="Z917" s="12"/>
    </row>
    <row r="918" spans="1:26" ht="15.75" thickBo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37"/>
      <c r="Y918" s="12"/>
      <c r="Z918" s="12"/>
    </row>
    <row r="919" spans="1:26" ht="15.75" thickBo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37"/>
      <c r="Y919" s="12"/>
      <c r="Z919" s="12"/>
    </row>
    <row r="920" spans="1:26" ht="15.75" thickBo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37"/>
      <c r="Y920" s="12"/>
      <c r="Z920" s="12"/>
    </row>
    <row r="921" spans="1:26" ht="15.75" thickBo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37"/>
      <c r="Y921" s="12"/>
      <c r="Z921" s="12"/>
    </row>
    <row r="922" spans="1:26" ht="15.75" thickBo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37"/>
      <c r="Y922" s="12"/>
      <c r="Z922" s="12"/>
    </row>
    <row r="923" spans="1:26" ht="15.75" thickBo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37"/>
      <c r="Y923" s="12"/>
      <c r="Z923" s="12"/>
    </row>
    <row r="924" spans="1:26" ht="15.75" thickBo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37"/>
      <c r="Y924" s="12"/>
      <c r="Z924" s="12"/>
    </row>
    <row r="925" spans="1:26" ht="15.75" thickBo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37"/>
      <c r="Y925" s="12"/>
      <c r="Z925" s="12"/>
    </row>
    <row r="926" spans="1:26" ht="15.75" thickBo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37"/>
      <c r="Y926" s="12"/>
      <c r="Z926" s="12"/>
    </row>
    <row r="927" spans="1:26" ht="15.75" thickBo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37"/>
      <c r="Y927" s="12"/>
      <c r="Z927" s="12"/>
    </row>
    <row r="928" spans="1:26" ht="15.75" thickBo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37"/>
      <c r="Y928" s="12"/>
      <c r="Z928" s="12"/>
    </row>
    <row r="929" spans="1:26" ht="15.75" thickBo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37"/>
      <c r="Y929" s="12"/>
      <c r="Z929" s="12"/>
    </row>
    <row r="930" spans="1:26" ht="15.75" thickBo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37"/>
      <c r="Y930" s="12"/>
      <c r="Z930" s="12"/>
    </row>
    <row r="931" spans="1:26" ht="15.75" thickBo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37"/>
      <c r="Y931" s="12"/>
      <c r="Z931" s="12"/>
    </row>
    <row r="932" spans="1:26" ht="15.75" thickBo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37"/>
      <c r="Y932" s="12"/>
      <c r="Z932" s="12"/>
    </row>
    <row r="933" spans="1:26" ht="15.75" thickBo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37"/>
      <c r="Y933" s="12"/>
      <c r="Z933" s="12"/>
    </row>
    <row r="934" spans="1:26" ht="15.75" thickBo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37"/>
      <c r="Y934" s="12"/>
      <c r="Z934" s="12"/>
    </row>
    <row r="935" spans="1:26" ht="15.75" thickBo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37"/>
      <c r="Y935" s="12"/>
      <c r="Z935" s="12"/>
    </row>
    <row r="936" spans="1:26" ht="15.75" thickBo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37"/>
      <c r="Y936" s="12"/>
      <c r="Z936" s="12"/>
    </row>
    <row r="937" spans="1:26" ht="15.75" thickBo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37"/>
      <c r="Y937" s="12"/>
      <c r="Z937" s="12"/>
    </row>
    <row r="938" spans="1:26" ht="15.75" thickBo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37"/>
      <c r="Y938" s="12"/>
      <c r="Z938" s="12"/>
    </row>
    <row r="939" spans="1:26" ht="15.75" thickBo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37"/>
      <c r="Y939" s="12"/>
      <c r="Z939" s="12"/>
    </row>
    <row r="940" spans="1:26" ht="15.75" thickBo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37"/>
      <c r="Y940" s="12"/>
      <c r="Z940" s="12"/>
    </row>
    <row r="941" spans="1:26" ht="15.75" thickBo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37"/>
      <c r="Y941" s="12"/>
      <c r="Z941" s="12"/>
    </row>
    <row r="942" spans="1:26" ht="15.75" thickBo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37"/>
      <c r="Y942" s="12"/>
      <c r="Z942" s="12"/>
    </row>
    <row r="943" spans="1:26" ht="15.75" thickBo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37"/>
      <c r="Y943" s="12"/>
      <c r="Z943" s="12"/>
    </row>
    <row r="944" spans="1:26" ht="15.75" thickBo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37"/>
      <c r="Y944" s="12"/>
      <c r="Z944" s="12"/>
    </row>
    <row r="945" spans="1:26" ht="15.75" thickBo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37"/>
      <c r="Y945" s="12"/>
      <c r="Z945" s="12"/>
    </row>
    <row r="946" spans="1:26" ht="15.75" thickBo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37"/>
      <c r="Y946" s="12"/>
      <c r="Z946" s="12"/>
    </row>
    <row r="947" spans="1:26" ht="15.75" thickBo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37"/>
      <c r="Y947" s="12"/>
      <c r="Z947" s="12"/>
    </row>
    <row r="948" spans="1:26" ht="15.75" thickBo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37"/>
      <c r="Y948" s="12"/>
      <c r="Z948" s="12"/>
    </row>
    <row r="949" spans="1:26" ht="15.75" thickBo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37"/>
      <c r="Y949" s="12"/>
      <c r="Z949" s="12"/>
    </row>
    <row r="950" spans="1:26" ht="15.75" thickBo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37"/>
      <c r="Y950" s="12"/>
      <c r="Z950" s="12"/>
    </row>
    <row r="951" spans="1:26" ht="15.75" thickBo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37"/>
      <c r="Y951" s="12"/>
      <c r="Z951" s="12"/>
    </row>
    <row r="952" spans="1:26" ht="15.75" thickBo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37"/>
      <c r="Y952" s="12"/>
      <c r="Z952" s="12"/>
    </row>
    <row r="953" spans="1:26" ht="15.75" thickBo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37"/>
      <c r="Y953" s="12"/>
      <c r="Z953" s="12"/>
    </row>
    <row r="954" spans="1:26" ht="15.75" thickBo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37"/>
      <c r="Y954" s="12"/>
      <c r="Z954" s="12"/>
    </row>
    <row r="955" spans="1:26" ht="15.75" thickBo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37"/>
      <c r="Y955" s="12"/>
      <c r="Z955" s="12"/>
    </row>
    <row r="956" spans="1:26" ht="15.75" thickBo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37"/>
      <c r="Y956" s="12"/>
      <c r="Z956" s="12"/>
    </row>
    <row r="957" spans="1:26" ht="15.75" thickBo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37"/>
      <c r="Y957" s="12"/>
      <c r="Z957" s="12"/>
    </row>
    <row r="958" spans="1:26" ht="15.75" thickBo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37"/>
      <c r="Y958" s="12"/>
      <c r="Z958" s="12"/>
    </row>
    <row r="959" spans="1:26" ht="15.75" thickBo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37"/>
      <c r="Y959" s="12"/>
      <c r="Z959" s="12"/>
    </row>
    <row r="960" spans="1:26" ht="15.75" thickBo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37"/>
      <c r="Y960" s="12"/>
      <c r="Z960" s="12"/>
    </row>
    <row r="961" spans="1:26" ht="15.75" thickBo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37"/>
      <c r="Y961" s="12"/>
      <c r="Z961" s="12"/>
    </row>
    <row r="962" spans="1:26" ht="15.75" thickBo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37"/>
      <c r="Y962" s="12"/>
      <c r="Z962" s="12"/>
    </row>
    <row r="963" spans="1:26" ht="15.75" thickBo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37"/>
      <c r="Y963" s="12"/>
      <c r="Z963" s="12"/>
    </row>
    <row r="964" spans="1:26" ht="15.75" thickBo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37"/>
      <c r="Y964" s="12"/>
      <c r="Z964" s="12"/>
    </row>
    <row r="965" spans="1:26" ht="15.75" thickBo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37"/>
      <c r="Y965" s="12"/>
      <c r="Z965" s="12"/>
    </row>
    <row r="966" spans="1:26" ht="15.75" thickBo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37"/>
      <c r="Y966" s="12"/>
      <c r="Z966" s="12"/>
    </row>
    <row r="967" spans="1:26" ht="15.75" thickBo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37"/>
      <c r="Y967" s="12"/>
      <c r="Z967" s="12"/>
    </row>
    <row r="968" spans="1:26" ht="15.75" thickBo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37"/>
      <c r="Y968" s="12"/>
      <c r="Z968" s="12"/>
    </row>
    <row r="969" spans="1:26" ht="15.75" thickBo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37"/>
      <c r="Y969" s="12"/>
      <c r="Z969" s="12"/>
    </row>
    <row r="970" spans="1:26" ht="15.75" thickBo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37"/>
      <c r="Y970" s="12"/>
      <c r="Z970" s="12"/>
    </row>
    <row r="971" spans="1:26" ht="15.75" thickBo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37"/>
      <c r="Y971" s="12"/>
      <c r="Z971" s="12"/>
    </row>
    <row r="972" spans="1:26" ht="15.75" thickBo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37"/>
      <c r="Y972" s="12"/>
      <c r="Z972" s="12"/>
    </row>
    <row r="973" spans="1:26" ht="15.75" thickBo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37"/>
      <c r="Y973" s="12"/>
      <c r="Z973" s="12"/>
    </row>
    <row r="974" spans="1:26" ht="15.75" thickBo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37"/>
      <c r="Y974" s="12"/>
      <c r="Z974" s="12"/>
    </row>
    <row r="975" spans="1:26" ht="15.75" thickBo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37"/>
      <c r="Y975" s="12"/>
      <c r="Z975" s="12"/>
    </row>
    <row r="976" spans="1:26" ht="15.75" thickBo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37"/>
      <c r="Y976" s="12"/>
      <c r="Z976" s="12"/>
    </row>
    <row r="977" spans="1:26" ht="15.75" thickBo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37"/>
      <c r="Y977" s="12"/>
      <c r="Z977" s="12"/>
    </row>
    <row r="978" spans="1:26" ht="15.75" thickBo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37"/>
      <c r="Y978" s="12"/>
      <c r="Z978" s="12"/>
    </row>
    <row r="979" spans="1:26" ht="15.75" thickBo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37"/>
      <c r="Y979" s="12"/>
      <c r="Z979" s="12"/>
    </row>
    <row r="980" spans="1:26" ht="15.75" thickBo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37"/>
      <c r="Y980" s="12"/>
      <c r="Z980" s="12"/>
    </row>
    <row r="981" spans="1:26" ht="15.75" thickBo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37"/>
      <c r="Y981" s="12"/>
      <c r="Z981" s="12"/>
    </row>
    <row r="982" spans="1:26" ht="15.75" thickBo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37"/>
      <c r="Y982" s="12"/>
      <c r="Z982" s="12"/>
    </row>
    <row r="983" spans="1:26" ht="15.75" thickBo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37"/>
      <c r="Y983" s="12"/>
      <c r="Z983" s="12"/>
    </row>
    <row r="984" spans="1:26" ht="15.75" thickBo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37"/>
      <c r="Y984" s="12"/>
      <c r="Z984" s="12"/>
    </row>
    <row r="985" spans="1:26" ht="15.75" thickBo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37"/>
      <c r="Y985" s="12"/>
      <c r="Z985" s="12"/>
    </row>
    <row r="986" spans="1:26" ht="15.75" thickBo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37"/>
      <c r="Y986" s="12"/>
      <c r="Z986" s="12"/>
    </row>
    <row r="987" spans="1:26" ht="15.75" thickBo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37"/>
      <c r="Y987" s="12"/>
      <c r="Z987" s="12"/>
    </row>
    <row r="988" spans="1:26" ht="15.75" thickBo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37"/>
      <c r="Y988" s="12"/>
      <c r="Z988" s="12"/>
    </row>
    <row r="989" spans="1:26" ht="15.75" thickBo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37"/>
      <c r="Y989" s="12"/>
      <c r="Z989" s="12"/>
    </row>
    <row r="990" spans="1:26" ht="15.75" thickBo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37"/>
      <c r="Y990" s="12"/>
      <c r="Z990" s="12"/>
    </row>
    <row r="991" spans="1:26" ht="15.75" thickBo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37"/>
      <c r="Y991" s="12"/>
      <c r="Z991" s="12"/>
    </row>
    <row r="992" spans="1:26" ht="15.75" thickBo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37"/>
      <c r="Y992" s="12"/>
      <c r="Z992" s="12"/>
    </row>
    <row r="993" spans="1:26" ht="15.75" thickBo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37"/>
      <c r="Y993" s="12"/>
      <c r="Z993" s="12"/>
    </row>
    <row r="994" spans="1:26" ht="15.75" thickBo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37"/>
      <c r="Y994" s="12"/>
      <c r="Z994" s="12"/>
    </row>
    <row r="995" spans="1:26" ht="15.75" thickBo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37"/>
      <c r="Y995" s="12"/>
      <c r="Z995" s="12"/>
    </row>
    <row r="996" spans="1:26" ht="15.75" thickBo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37"/>
      <c r="Y996" s="12"/>
      <c r="Z996" s="12"/>
    </row>
    <row r="997" spans="1:26" ht="15.75" thickBo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37"/>
      <c r="Y997" s="12"/>
      <c r="Z997" s="12"/>
    </row>
    <row r="998" spans="1:26" ht="15.75" thickBo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37"/>
      <c r="Y998" s="12"/>
      <c r="Z998" s="12"/>
    </row>
    <row r="999" spans="1:26" ht="15.75" thickBo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37"/>
      <c r="Y999" s="12"/>
      <c r="Z999" s="12"/>
    </row>
    <row r="1000" spans="1:26" ht="15.75" thickBo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37"/>
      <c r="Y1000" s="12"/>
      <c r="Z1000" s="12"/>
    </row>
    <row r="1001" spans="1:26" ht="15.75" thickBot="1" x14ac:dyDescent="0.3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37"/>
      <c r="Y1001" s="12"/>
      <c r="Z1001" s="12"/>
    </row>
    <row r="1002" spans="1:26" ht="15.75" thickBot="1" x14ac:dyDescent="0.3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37"/>
      <c r="Y1002" s="12"/>
      <c r="Z1002" s="12"/>
    </row>
    <row r="1003" spans="1:26" ht="15.75" thickBot="1" x14ac:dyDescent="0.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37"/>
      <c r="Y1003" s="12"/>
      <c r="Z1003" s="12"/>
    </row>
    <row r="1004" spans="1:26" ht="15.75" thickBot="1" x14ac:dyDescent="0.3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37"/>
      <c r="Y1004" s="12"/>
      <c r="Z1004" s="12"/>
    </row>
    <row r="1005" spans="1:26" ht="15.75" thickBot="1" x14ac:dyDescent="0.3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37"/>
      <c r="Y1005" s="12"/>
      <c r="Z1005" s="12"/>
    </row>
    <row r="1006" spans="1:26" ht="15.75" thickBot="1" x14ac:dyDescent="0.3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37"/>
      <c r="Y1006" s="12"/>
      <c r="Z1006" s="12"/>
    </row>
    <row r="1007" spans="1:26" ht="15.75" thickBot="1" x14ac:dyDescent="0.3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37"/>
      <c r="Y1007" s="12"/>
      <c r="Z1007" s="12"/>
    </row>
    <row r="1008" spans="1:26" ht="15.75" thickBot="1" x14ac:dyDescent="0.3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37"/>
      <c r="Y1008" s="12"/>
      <c r="Z1008" s="12"/>
    </row>
    <row r="1009" spans="1:26" ht="15.75" thickBot="1" x14ac:dyDescent="0.3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37"/>
      <c r="Y1009" s="12"/>
      <c r="Z1009" s="12"/>
    </row>
    <row r="1010" spans="1:26" ht="15.75" thickBot="1" x14ac:dyDescent="0.3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37"/>
      <c r="Y1010" s="12"/>
      <c r="Z1010" s="12"/>
    </row>
    <row r="1011" spans="1:26" ht="15.75" thickBot="1" x14ac:dyDescent="0.3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37"/>
      <c r="Y1011" s="12"/>
      <c r="Z1011" s="12"/>
    </row>
    <row r="1012" spans="1:26" ht="15.75" thickBot="1" x14ac:dyDescent="0.3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37"/>
      <c r="Y1012" s="12"/>
      <c r="Z1012" s="12"/>
    </row>
    <row r="1013" spans="1:26" ht="15.75" thickBot="1" x14ac:dyDescent="0.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37"/>
      <c r="Y1013" s="12"/>
      <c r="Z1013" s="12"/>
    </row>
    <row r="1014" spans="1:26" ht="15.75" thickBot="1" x14ac:dyDescent="0.3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37"/>
      <c r="Y1014" s="12"/>
      <c r="Z1014" s="12"/>
    </row>
    <row r="1015" spans="1:26" ht="15.75" thickBot="1" x14ac:dyDescent="0.3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37"/>
      <c r="Y1015" s="12"/>
      <c r="Z1015" s="12"/>
    </row>
    <row r="1016" spans="1:26" ht="15.75" thickBot="1" x14ac:dyDescent="0.3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37"/>
      <c r="Y1016" s="12"/>
      <c r="Z1016" s="12"/>
    </row>
    <row r="1017" spans="1:26" ht="15.75" thickBot="1" x14ac:dyDescent="0.3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37"/>
      <c r="Y1017" s="12"/>
      <c r="Z1017" s="12"/>
    </row>
    <row r="1018" spans="1:26" ht="15.75" thickBot="1" x14ac:dyDescent="0.3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37"/>
      <c r="Y1018" s="12"/>
      <c r="Z1018" s="12"/>
    </row>
  </sheetData>
  <mergeCells count="82">
    <mergeCell ref="W23:W24"/>
    <mergeCell ref="X23:X24"/>
    <mergeCell ref="R23:R24"/>
    <mergeCell ref="S23:S24"/>
    <mergeCell ref="T23:T24"/>
    <mergeCell ref="U23:U24"/>
    <mergeCell ref="V23:V24"/>
    <mergeCell ref="A23:A24"/>
    <mergeCell ref="B23:B24"/>
    <mergeCell ref="C23:C24"/>
    <mergeCell ref="P23:P24"/>
    <mergeCell ref="Q23:Q24"/>
    <mergeCell ref="U12:U13"/>
    <mergeCell ref="V12:V13"/>
    <mergeCell ref="W12:W13"/>
    <mergeCell ref="X12:X13"/>
    <mergeCell ref="A18:A19"/>
    <mergeCell ref="B18:B19"/>
    <mergeCell ref="C18:C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V10:V11"/>
    <mergeCell ref="W10:W11"/>
    <mergeCell ref="X10:X11"/>
    <mergeCell ref="A12:A13"/>
    <mergeCell ref="B12:B13"/>
    <mergeCell ref="C12:C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V5:V9"/>
    <mergeCell ref="W5:W9"/>
    <mergeCell ref="X5:X9"/>
    <mergeCell ref="A10:A11"/>
    <mergeCell ref="B10:B11"/>
    <mergeCell ref="C10:C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A3:A4"/>
    <mergeCell ref="B3:B4"/>
    <mergeCell ref="C3:C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A5:A9"/>
    <mergeCell ref="B5:B9"/>
    <mergeCell ref="C5:C9"/>
    <mergeCell ref="K5:K6"/>
    <mergeCell ref="P5:P9"/>
    <mergeCell ref="Q5:Q9"/>
    <mergeCell ref="R5:R9"/>
    <mergeCell ref="S5:S9"/>
    <mergeCell ref="T5:T9"/>
    <mergeCell ref="U5:U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2</v>
      </c>
      <c r="B1" t="s">
        <v>3</v>
      </c>
    </row>
    <row r="2" spans="1:2" ht="15.75" x14ac:dyDescent="0.25">
      <c r="A2" s="3" t="s">
        <v>29</v>
      </c>
      <c r="B2" t="s">
        <v>81</v>
      </c>
    </row>
    <row r="3" spans="1:2" x14ac:dyDescent="0.25">
      <c r="A3" s="1" t="s">
        <v>31</v>
      </c>
      <c r="B3" s="4" t="s">
        <v>30</v>
      </c>
    </row>
    <row r="4" spans="1:2" x14ac:dyDescent="0.25">
      <c r="A4" s="1" t="s">
        <v>10</v>
      </c>
      <c r="B4" s="4" t="s">
        <v>75</v>
      </c>
    </row>
    <row r="5" spans="1:2" ht="16.5" x14ac:dyDescent="0.3">
      <c r="A5" s="5" t="s">
        <v>16</v>
      </c>
      <c r="B5" s="4" t="s">
        <v>44</v>
      </c>
    </row>
    <row r="6" spans="1:2" ht="16.5" x14ac:dyDescent="0.3">
      <c r="A6" s="5" t="s">
        <v>53</v>
      </c>
      <c r="B6" s="4" t="s">
        <v>80</v>
      </c>
    </row>
    <row r="7" spans="1:2" ht="16.5" x14ac:dyDescent="0.3">
      <c r="A7" s="5" t="s">
        <v>82</v>
      </c>
      <c r="B7" s="6" t="s">
        <v>9</v>
      </c>
    </row>
    <row r="8" spans="1:2" ht="16.5" x14ac:dyDescent="0.3">
      <c r="A8" s="5" t="s">
        <v>63</v>
      </c>
      <c r="B8" s="6" t="s">
        <v>17</v>
      </c>
    </row>
    <row r="9" spans="1:2" ht="16.5" x14ac:dyDescent="0.3">
      <c r="A9" s="5" t="s">
        <v>65</v>
      </c>
      <c r="B9" s="4" t="s">
        <v>18</v>
      </c>
    </row>
    <row r="10" spans="1:2" ht="16.5" x14ac:dyDescent="0.3">
      <c r="A10" s="5" t="s">
        <v>20</v>
      </c>
      <c r="B10" s="4" t="s">
        <v>23</v>
      </c>
    </row>
    <row r="11" spans="1:2" ht="16.5" x14ac:dyDescent="0.3">
      <c r="A11" s="5" t="s">
        <v>75</v>
      </c>
      <c r="B11" s="4" t="s">
        <v>12</v>
      </c>
    </row>
    <row r="12" spans="1:2" ht="16.5" x14ac:dyDescent="0.3">
      <c r="A12" s="5" t="s">
        <v>76</v>
      </c>
      <c r="B12" s="4" t="s">
        <v>43</v>
      </c>
    </row>
    <row r="13" spans="1:2" ht="17.25" x14ac:dyDescent="0.3">
      <c r="A13" s="7" t="s">
        <v>77</v>
      </c>
      <c r="B13" s="4" t="s">
        <v>0</v>
      </c>
    </row>
    <row r="14" spans="1:2" ht="16.5" x14ac:dyDescent="0.3">
      <c r="A14" s="5" t="s">
        <v>83</v>
      </c>
      <c r="B14" s="4" t="s">
        <v>54</v>
      </c>
    </row>
    <row r="15" spans="1:2" ht="16.5" x14ac:dyDescent="0.3">
      <c r="A15" s="5" t="s">
        <v>22</v>
      </c>
      <c r="B15" s="4" t="s">
        <v>55</v>
      </c>
    </row>
    <row r="16" spans="1:2" ht="16.5" x14ac:dyDescent="0.3">
      <c r="A16" s="5" t="s">
        <v>6</v>
      </c>
      <c r="B16" s="4" t="s">
        <v>68</v>
      </c>
    </row>
    <row r="17" spans="2:2" x14ac:dyDescent="0.25">
      <c r="B17" s="6" t="s">
        <v>39</v>
      </c>
    </row>
    <row r="18" spans="2:2" x14ac:dyDescent="0.25">
      <c r="B18" s="4" t="s">
        <v>67</v>
      </c>
    </row>
    <row r="19" spans="2:2" x14ac:dyDescent="0.25">
      <c r="B19" s="4" t="s">
        <v>84</v>
      </c>
    </row>
    <row r="20" spans="2:2" x14ac:dyDescent="0.25">
      <c r="B20" s="4" t="s">
        <v>33</v>
      </c>
    </row>
    <row r="21" spans="2:2" x14ac:dyDescent="0.25">
      <c r="B21" s="6" t="s">
        <v>34</v>
      </c>
    </row>
    <row r="22" spans="2:2" x14ac:dyDescent="0.25">
      <c r="B22" s="4" t="s">
        <v>7</v>
      </c>
    </row>
    <row r="23" spans="2:2" x14ac:dyDescent="0.25">
      <c r="B23" s="4" t="s">
        <v>35</v>
      </c>
    </row>
    <row r="24" spans="2:2" x14ac:dyDescent="0.25">
      <c r="B24" s="4" t="s">
        <v>70</v>
      </c>
    </row>
    <row r="25" spans="2:2" x14ac:dyDescent="0.25">
      <c r="B25" s="6" t="s">
        <v>49</v>
      </c>
    </row>
    <row r="26" spans="2:2" x14ac:dyDescent="0.25">
      <c r="B26" s="6" t="s">
        <v>36</v>
      </c>
    </row>
    <row r="27" spans="2:2" x14ac:dyDescent="0.25">
      <c r="B27" s="6" t="s">
        <v>51</v>
      </c>
    </row>
    <row r="28" spans="2:2" x14ac:dyDescent="0.25">
      <c r="B28" s="6" t="s">
        <v>52</v>
      </c>
    </row>
    <row r="29" spans="2:2" x14ac:dyDescent="0.25">
      <c r="B29" s="4" t="s">
        <v>85</v>
      </c>
    </row>
    <row r="30" spans="2:2" x14ac:dyDescent="0.25">
      <c r="B30" s="6" t="s">
        <v>86</v>
      </c>
    </row>
    <row r="31" spans="2:2" x14ac:dyDescent="0.25">
      <c r="B31" s="4" t="s">
        <v>40</v>
      </c>
    </row>
    <row r="32" spans="2:2" x14ac:dyDescent="0.25">
      <c r="B32" s="4" t="s">
        <v>87</v>
      </c>
    </row>
    <row r="33" spans="2:2" x14ac:dyDescent="0.25">
      <c r="B33" s="4" t="s">
        <v>14</v>
      </c>
    </row>
    <row r="34" spans="2:2" x14ac:dyDescent="0.25">
      <c r="B34" s="4" t="s">
        <v>88</v>
      </c>
    </row>
    <row r="35" spans="2:2" x14ac:dyDescent="0.25">
      <c r="B35" s="4" t="s">
        <v>89</v>
      </c>
    </row>
    <row r="36" spans="2:2" x14ac:dyDescent="0.25">
      <c r="B36" s="4" t="s">
        <v>61</v>
      </c>
    </row>
    <row r="37" spans="2:2" x14ac:dyDescent="0.25">
      <c r="B37" s="6" t="s">
        <v>62</v>
      </c>
    </row>
    <row r="38" spans="2:2" x14ac:dyDescent="0.25">
      <c r="B38" s="6" t="s">
        <v>90</v>
      </c>
    </row>
    <row r="39" spans="2:2" x14ac:dyDescent="0.25">
      <c r="B39" s="6" t="s">
        <v>91</v>
      </c>
    </row>
    <row r="40" spans="2:2" x14ac:dyDescent="0.25">
      <c r="B40" s="6" t="s">
        <v>41</v>
      </c>
    </row>
    <row r="41" spans="2:2" x14ac:dyDescent="0.25">
      <c r="B41" s="6" t="s">
        <v>78</v>
      </c>
    </row>
    <row r="42" spans="2:2" x14ac:dyDescent="0.25">
      <c r="B42" s="6" t="s">
        <v>92</v>
      </c>
    </row>
    <row r="43" spans="2:2" x14ac:dyDescent="0.25">
      <c r="B43" s="6" t="s">
        <v>13</v>
      </c>
    </row>
    <row r="44" spans="2:2" x14ac:dyDescent="0.25">
      <c r="B44" s="6" t="s">
        <v>93</v>
      </c>
    </row>
    <row r="45" spans="2:2" x14ac:dyDescent="0.25">
      <c r="B45" s="6" t="s">
        <v>94</v>
      </c>
    </row>
    <row r="46" spans="2:2" x14ac:dyDescent="0.25">
      <c r="B46" s="4" t="s">
        <v>8</v>
      </c>
    </row>
    <row r="47" spans="2:2" x14ac:dyDescent="0.25">
      <c r="B47" s="4" t="s">
        <v>56</v>
      </c>
    </row>
    <row r="48" spans="2:2" x14ac:dyDescent="0.25">
      <c r="B48" s="4" t="s">
        <v>72</v>
      </c>
    </row>
    <row r="49" spans="2:2" x14ac:dyDescent="0.25">
      <c r="B49" s="4" t="s">
        <v>95</v>
      </c>
    </row>
    <row r="50" spans="2:2" x14ac:dyDescent="0.25">
      <c r="B50" s="4" t="s">
        <v>96</v>
      </c>
    </row>
    <row r="51" spans="2:2" x14ac:dyDescent="0.25">
      <c r="B51" s="4" t="s">
        <v>42</v>
      </c>
    </row>
    <row r="52" spans="2:2" x14ac:dyDescent="0.25">
      <c r="B52" s="4" t="s">
        <v>11</v>
      </c>
    </row>
    <row r="53" spans="2:2" x14ac:dyDescent="0.25">
      <c r="B53" s="4" t="s">
        <v>97</v>
      </c>
    </row>
    <row r="54" spans="2:2" x14ac:dyDescent="0.25">
      <c r="B54" s="4" t="s">
        <v>98</v>
      </c>
    </row>
    <row r="55" spans="2:2" x14ac:dyDescent="0.25">
      <c r="B55" s="4" t="s">
        <v>32</v>
      </c>
    </row>
    <row r="56" spans="2:2" x14ac:dyDescent="0.25">
      <c r="B56" s="4" t="s">
        <v>59</v>
      </c>
    </row>
    <row r="57" spans="2:2" x14ac:dyDescent="0.25">
      <c r="B57" s="8" t="s">
        <v>46</v>
      </c>
    </row>
    <row r="58" spans="2:2" x14ac:dyDescent="0.25">
      <c r="B58" s="4" t="s">
        <v>99</v>
      </c>
    </row>
    <row r="59" spans="2:2" x14ac:dyDescent="0.25">
      <c r="B59" s="4" t="s">
        <v>73</v>
      </c>
    </row>
    <row r="60" spans="2:2" x14ac:dyDescent="0.25">
      <c r="B60" s="4" t="s">
        <v>47</v>
      </c>
    </row>
    <row r="61" spans="2:2" x14ac:dyDescent="0.25">
      <c r="B61" s="8" t="s">
        <v>48</v>
      </c>
    </row>
    <row r="62" spans="2:2" x14ac:dyDescent="0.25">
      <c r="B62" s="4" t="s">
        <v>1</v>
      </c>
    </row>
    <row r="63" spans="2:2" x14ac:dyDescent="0.25">
      <c r="B63" s="4" t="s">
        <v>50</v>
      </c>
    </row>
    <row r="64" spans="2:2" x14ac:dyDescent="0.25">
      <c r="B64" s="4" t="s">
        <v>100</v>
      </c>
    </row>
    <row r="65" spans="2:2" x14ac:dyDescent="0.25">
      <c r="B65" s="4" t="s">
        <v>101</v>
      </c>
    </row>
    <row r="66" spans="2:2" x14ac:dyDescent="0.25">
      <c r="B66" s="4" t="s">
        <v>74</v>
      </c>
    </row>
    <row r="67" spans="2:2" x14ac:dyDescent="0.25">
      <c r="B67" s="6" t="s">
        <v>57</v>
      </c>
    </row>
    <row r="68" spans="2:2" x14ac:dyDescent="0.25">
      <c r="B68" s="6" t="s">
        <v>45</v>
      </c>
    </row>
    <row r="69" spans="2:2" x14ac:dyDescent="0.25">
      <c r="B69" s="9" t="s">
        <v>102</v>
      </c>
    </row>
    <row r="70" spans="2:2" x14ac:dyDescent="0.25">
      <c r="B70" s="4" t="s">
        <v>64</v>
      </c>
    </row>
    <row r="71" spans="2:2" x14ac:dyDescent="0.25">
      <c r="B71" s="6" t="s">
        <v>103</v>
      </c>
    </row>
    <row r="72" spans="2:2" x14ac:dyDescent="0.25">
      <c r="B72" t="s">
        <v>4</v>
      </c>
    </row>
    <row r="73" spans="2:2" x14ac:dyDescent="0.25">
      <c r="B73" s="6" t="s">
        <v>69</v>
      </c>
    </row>
    <row r="74" spans="2:2" x14ac:dyDescent="0.25">
      <c r="B74" s="6" t="s">
        <v>104</v>
      </c>
    </row>
    <row r="75" spans="2:2" x14ac:dyDescent="0.25">
      <c r="B75" s="6" t="s">
        <v>105</v>
      </c>
    </row>
    <row r="76" spans="2:2" x14ac:dyDescent="0.25">
      <c r="B76" s="6" t="s">
        <v>66</v>
      </c>
    </row>
    <row r="77" spans="2:2" x14ac:dyDescent="0.25">
      <c r="B77" s="6" t="s">
        <v>21</v>
      </c>
    </row>
    <row r="78" spans="2:2" x14ac:dyDescent="0.25">
      <c r="B78" s="6" t="s">
        <v>114</v>
      </c>
    </row>
    <row r="79" spans="2:2" x14ac:dyDescent="0.25">
      <c r="B79" s="6" t="s">
        <v>106</v>
      </c>
    </row>
    <row r="80" spans="2:2" x14ac:dyDescent="0.25">
      <c r="B80" s="6" t="s">
        <v>67</v>
      </c>
    </row>
    <row r="81" spans="2:2" x14ac:dyDescent="0.25">
      <c r="B81" s="6" t="s">
        <v>60</v>
      </c>
    </row>
    <row r="82" spans="2:2" x14ac:dyDescent="0.25">
      <c r="B82" s="6" t="s">
        <v>58</v>
      </c>
    </row>
    <row r="83" spans="2:2" x14ac:dyDescent="0.25">
      <c r="B83" s="6" t="s">
        <v>15</v>
      </c>
    </row>
    <row r="84" spans="2:2" x14ac:dyDescent="0.25">
      <c r="B84" s="6" t="s">
        <v>107</v>
      </c>
    </row>
    <row r="85" spans="2:2" x14ac:dyDescent="0.25">
      <c r="B85" s="6" t="s">
        <v>71</v>
      </c>
    </row>
    <row r="86" spans="2:2" x14ac:dyDescent="0.25">
      <c r="B86" s="6" t="s">
        <v>108</v>
      </c>
    </row>
    <row r="87" spans="2:2" x14ac:dyDescent="0.25">
      <c r="B87" s="6" t="s">
        <v>37</v>
      </c>
    </row>
    <row r="88" spans="2:2" x14ac:dyDescent="0.25">
      <c r="B88" s="6" t="s">
        <v>38</v>
      </c>
    </row>
    <row r="89" spans="2:2" x14ac:dyDescent="0.25">
      <c r="B89" s="6" t="s">
        <v>19</v>
      </c>
    </row>
    <row r="90" spans="2:2" x14ac:dyDescent="0.25">
      <c r="B90" s="10" t="s">
        <v>109</v>
      </c>
    </row>
    <row r="91" spans="2:2" x14ac:dyDescent="0.25">
      <c r="B91" s="6" t="s">
        <v>5</v>
      </c>
    </row>
    <row r="92" spans="2:2" x14ac:dyDescent="0.25">
      <c r="B92" s="6" t="s">
        <v>110</v>
      </c>
    </row>
    <row r="93" spans="2:2" x14ac:dyDescent="0.25">
      <c r="B93" s="6" t="s">
        <v>115</v>
      </c>
    </row>
    <row r="94" spans="2:2" x14ac:dyDescent="0.25">
      <c r="B94" t="s">
        <v>111</v>
      </c>
    </row>
    <row r="95" spans="2:2" x14ac:dyDescent="0.25">
      <c r="B95" s="6" t="s">
        <v>112</v>
      </c>
    </row>
    <row r="96" spans="2:2" x14ac:dyDescent="0.25">
      <c r="B96" s="6" t="s">
        <v>113</v>
      </c>
    </row>
    <row r="97" spans="2:2" x14ac:dyDescent="0.25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Abr'25</vt:lpstr>
      <vt:lpstr>Gastos</vt:lpstr>
      <vt:lpstr>Ventas Abr'25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2025-05-14T22:42:22Z</dcterms:modified>
</cp:coreProperties>
</file>