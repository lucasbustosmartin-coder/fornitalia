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01895872-D8A9-4A6B-B154-F5BDCAF9F786}" xr6:coauthVersionLast="47" xr6:coauthVersionMax="47" xr10:uidLastSave="{00000000-0000-0000-0000-000000000000}"/>
  <bookViews>
    <workbookView xWindow="-108" yWindow="-108" windowWidth="23256" windowHeight="12456" tabRatio="599" activeTab="1" xr2:uid="{30A6164E-A0D3-4996-9EF3-92045D51F006}"/>
  </bookViews>
  <sheets>
    <sheet name="Sep'25" sheetId="23" r:id="rId1"/>
    <sheet name="Gastos" sheetId="24" r:id="rId2"/>
    <sheet name="Ventas Sep´25" sheetId="25" r:id="rId3"/>
    <sheet name="Ventas Oct 2025" sheetId="18" r:id="rId4"/>
    <sheet name="LISTA CONCEPTOS" sheetId="15" state="hidden" r:id="rId5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8" l="1"/>
  <c r="L21" i="18"/>
  <c r="L22" i="18"/>
  <c r="I47" i="18"/>
  <c r="B6" i="23" s="1"/>
  <c r="B3" i="23" l="1"/>
  <c r="K45" i="18"/>
  <c r="L45" i="18" s="1"/>
  <c r="K44" i="18"/>
  <c r="K40" i="18"/>
  <c r="L40" i="18" s="1"/>
  <c r="L2" i="18"/>
  <c r="L3" i="18"/>
  <c r="L4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3" i="18"/>
  <c r="L24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9" i="18"/>
  <c r="L41" i="18"/>
  <c r="L42" i="18"/>
  <c r="L43" i="18"/>
  <c r="L44" i="18"/>
  <c r="K38" i="18"/>
  <c r="L38" i="18" s="1"/>
  <c r="K37" i="18"/>
  <c r="K29" i="18"/>
  <c r="K28" i="18"/>
  <c r="K26" i="18"/>
  <c r="K25" i="18"/>
  <c r="L25" i="18" s="1"/>
  <c r="K17" i="18"/>
  <c r="K6" i="18"/>
  <c r="L6" i="18" s="1"/>
  <c r="K5" i="18"/>
  <c r="L5" i="18" s="1"/>
  <c r="J47" i="18"/>
  <c r="L47" i="18" l="1"/>
  <c r="K47" i="18"/>
  <c r="B4" i="23" s="1"/>
  <c r="B5" i="23" l="1"/>
  <c r="C193" i="24" l="1"/>
  <c r="B22" i="23" s="1"/>
  <c r="C10" i="24"/>
  <c r="B13" i="23" s="1"/>
  <c r="C31" i="24"/>
  <c r="B14" i="23" s="1"/>
  <c r="C33" i="24"/>
  <c r="B15" i="23" s="1"/>
  <c r="C184" i="24"/>
  <c r="B21" i="23" s="1"/>
  <c r="C166" i="24"/>
  <c r="B16" i="23" s="1"/>
  <c r="B166" i="24"/>
  <c r="C12" i="24"/>
  <c r="B12" i="23" s="1"/>
  <c r="C7" i="24"/>
  <c r="B11" i="23" s="1"/>
  <c r="B10" i="23" l="1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<sst xmlns="http://schemas.openxmlformats.org/spreadsheetml/2006/main" count="1166" uniqueCount="418">
  <si>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</si>
  <si>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</si>
  <si>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</si>
  <si>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</si>
  <si>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</si>
  <si>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</si>
  <si>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</si>
  <si>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</si>
  <si>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</si>
  <si>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</si>
  <si>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</si>
  <si>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</si>
  <si>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</si>
  <si>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</si>
  <si>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</si>
  <si>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</si>
  <si>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</si>
  <si>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</si>
  <si>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</si>
  <si>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</si>
  <si>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</si>
  <si>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</si>
  <si>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</si>
  <si>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</si>
  <si>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</si>
  <si>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</si>
  <si>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</si>
  <si>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</si>
  <si>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</si>
  <si>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</si>
  <si>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</si>
  <si>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</si>
  <si>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</si>
  <si>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</si>
  <si>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</si>
  <si>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</si>
  <si>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</si>
  <si>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</si>
  <si>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</si>
  <si>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</si>
  <si>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</si>
  <si>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</si>
  <si>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</si>
  <si>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</si>
  <si>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</si>
  <si>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</si>
  <si>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</si>
  <si>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</si>
  <si>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</si>
  <si>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</si>
  <si>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</si>
  <si>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</si>
  <si>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</si>
  <si>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</si>
  <si>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</si>
  <si>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</si>
  <si>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</si>
  <si>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</si>
  <si>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</si>
  <si>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</si>
  <si>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</si>
  <si>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</si>
  <si>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</si>
  <si>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</si>
  <si>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</si>
  <si>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</si>
  <si>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</si>
  <si>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</si>
  <si>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</si>
  <si>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</si>
  <si>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</si>
  <si>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</si>
  <si>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</si>
  <si>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</si>
  <si>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</si>
  <si>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</si>
  <si>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</si>
  <si>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</si>
  <si>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</si>
  <si>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</si>
  <si>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</si>
  <si>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</si>
  <si>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</si>
  <si>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</si>
  <si>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</si>
  <si>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</si>
  <si>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</si>
  <si>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</si>
  <si>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</si>
  <si>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</si>
  <si>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</si>
  <si>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</si>
  <si>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</si>
  <si>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</si>
  <si>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</si>
  <si>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</si>
  <si>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</si>
  <si>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</si>
  <si>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</si>
  <si>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</si>
  <si>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</si>
  <si>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</si>
  <si>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</si>
  <si>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</si>
  <si>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</si>
  <si>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</si>
  <si>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</si>
  <si>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</si>
  <si>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</si>
  <si>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</si>
  <si>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</si>
  <si>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</si>
  <si>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</si>
  <si>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</si>
  <si>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</si>
  <si>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</si>
  <si>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</si>
  <si>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Cynthia</t>
  </si>
  <si>
    <t>IVA</t>
  </si>
  <si>
    <t>Impuesto Ley 25.413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</si>
  <si>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</si>
  <si>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</si>
  <si>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</si>
  <si>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</si>
  <si>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</si>
  <si>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</si>
  <si>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</si>
  <si>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</si>
  <si>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Honorarios Contables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</si>
  <si>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</si>
  <si>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</si>
  <si>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</si>
  <si>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</si>
  <si>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</si>
  <si>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</si>
  <si>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</si>
  <si>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</si>
  <si>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</si>
  <si>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</si>
  <si>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</si>
  <si>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</si>
  <si>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</si>
  <si>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</si>
  <si>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</si>
  <si>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</si>
  <si>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</si>
  <si>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</si>
  <si>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</si>
  <si>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</si>
  <si>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</si>
  <si>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</si>
  <si>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</si>
  <si>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</si>
  <si>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ABL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</si>
  <si>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</si>
  <si>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</si>
  <si>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</si>
  <si>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</si>
  <si>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</si>
  <si>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</si>
  <si>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</si>
  <si>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</si>
  <si>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</si>
  <si>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</si>
  <si>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</si>
  <si>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Vendedor</t>
  </si>
  <si>
    <t>Referido</t>
  </si>
  <si>
    <t>Correo</t>
  </si>
  <si>
    <t>Subtotal</t>
  </si>
  <si>
    <t>IVA 10-5%</t>
  </si>
  <si>
    <t>IVA 21%</t>
  </si>
  <si>
    <t>Total Cotización</t>
  </si>
  <si>
    <t>% Factura</t>
  </si>
  <si>
    <t>Total Factura</t>
  </si>
  <si>
    <t>Monto Factura</t>
  </si>
  <si>
    <t>Monto Efectivo</t>
  </si>
  <si>
    <t>Venta</t>
  </si>
  <si>
    <t>Pago Realizado</t>
  </si>
  <si>
    <t>Jairo Ayrton Carrizo Peñaloza</t>
  </si>
  <si>
    <t>APYCE</t>
  </si>
  <si>
    <t>jairoayrtoncarrizopenaloza@gmail.com</t>
  </si>
  <si>
    <t>250.000,00</t>
  </si>
  <si>
    <t>0,00</t>
  </si>
  <si>
    <t>52.500,00</t>
  </si>
  <si>
    <t>302.500,00</t>
  </si>
  <si>
    <t>Despachado</t>
  </si>
  <si>
    <t>Lucas  Moreno</t>
  </si>
  <si>
    <t>3.516.000,00</t>
  </si>
  <si>
    <t>369.180,00</t>
  </si>
  <si>
    <t>3.885.180,00</t>
  </si>
  <si>
    <t>1.942.590,00</t>
  </si>
  <si>
    <t>1.758.000,00</t>
  </si>
  <si>
    <t>Julian  Palamara</t>
  </si>
  <si>
    <t>Juliipalamara@gmail.com</t>
  </si>
  <si>
    <t>5.860.000,00</t>
  </si>
  <si>
    <t>615.300,00</t>
  </si>
  <si>
    <t>6.475.300,00</t>
  </si>
  <si>
    <t>3.237.650,00</t>
  </si>
  <si>
    <t>2.930.000,00</t>
  </si>
  <si>
    <t>Lorenzo Sanchez</t>
  </si>
  <si>
    <t>lorenzosz.41@gmail.com</t>
  </si>
  <si>
    <t>6.237.795,00</t>
  </si>
  <si>
    <t>654.968,48</t>
  </si>
  <si>
    <t>6.892.763,48</t>
  </si>
  <si>
    <t>Mario Cesar Scattolini</t>
  </si>
  <si>
    <t>mario.scattolini@hotmail.com</t>
  </si>
  <si>
    <t>6.446.000,00</t>
  </si>
  <si>
    <t>676.830,00</t>
  </si>
  <si>
    <t>7.122.830,00</t>
  </si>
  <si>
    <t>Diego Alejandro Bacigalupi</t>
  </si>
  <si>
    <t>diegocarthu@gmail.com</t>
  </si>
  <si>
    <t>1.188.000,00</t>
  </si>
  <si>
    <t>124.740,00</t>
  </si>
  <si>
    <t>1.312.740,00</t>
  </si>
  <si>
    <t>Victor Ochoa</t>
  </si>
  <si>
    <t>3.867.600,00</t>
  </si>
  <si>
    <t>406.098,00</t>
  </si>
  <si>
    <t>4.273.698,00</t>
  </si>
  <si>
    <t>Patricio Hernan   Rienzi</t>
  </si>
  <si>
    <t>4.117.600,00</t>
  </si>
  <si>
    <t>4.576.198,00</t>
  </si>
  <si>
    <t xml:space="preserve"> Federico Cortez </t>
  </si>
  <si>
    <t>federsfc@gmail.com</t>
  </si>
  <si>
    <t xml:space="preserve">Javier Maximiliano Coccaro </t>
  </si>
  <si>
    <t xml:space="preserve">Luciano </t>
  </si>
  <si>
    <t>jc-producciones2005@hotmail.com</t>
  </si>
  <si>
    <t>75.100,00</t>
  </si>
  <si>
    <t>7.885,50</t>
  </si>
  <si>
    <t>82.985,50</t>
  </si>
  <si>
    <t xml:space="preserve">Michele  Conte </t>
  </si>
  <si>
    <t>2.211.000,00</t>
  </si>
  <si>
    <t>232.155,00</t>
  </si>
  <si>
    <t>2.443.155,00</t>
  </si>
  <si>
    <t xml:space="preserve">Mariela Patricia  Ambrosio </t>
  </si>
  <si>
    <t>Leperefacundo@gmail.com</t>
  </si>
  <si>
    <t>2.136.849,00</t>
  </si>
  <si>
    <t>1.933.800,00</t>
  </si>
  <si>
    <t>Tomas Alvarez</t>
  </si>
  <si>
    <t>Claudio Alejandro Sala</t>
  </si>
  <si>
    <t>3.674.220,00</t>
  </si>
  <si>
    <t>385.793,10</t>
  </si>
  <si>
    <t>4.060.013,10</t>
  </si>
  <si>
    <t>2.030.006,55</t>
  </si>
  <si>
    <t>1.837.110,00</t>
  </si>
  <si>
    <t xml:space="preserve"> Diego   Mandarino </t>
  </si>
  <si>
    <t>3.179.000,00</t>
  </si>
  <si>
    <t>333.795,00</t>
  </si>
  <si>
    <t>3.512.795,00</t>
  </si>
  <si>
    <t>1.756.397,50</t>
  </si>
  <si>
    <t>1.589.500,00</t>
  </si>
  <si>
    <t>6.400.000,00</t>
  </si>
  <si>
    <t>672.000,00</t>
  </si>
  <si>
    <t>7.072.000,00</t>
  </si>
  <si>
    <t xml:space="preserve">Tomas  Alaniz </t>
  </si>
  <si>
    <t>Juan Diego  Rondon</t>
  </si>
  <si>
    <t>Fosmi   Srl</t>
  </si>
  <si>
    <t xml:space="preserve">JAVIER </t>
  </si>
  <si>
    <t>6.641.580,00</t>
  </si>
  <si>
    <t>697.365,90</t>
  </si>
  <si>
    <t>7.338.945,90</t>
  </si>
  <si>
    <t>3.669.472,95</t>
  </si>
  <si>
    <t>3.320.790,00</t>
  </si>
  <si>
    <t>Antonio   Ingaldi</t>
  </si>
  <si>
    <t>Tony.ingaldi55@gmail.com</t>
  </si>
  <si>
    <t>656.370,00</t>
  </si>
  <si>
    <t>594.000,00</t>
  </si>
  <si>
    <t>Ricardo Alberto   Salvatierra</t>
  </si>
  <si>
    <t>Richy_1431@hotmail.com</t>
  </si>
  <si>
    <t>3.094.080,00</t>
  </si>
  <si>
    <t>324.878,40</t>
  </si>
  <si>
    <t>3.418.958,40</t>
  </si>
  <si>
    <t>Guido   Gabriele</t>
  </si>
  <si>
    <t>guidogabriele.gg@gmail.com</t>
  </si>
  <si>
    <t>3.262.500,00</t>
  </si>
  <si>
    <t>342.562,50</t>
  </si>
  <si>
    <t>3.605.062,50</t>
  </si>
  <si>
    <t>1.802.531,25</t>
  </si>
  <si>
    <t>1.631.250,00</t>
  </si>
  <si>
    <t>Romana Miccio</t>
  </si>
  <si>
    <t>romanamiccio@gmail.com</t>
  </si>
  <si>
    <t>256.100,00</t>
  </si>
  <si>
    <t>26.890,50</t>
  </si>
  <si>
    <t>282.990,50</t>
  </si>
  <si>
    <t>Oscar Waldemar  Flaumer</t>
  </si>
  <si>
    <t>Alberto Néstor Ferrero</t>
  </si>
  <si>
    <t>adm2centralg@gmail.com</t>
  </si>
  <si>
    <t>9.180.000,00</t>
  </si>
  <si>
    <t>963.900,00</t>
  </si>
  <si>
    <t>10.143.900,00</t>
  </si>
  <si>
    <t>5.071.950,00</t>
  </si>
  <si>
    <t>4.590.000,00</t>
  </si>
  <si>
    <t>Agustin   Perruccio</t>
  </si>
  <si>
    <t>106.000,00</t>
  </si>
  <si>
    <t>22.260,00</t>
  </si>
  <si>
    <t>128.260,00</t>
  </si>
  <si>
    <t>juanberticje9@gmail.com</t>
  </si>
  <si>
    <t>3.554.822,70</t>
  </si>
  <si>
    <t>373.256,38</t>
  </si>
  <si>
    <t>3.928.079,08</t>
  </si>
  <si>
    <t>Jonatan  Silvestri</t>
  </si>
  <si>
    <t xml:space="preserve">Santiago  Barrerra </t>
  </si>
  <si>
    <t>1.229.600,00</t>
  </si>
  <si>
    <t>129.108,00</t>
  </si>
  <si>
    <t>1.358.708,00</t>
  </si>
  <si>
    <t>679.354,00</t>
  </si>
  <si>
    <t>614.800,00</t>
  </si>
  <si>
    <t>Marcela Vazquez</t>
  </si>
  <si>
    <t>2.581.000,00</t>
  </si>
  <si>
    <t>271.005,00</t>
  </si>
  <si>
    <t>2.852.005,00</t>
  </si>
  <si>
    <t>Adrian Ruben Basaez</t>
  </si>
  <si>
    <t>Stefania</t>
  </si>
  <si>
    <t>fedebasaez827@gmail.com</t>
  </si>
  <si>
    <t>3.561.415,00</t>
  </si>
  <si>
    <t>3.223.000,00</t>
  </si>
  <si>
    <t>Piero Atilio Ferigutti</t>
  </si>
  <si>
    <t>Fernando</t>
  </si>
  <si>
    <t>1.182.624,44</t>
  </si>
  <si>
    <t>124.175,57</t>
  </si>
  <si>
    <t>1.306.800,01</t>
  </si>
  <si>
    <t>Fabio  Craviotto</t>
  </si>
  <si>
    <t>Seguridad</t>
  </si>
  <si>
    <t>Percep IVA</t>
  </si>
  <si>
    <t>Imp. Ing. Brutos Capital Federal</t>
  </si>
  <si>
    <t>Imp. Ing. Brutos Sircreb</t>
  </si>
  <si>
    <t>Impuesto Deb. Ley 25.413</t>
  </si>
  <si>
    <t>Impuesto Cre. Ley 25.413</t>
  </si>
  <si>
    <t>Pago | Cargas Sociales | La Estrella | Sep'25</t>
  </si>
  <si>
    <t>Pago | Cargas Sociales | SEC | Sep'25</t>
  </si>
  <si>
    <t>Pago | Nicolas Manuel Torres | Fact Mercado Libre</t>
  </si>
  <si>
    <t>Plataforma Merdado Libre</t>
  </si>
  <si>
    <t>Pago | Luciano Alejandro | Fact Mercado Libre</t>
  </si>
  <si>
    <t xml:space="preserve">Pago | Servicios Imp Afip </t>
  </si>
  <si>
    <t>Iva</t>
  </si>
  <si>
    <t>AFIP</t>
  </si>
  <si>
    <t>Pago | GCBA INM/ABL</t>
  </si>
  <si>
    <t xml:space="preserve">Pago | Pay Per Tic | Deb Autom </t>
  </si>
  <si>
    <t xml:space="preserve">Pago | Personal Flow | Deb Autom </t>
  </si>
  <si>
    <t>Marketing</t>
  </si>
  <si>
    <t>Pago | Cargas Sociales | FAECYS | Sep'25</t>
  </si>
  <si>
    <t>Pago | Suppa Rodrigo Pablo | Fact 00002-00000482</t>
  </si>
  <si>
    <t>Pago | Soluciones Online | Oct 2025 | Deb. Autom. | Fact 473666</t>
  </si>
  <si>
    <t>Pago | Autoelevadores y Gruas | Oct 2025 | Fact 7537</t>
  </si>
  <si>
    <t>Pago | Veronica Valeria Rigante | Fact 00002-00000238</t>
  </si>
  <si>
    <t>Pago | Viviana Fuertes | Alquiler | Fact 00002-00000264</t>
  </si>
  <si>
    <t>Otros Servicios</t>
  </si>
  <si>
    <t>Mantenimiento</t>
  </si>
  <si>
    <t>Publicidad</t>
  </si>
  <si>
    <t>Selección de Personal</t>
  </si>
  <si>
    <t>Pago | Leonardo Agustin | Fact Mercado Libre</t>
  </si>
  <si>
    <t>Ferreteria</t>
  </si>
  <si>
    <t>Pago | BLG Net SRL | Fact 00005-00000612</t>
  </si>
  <si>
    <t>Material Electrico</t>
  </si>
  <si>
    <t>Pago | Antonio Francisco Celio | Fact 00005-00036434</t>
  </si>
  <si>
    <t xml:space="preserve">Activos </t>
  </si>
  <si>
    <t>Accesorios</t>
  </si>
  <si>
    <t>Pago | Suppa Rodrigo Pablo | Fact 00002-00000484</t>
  </si>
  <si>
    <t>Pago | Desarrollo de Soluciones Digitales | Fact 00002-00000008</t>
  </si>
  <si>
    <t>Pago | Mobilarg del Lobo Alejandro | Fact 00012-00001279</t>
  </si>
  <si>
    <t>Mobiliario</t>
  </si>
  <si>
    <t>Pago | Imp. Varios Tranf. al Ext.</t>
  </si>
  <si>
    <t>Debito Com. Varias | Transf. al Ext.</t>
  </si>
  <si>
    <t>Comisiones Javier Sep´25</t>
  </si>
  <si>
    <t>Comisiones Cynthia | Sep´25</t>
  </si>
  <si>
    <t>Comisiones Lelia | Sep´25</t>
  </si>
  <si>
    <t>Pago | Indumentaria RGS | Fact 00002-00001680</t>
  </si>
  <si>
    <t>Pago | Edenor | Energia Electrica</t>
  </si>
  <si>
    <t>Pago | Apyce | Fact 00003-00003946</t>
  </si>
  <si>
    <t>Gastos Administrativos</t>
  </si>
  <si>
    <t>Pago |Lagatta Carlos Adrian | Fact 00006-00004239</t>
  </si>
  <si>
    <t>Alquiler | Oct'25</t>
  </si>
  <si>
    <t>Comisiones de Ventas</t>
  </si>
  <si>
    <t>Comisiones Distribuidores</t>
  </si>
  <si>
    <t>Equipo</t>
  </si>
  <si>
    <t>Base para horno</t>
  </si>
  <si>
    <t>Pro Gas 6-1</t>
  </si>
  <si>
    <t>Pro Gas 12-2</t>
  </si>
  <si>
    <t>Cepillo p/piedra</t>
  </si>
  <si>
    <t>Descuento</t>
  </si>
  <si>
    <t>FN1 Pro</t>
  </si>
  <si>
    <t>Aceitera</t>
  </si>
  <si>
    <t>FN2 Pro</t>
  </si>
  <si>
    <t>Pro Gas 3-1</t>
  </si>
  <si>
    <t>Unitario</t>
  </si>
  <si>
    <t>Pro Gas 90</t>
  </si>
  <si>
    <t>Box Kit x3</t>
  </si>
  <si>
    <t>Pro Gas 16-2</t>
  </si>
  <si>
    <t>Regulador</t>
  </si>
  <si>
    <t>Mesa Fria 2 Puertas</t>
  </si>
  <si>
    <t>Mesa</t>
  </si>
  <si>
    <t>Precio con descuento</t>
  </si>
  <si>
    <t>Juan Manuel  Torres Caffaro (Combo 6)</t>
  </si>
  <si>
    <t xml:space="preserve">Pala   </t>
  </si>
  <si>
    <t>Costo</t>
  </si>
  <si>
    <t>Pago | Polypel Embalajes | Fact 00002-00029647</t>
  </si>
  <si>
    <t>Servicio de Selección de Personal</t>
  </si>
  <si>
    <t>Pago | Suppa Rodrigo Pablo | Fact 00002-00000483</t>
  </si>
  <si>
    <t>Pago | Sanitarios Kerrey | Fact 00004-00000973</t>
  </si>
  <si>
    <t>Pago | Prosegur Septiembre 2025 Deb Autom.</t>
  </si>
  <si>
    <t>Pago | Sueldo Lelia Bertoni | Ago'25</t>
  </si>
  <si>
    <t>Pago | Sueldo Cynthia Fernández | Ago'25</t>
  </si>
  <si>
    <t>Pago | Sueldo Diego Argiró | Ago'25</t>
  </si>
  <si>
    <t>Pago | Adelanta Vacaciones Lelia Bertoni | Ago'25</t>
  </si>
  <si>
    <t>Sueldo Cynthia | Ago´25</t>
  </si>
  <si>
    <t>Sueldo Lelia| Ago´25</t>
  </si>
  <si>
    <t>Sueldo Diego| Ago´25</t>
  </si>
  <si>
    <t>Sueldo Stefania  Ago´25</t>
  </si>
  <si>
    <t xml:space="preserve">Pago | Cablevision | Deb Autom. Sep 2025 </t>
  </si>
  <si>
    <t>Pago | Full Electric SRL | Fact 0003-00002818</t>
  </si>
  <si>
    <t>Clavija y contacto 3P 32 Amp</t>
  </si>
  <si>
    <t>Pago | Alba Posse Patricia Maria | Fact 00001-00000015</t>
  </si>
  <si>
    <t>Pago | Autoelevadores y Gruas | Sep 2025 | Fact 7476</t>
  </si>
  <si>
    <t>Almacenaje de hornos</t>
  </si>
  <si>
    <t>Pago | Viviana Fuertes | Alquiler | Fact 00002-00000258</t>
  </si>
  <si>
    <t>Pago | Petreca Gonzalo Marcelo | Fact 0088</t>
  </si>
  <si>
    <t>Creacion de contenido</t>
  </si>
  <si>
    <t>Pago | Antonio Francisco Celio | Fact 36121</t>
  </si>
  <si>
    <t>Manometros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</si>
</sst>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5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5" fontId="12" fillId="0" borderId="0" xfId="0" applyNumberFormat="1" applyFont="1" applyAlignment="1">
      <alignment horizontal="center" vertical="center" wrapText="1"/>
    </xf>
    <xf numFmtId="165" fontId="0" fillId="0" borderId="0" xfId="6" applyFont="1" applyAlignment="1">
      <alignment vertical="center"/>
    </xf>
    <xf numFmtId="165" fontId="0" fillId="0" borderId="0" xfId="6" applyFont="1"/>
    <xf numFmtId="165" fontId="2" fillId="3" borderId="0" xfId="6" applyFont="1" applyFill="1"/>
    <xf numFmtId="0" fontId="2" fillId="0" borderId="0" xfId="0" applyFont="1" applyAlignment="1">
      <alignment horizontal="right"/>
    </xf>
    <xf numFmtId="165" fontId="2" fillId="0" borderId="0" xfId="6" applyFont="1" applyFill="1" applyAlignment="1"/>
    <xf numFmtId="0" fontId="0" fillId="0" borderId="0" xfId="0" applyAlignment="1">
      <alignment horizontal="center"/>
    </xf>
    <xf numFmtId="165" fontId="0" fillId="0" borderId="0" xfId="6" applyFont="1" applyFill="1" applyAlignment="1">
      <alignment horizontal="center"/>
    </xf>
    <xf numFmtId="165" fontId="0" fillId="0" borderId="0" xfId="6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6" applyFont="1" applyFill="1"/>
    <xf numFmtId="44" fontId="0" fillId="0" borderId="0" xfId="0" applyNumberForma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5" fontId="0" fillId="0" borderId="0" xfId="6" applyFont="1" applyFill="1"/>
    <xf numFmtId="165" fontId="2" fillId="0" borderId="0" xfId="6" applyFont="1"/>
    <xf numFmtId="165" fontId="2" fillId="3" borderId="0" xfId="0" applyNumberFormat="1" applyFont="1" applyFill="1"/>
    <xf numFmtId="165" fontId="16" fillId="0" borderId="0" xfId="6" applyFont="1" applyAlignment="1">
      <alignment horizontal="center" vertical="center"/>
    </xf>
    <xf numFmtId="0" fontId="17" fillId="0" borderId="0" xfId="0" applyFont="1"/>
    <xf numFmtId="14" fontId="12" fillId="3" borderId="3" xfId="0" applyNumberFormat="1" applyFont="1" applyFill="1" applyBorder="1" applyAlignment="1">
      <alignment horizontal="center"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0A6C7-3E98-4190-B0B8-ADF6299525FE}" name="ExportFacturacion" displayName="ExportFacturacion" ref="A1:T45" totalsRowShown="0">
  <autoFilter ref="A1:T45" xr:uid="{B8E0A6C7-3E98-4190-B0B8-ADF6299525FE}"/>
  <tableColumns count="20">
    <tableColumn id="1" xr3:uid="{5BD31EEA-82D4-441B-98F3-6742B4FDF9CE}" name="Tipo de Operacion"/>
    <tableColumn id="2" xr3:uid="{CB3EE59E-AA6F-4B5B-BE8E-E2EB2B803F26}" name="ID Operacion"/>
    <tableColumn id="3" xr3:uid="{CB6D7E09-965D-45D0-A21E-6E5AF1CE9A87}" name="Status"/>
    <tableColumn id="4" xr3:uid="{D0025E6E-F97D-4B15-A2D4-5239FDB327F4}" name="Cliente"/>
    <tableColumn id="5" xr3:uid="{C222189C-B269-4A82-8EE6-66E87BB6D831}" name="Vendedor"/>
    <tableColumn id="6" xr3:uid="{6BF9B7D6-69E4-47BE-B892-4C36489EB7AF}" name="Referido"/>
    <tableColumn id="7" xr3:uid="{15840301-38D4-4C5D-8174-22A7068A8C67}" name="Correo"/>
    <tableColumn id="18" xr3:uid="{88CDA610-EC48-4B6C-8AA5-F80412451789}" name="Equipo"/>
    <tableColumn id="17" xr3:uid="{5C1B4694-C9E6-43FD-9A7B-56DE0B7C3157}" name="Costo" dataCellStyle="Moneda"/>
    <tableColumn id="20" xr3:uid="{C4C4A4D4-97B6-46DB-9BE0-C0D80A7F1082}" name="Unitario" dataDxfId="2" dataCellStyle="Moneda"/>
    <tableColumn id="19" xr3:uid="{3B57DAF1-1191-45C2-98E0-77AFF77E9EA5}" name="Descuento" dataDxfId="1" dataCellStyle="Moneda"/>
    <tableColumn id="21" xr3:uid="{B83977C9-24EE-4D77-BA09-B7AA137B8E78}" name="Precio con descuento" dataDxfId="0" dataCellStyle="Moneda">
      <calculatedColumnFormula>ExportFacturacion[[#This Row],[Unitario]]-ExportFacturacion[[#This Row],[Descuento]]</calculatedColumnFormula>
    </tableColumn>
    <tableColumn id="8" xr3:uid="{BE4BA3C3-E69B-47D5-B3A0-E9804D28788C}" name="Subtotal"/>
    <tableColumn id="9" xr3:uid="{54819B41-C55B-4E33-B363-AF73ECF274EB}" name="IVA 10-5%"/>
    <tableColumn id="10" xr3:uid="{3795B336-8DEC-48FB-ADC8-E190FED8CA9C}" name="IVA 21%"/>
    <tableColumn id="11" xr3:uid="{1F1A2EB2-E43C-4252-971F-0536E8E5AA14}" name="Total Cotización"/>
    <tableColumn id="12" xr3:uid="{CA6FFCF3-77A9-4F35-BD32-20B6A577589E}" name="% Factura"/>
    <tableColumn id="13" xr3:uid="{9FD59C03-E76B-40A6-AA40-1AA66C7EC7BE}" name="Total Factura"/>
    <tableColumn id="14" xr3:uid="{AA31815A-15C0-40E8-83F3-2DD5CD760343}" name="Monto Factura"/>
    <tableColumn id="15" xr3:uid="{D40357CF-0473-4223-A040-B6D8D5226BDB}" name="Monto Efe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zoomScaleNormal="100" workbookViewId="0">
      <selection activeCell="A17" sqref="A17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144</v>
      </c>
      <c r="B1" s="11"/>
      <c r="C1" s="2"/>
    </row>
    <row r="2" spans="1:5" ht="20.399999999999999" x14ac:dyDescent="0.3">
      <c r="A2" s="37" t="s">
        <v>24</v>
      </c>
      <c r="B2" s="38">
        <v>45901</v>
      </c>
      <c r="C2" s="39" t="s">
        <v>151</v>
      </c>
    </row>
    <row r="3" spans="1:5" x14ac:dyDescent="0.3">
      <c r="A3" s="13" t="s">
        <v>25</v>
      </c>
      <c r="B3" s="61">
        <f>'Ventas Oct 2025'!J47</f>
        <v>112012903</v>
      </c>
      <c r="C3" s="16">
        <v>1</v>
      </c>
    </row>
    <row r="4" spans="1:5" x14ac:dyDescent="0.3">
      <c r="A4" s="13" t="s">
        <v>139</v>
      </c>
      <c r="B4" s="36">
        <f>'Ventas Oct 2025'!K47</f>
        <v>4033636.4148800001</v>
      </c>
      <c r="C4" s="18">
        <f>(B4*C3)/B3</f>
        <v>3.6010462248978588E-2</v>
      </c>
    </row>
    <row r="5" spans="1:5" x14ac:dyDescent="0.3">
      <c r="A5" s="19" t="s">
        <v>26</v>
      </c>
      <c r="B5" s="17">
        <f>B3-B4</f>
        <v>107979266.58511999</v>
      </c>
      <c r="C5" s="16">
        <v>1</v>
      </c>
    </row>
    <row r="6" spans="1:5" x14ac:dyDescent="0.3">
      <c r="A6" s="20" t="s">
        <v>27</v>
      </c>
      <c r="B6" s="15">
        <f>'Ventas Oct 2025'!I47</f>
        <v>19895234.440000005</v>
      </c>
      <c r="C6" s="18">
        <v>0.33</v>
      </c>
    </row>
    <row r="7" spans="1:5" x14ac:dyDescent="0.3">
      <c r="A7" s="20" t="s">
        <v>28</v>
      </c>
      <c r="B7" s="17">
        <f>B5-B6</f>
        <v>88084032.145119995</v>
      </c>
      <c r="C7" s="18">
        <f>(B7*C5)/B5</f>
        <v>0.81574949460953605</v>
      </c>
    </row>
    <row r="10" spans="1:5" s="26" customFormat="1" x14ac:dyDescent="0.3">
      <c r="A10" s="21" t="s">
        <v>141</v>
      </c>
      <c r="B10" s="35">
        <f>SUM(B11:B18)</f>
        <v>2587186.69</v>
      </c>
      <c r="C10" s="23">
        <f>(B10*$C$5)/$B$5</f>
        <v>2.3960032067457341E-2</v>
      </c>
      <c r="D10" s="24"/>
      <c r="E10" s="25"/>
    </row>
    <row r="11" spans="1:5" x14ac:dyDescent="0.3">
      <c r="A11" s="27" t="s">
        <v>17</v>
      </c>
      <c r="B11" s="48">
        <f>+Gastos!C7</f>
        <v>0</v>
      </c>
      <c r="C11" s="18">
        <f>(B11*$C$5)/$B$5</f>
        <v>0</v>
      </c>
    </row>
    <row r="12" spans="1:5" x14ac:dyDescent="0.3">
      <c r="A12" s="27" t="s">
        <v>140</v>
      </c>
      <c r="B12" s="48">
        <f>+Gastos!C12</f>
        <v>0</v>
      </c>
      <c r="C12" s="18">
        <f>(B12*$C$5)/$B$5</f>
        <v>0</v>
      </c>
    </row>
    <row r="13" spans="1:5" x14ac:dyDescent="0.3">
      <c r="A13" s="27" t="s">
        <v>134</v>
      </c>
      <c r="B13" s="48">
        <f>+Gastos!C10</f>
        <v>0</v>
      </c>
      <c r="C13" s="18">
        <f t="shared" ref="C13:C18" si="0">(B13*$C$5)/$B$5</f>
        <v>0</v>
      </c>
    </row>
    <row r="14" spans="1:5" x14ac:dyDescent="0.3">
      <c r="A14" s="27" t="s">
        <v>133</v>
      </c>
      <c r="B14" s="48">
        <f>+Gastos!C31</f>
        <v>2587186.69</v>
      </c>
      <c r="C14" s="18">
        <f>(B14*$C$5)/$B$5</f>
        <v>2.3960032067457341E-2</v>
      </c>
    </row>
    <row r="15" spans="1:5" x14ac:dyDescent="0.3">
      <c r="A15" s="27" t="s">
        <v>137</v>
      </c>
      <c r="B15" s="48">
        <f>+Gastos!C33</f>
        <v>0</v>
      </c>
      <c r="C15" s="18">
        <f t="shared" si="0"/>
        <v>0</v>
      </c>
    </row>
    <row r="16" spans="1:5" x14ac:dyDescent="0.3">
      <c r="A16" s="27" t="s">
        <v>132</v>
      </c>
      <c r="B16" s="48">
        <f>+Gastos!C166</f>
        <v>0</v>
      </c>
      <c r="C16" s="18">
        <f t="shared" si="0"/>
        <v>0</v>
      </c>
    </row>
    <row r="17" spans="1:3" x14ac:dyDescent="0.3">
      <c r="A17" s="27" t="s">
        <v>154</v>
      </c>
      <c r="B17" s="48">
        <v>0</v>
      </c>
      <c r="C17" s="18">
        <f t="shared" si="0"/>
        <v>0</v>
      </c>
    </row>
    <row r="18" spans="1:3" x14ac:dyDescent="0.3">
      <c r="A18" s="27" t="s">
        <v>149</v>
      </c>
      <c r="B18" s="48">
        <v>0</v>
      </c>
      <c r="C18" s="18">
        <f t="shared" si="0"/>
        <v>0</v>
      </c>
    </row>
    <row r="20" spans="1:3" x14ac:dyDescent="0.3">
      <c r="A20" s="21" t="s">
        <v>142</v>
      </c>
      <c r="B20" s="35">
        <f>SUM(B21:B22)</f>
        <v>4052388.25</v>
      </c>
      <c r="C20" s="23">
        <f>(B20*$C$5)/$B$5</f>
        <v>3.7529318156699139E-2</v>
      </c>
    </row>
    <row r="21" spans="1:3" x14ac:dyDescent="0.3">
      <c r="A21" s="27" t="s">
        <v>131</v>
      </c>
      <c r="B21" s="48">
        <f>+Gastos!C184</f>
        <v>439900.25</v>
      </c>
      <c r="C21" s="18">
        <f>(B21*$C$5)/$B$5</f>
        <v>4.0739325604997228E-3</v>
      </c>
    </row>
    <row r="22" spans="1:3" x14ac:dyDescent="0.3">
      <c r="A22" s="27" t="s">
        <v>130</v>
      </c>
      <c r="B22" s="48">
        <f>+Gastos!C193</f>
        <v>3612488</v>
      </c>
      <c r="C22" s="18">
        <f>(B22*$C$5)/$B$5</f>
        <v>3.3455385596199413E-2</v>
      </c>
    </row>
    <row r="23" spans="1:3" x14ac:dyDescent="0.3">
      <c r="A23" s="27"/>
      <c r="C23" s="18"/>
    </row>
    <row r="24" spans="1:3" x14ac:dyDescent="0.3">
      <c r="A24" s="21" t="s">
        <v>143</v>
      </c>
      <c r="B24" s="22">
        <f>+B10+B20</f>
        <v>6639574.9399999995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81444457.205119997</v>
      </c>
      <c r="C26" s="31">
        <f>(B26*C5)/B5</f>
        <v>0.75426014438537958</v>
      </c>
    </row>
    <row r="29" spans="1:3" hidden="1" x14ac:dyDescent="0.3">
      <c r="A29" s="32" t="s">
        <v>152</v>
      </c>
      <c r="B29" s="33"/>
      <c r="C29" s="34"/>
    </row>
    <row r="30" spans="1:3" x14ac:dyDescent="0.3">
      <c r="A30" s="32" t="s">
        <v>152</v>
      </c>
      <c r="B30" s="49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95"/>
  <sheetViews>
    <sheetView tabSelected="1" topLeftCell="A11" zoomScale="90" zoomScaleNormal="90" workbookViewId="0">
      <selection activeCell="A17" sqref="A17"/>
    </sheetView>
  </sheetViews>
  <sheetFormatPr baseColWidth="10" defaultColWidth="11.44140625" defaultRowHeight="13.8" x14ac:dyDescent="0.3"/>
  <cols>
    <col min="1" max="1" width="12.88671875" style="43" bestFit="1" customWidth="1"/>
    <col min="2" max="2" width="78.88671875" style="43" customWidth="1"/>
    <col min="3" max="3" width="27.44140625" style="55" bestFit="1" customWidth="1"/>
    <col min="4" max="4" width="23.6640625" style="43" customWidth="1"/>
    <col min="5" max="5" width="24.77734375" style="43" bestFit="1" customWidth="1"/>
    <col min="6" max="6" width="60.33203125" style="79" customWidth="1"/>
    <col min="7" max="16384" width="11.44140625" style="43"/>
  </cols>
  <sheetData>
    <row r="1" spans="1:6" ht="19.5" customHeight="1" thickBot="1" x14ac:dyDescent="0.35">
      <c r="A1" s="45" t="s">
        <v>135</v>
      </c>
      <c r="B1" s="45" t="s">
        <v>136</v>
      </c>
      <c r="C1" s="52" t="s">
        <v>161</v>
      </c>
      <c r="D1" s="45" t="s">
        <v>147</v>
      </c>
      <c r="E1" s="45" t="s">
        <v>148</v>
      </c>
    </row>
    <row r="2" spans="1:6" ht="15" thickBot="1" x14ac:dyDescent="0.35">
      <c r="A2" s="44"/>
      <c r="B2" s="41" t="s">
        <v>361</v>
      </c>
      <c r="C2" s="53"/>
      <c r="D2" s="41" t="s">
        <v>123</v>
      </c>
      <c r="E2" s="41" t="s">
        <v>138</v>
      </c>
    </row>
    <row r="3" spans="1:6" ht="15" thickBot="1" x14ac:dyDescent="0.35">
      <c r="A3" s="44"/>
      <c r="B3" s="41" t="s">
        <v>361</v>
      </c>
      <c r="C3" s="53"/>
      <c r="D3" s="41" t="s">
        <v>123</v>
      </c>
      <c r="E3" s="41" t="s">
        <v>138</v>
      </c>
    </row>
    <row r="4" spans="1:6" ht="15" thickBot="1" x14ac:dyDescent="0.35">
      <c r="A4" s="44"/>
      <c r="B4" s="41" t="s">
        <v>138</v>
      </c>
      <c r="C4" s="53"/>
      <c r="D4" s="41" t="s">
        <v>138</v>
      </c>
      <c r="E4" s="41" t="s">
        <v>138</v>
      </c>
    </row>
    <row r="5" spans="1:6" ht="15" thickBot="1" x14ac:dyDescent="0.35">
      <c r="A5" s="44"/>
      <c r="B5" s="41" t="s">
        <v>138</v>
      </c>
      <c r="C5" s="53"/>
      <c r="D5" s="41" t="s">
        <v>138</v>
      </c>
      <c r="E5" s="41" t="s">
        <v>138</v>
      </c>
    </row>
    <row r="6" spans="1:6" ht="15" thickBot="1" x14ac:dyDescent="0.35">
      <c r="A6" s="44"/>
      <c r="B6" s="41" t="s">
        <v>138</v>
      </c>
      <c r="C6" s="53"/>
      <c r="D6" s="41" t="s">
        <v>138</v>
      </c>
      <c r="E6" s="41" t="s">
        <v>138</v>
      </c>
    </row>
    <row r="7" spans="1:6" ht="14.4" thickBot="1" x14ac:dyDescent="0.35">
      <c r="A7" s="45"/>
      <c r="B7" s="46" t="s">
        <v>138</v>
      </c>
      <c r="C7" s="47">
        <f>SUM(C2:C6)</f>
        <v>0</v>
      </c>
      <c r="D7" s="45"/>
      <c r="E7" s="45"/>
    </row>
    <row r="8" spans="1:6" ht="15" thickBot="1" x14ac:dyDescent="0.35">
      <c r="A8" s="44"/>
      <c r="B8" s="41" t="s">
        <v>363</v>
      </c>
      <c r="C8" s="53"/>
      <c r="D8" s="41" t="s">
        <v>158</v>
      </c>
      <c r="E8" s="41" t="s">
        <v>158</v>
      </c>
    </row>
    <row r="9" spans="1:6" ht="15" thickBot="1" x14ac:dyDescent="0.35">
      <c r="A9" s="44"/>
      <c r="B9" s="41" t="s">
        <v>364</v>
      </c>
      <c r="C9" s="53"/>
      <c r="D9" s="41" t="s">
        <v>158</v>
      </c>
      <c r="E9" s="41" t="s">
        <v>158</v>
      </c>
    </row>
    <row r="10" spans="1:6" ht="14.4" thickBot="1" x14ac:dyDescent="0.35">
      <c r="A10" s="45"/>
      <c r="B10" s="46" t="s">
        <v>371</v>
      </c>
      <c r="C10" s="47">
        <f>SUM(C8:C9)</f>
        <v>0</v>
      </c>
      <c r="D10" s="45"/>
      <c r="E10" s="45"/>
    </row>
    <row r="11" spans="1:6" ht="16.5" customHeight="1" thickBot="1" x14ac:dyDescent="0.35">
      <c r="A11" s="56"/>
      <c r="B11" s="58" t="s">
        <v>362</v>
      </c>
      <c r="C11" s="59"/>
      <c r="D11" s="41" t="s">
        <v>158</v>
      </c>
      <c r="E11" s="41" t="s">
        <v>158</v>
      </c>
    </row>
    <row r="12" spans="1:6" ht="14.4" thickBot="1" x14ac:dyDescent="0.35">
      <c r="A12" s="45"/>
      <c r="B12" s="46" t="s">
        <v>372</v>
      </c>
      <c r="C12" s="47">
        <f>SUM(C11)</f>
        <v>0</v>
      </c>
      <c r="D12" s="45"/>
      <c r="E12" s="45"/>
    </row>
    <row r="13" spans="1:6" ht="15" thickBot="1" x14ac:dyDescent="0.35">
      <c r="A13" s="44">
        <v>45904</v>
      </c>
      <c r="B13" s="42" t="s">
        <v>408</v>
      </c>
      <c r="C13" s="53">
        <v>127396.67</v>
      </c>
      <c r="D13" s="41" t="s">
        <v>346</v>
      </c>
      <c r="E13" s="41" t="s">
        <v>352</v>
      </c>
      <c r="F13" s="79" t="s">
        <v>409</v>
      </c>
    </row>
    <row r="14" spans="1:6" ht="15" thickBot="1" x14ac:dyDescent="0.35">
      <c r="A14" s="44">
        <v>45905</v>
      </c>
      <c r="B14" s="42" t="s">
        <v>410</v>
      </c>
      <c r="C14" s="53">
        <v>88000</v>
      </c>
      <c r="D14" s="41" t="s">
        <v>345</v>
      </c>
      <c r="E14" s="41" t="s">
        <v>348</v>
      </c>
      <c r="F14" s="79" t="s">
        <v>395</v>
      </c>
    </row>
    <row r="15" spans="1:6" ht="15" thickBot="1" x14ac:dyDescent="0.35">
      <c r="A15" s="44">
        <v>45905</v>
      </c>
      <c r="B15" s="42" t="s">
        <v>411</v>
      </c>
      <c r="C15" s="53">
        <v>257293.4</v>
      </c>
      <c r="D15" s="41" t="s">
        <v>345</v>
      </c>
      <c r="E15" s="41" t="s">
        <v>126</v>
      </c>
      <c r="F15" s="79" t="s">
        <v>412</v>
      </c>
    </row>
    <row r="16" spans="1:6" ht="15" thickBot="1" x14ac:dyDescent="0.35">
      <c r="A16" s="44">
        <v>45905</v>
      </c>
      <c r="B16" s="42" t="s">
        <v>414</v>
      </c>
      <c r="C16" s="53">
        <v>1008250</v>
      </c>
      <c r="D16" s="41" t="s">
        <v>338</v>
      </c>
      <c r="E16" s="41" t="s">
        <v>347</v>
      </c>
      <c r="F16" s="79" t="s">
        <v>415</v>
      </c>
    </row>
    <row r="17" spans="1:6" ht="15" thickBot="1" x14ac:dyDescent="0.35">
      <c r="A17" s="80">
        <v>45905</v>
      </c>
      <c r="B17" s="42" t="s">
        <v>416</v>
      </c>
      <c r="C17" s="53">
        <v>1106246.6200000001</v>
      </c>
      <c r="D17" s="41" t="s">
        <v>346</v>
      </c>
      <c r="E17" s="41" t="s">
        <v>350</v>
      </c>
      <c r="F17" s="79" t="s">
        <v>417</v>
      </c>
    </row>
    <row r="18" spans="1:6" ht="15" thickBot="1" x14ac:dyDescent="0.35">
      <c r="A18" s="44"/>
      <c r="B18" s="42" t="s">
        <v>394</v>
      </c>
      <c r="C18" s="53"/>
      <c r="D18" s="41" t="s">
        <v>346</v>
      </c>
      <c r="E18" s="41" t="s">
        <v>350</v>
      </c>
    </row>
    <row r="19" spans="1:6" ht="15" thickBot="1" x14ac:dyDescent="0.35">
      <c r="A19" s="44"/>
      <c r="B19" s="42" t="s">
        <v>340</v>
      </c>
      <c r="C19" s="53"/>
      <c r="D19" s="41" t="s">
        <v>338</v>
      </c>
      <c r="E19" s="41" t="s">
        <v>347</v>
      </c>
    </row>
    <row r="20" spans="1:6" ht="15" thickBot="1" x14ac:dyDescent="0.35">
      <c r="A20" s="44"/>
      <c r="B20" s="42" t="s">
        <v>396</v>
      </c>
      <c r="C20" s="53"/>
      <c r="D20" s="41" t="s">
        <v>338</v>
      </c>
      <c r="E20" s="41" t="s">
        <v>347</v>
      </c>
    </row>
    <row r="21" spans="1:6" ht="15" thickBot="1" x14ac:dyDescent="0.35">
      <c r="A21" s="44"/>
      <c r="B21" s="42" t="s">
        <v>351</v>
      </c>
      <c r="C21" s="53"/>
      <c r="D21" s="41" t="s">
        <v>346</v>
      </c>
      <c r="E21" s="41" t="s">
        <v>352</v>
      </c>
    </row>
    <row r="22" spans="1:6" ht="15" thickBot="1" x14ac:dyDescent="0.35">
      <c r="A22" s="44"/>
      <c r="B22" s="42" t="s">
        <v>353</v>
      </c>
      <c r="C22" s="53"/>
      <c r="D22" s="41" t="s">
        <v>354</v>
      </c>
      <c r="E22" s="41" t="s">
        <v>355</v>
      </c>
    </row>
    <row r="23" spans="1:6" ht="15" thickBot="1" x14ac:dyDescent="0.35">
      <c r="A23" s="44"/>
      <c r="B23" s="42" t="s">
        <v>356</v>
      </c>
      <c r="C23" s="53"/>
      <c r="D23" s="41" t="s">
        <v>338</v>
      </c>
      <c r="E23" s="41" t="s">
        <v>347</v>
      </c>
    </row>
    <row r="24" spans="1:6" ht="16.5" customHeight="1" thickBot="1" x14ac:dyDescent="0.35">
      <c r="A24" s="44"/>
      <c r="B24" s="42" t="s">
        <v>357</v>
      </c>
      <c r="C24" s="53"/>
      <c r="D24" s="41" t="s">
        <v>345</v>
      </c>
      <c r="E24" s="41" t="s">
        <v>159</v>
      </c>
    </row>
    <row r="25" spans="1:6" ht="16.5" customHeight="1" thickBot="1" x14ac:dyDescent="0.35">
      <c r="A25" s="44"/>
      <c r="B25" s="42" t="s">
        <v>358</v>
      </c>
      <c r="C25" s="53"/>
      <c r="D25" s="41" t="s">
        <v>359</v>
      </c>
      <c r="E25" s="41" t="s">
        <v>359</v>
      </c>
    </row>
    <row r="26" spans="1:6" ht="16.5" customHeight="1" thickBot="1" x14ac:dyDescent="0.35">
      <c r="A26" s="44"/>
      <c r="B26" s="42" t="s">
        <v>397</v>
      </c>
      <c r="C26" s="53"/>
      <c r="D26" s="41" t="s">
        <v>346</v>
      </c>
      <c r="E26" s="41" t="s">
        <v>350</v>
      </c>
    </row>
    <row r="27" spans="1:6" ht="15" thickBot="1" x14ac:dyDescent="0.35">
      <c r="A27" s="44"/>
      <c r="B27" s="42" t="s">
        <v>365</v>
      </c>
      <c r="C27" s="53"/>
      <c r="D27" s="41" t="s">
        <v>346</v>
      </c>
      <c r="E27" s="41" t="s">
        <v>350</v>
      </c>
    </row>
    <row r="28" spans="1:6" ht="15" thickBot="1" x14ac:dyDescent="0.35">
      <c r="A28" s="44"/>
      <c r="B28" s="42" t="s">
        <v>367</v>
      </c>
      <c r="C28" s="53"/>
      <c r="D28" s="41" t="s">
        <v>345</v>
      </c>
      <c r="E28" s="41" t="s">
        <v>368</v>
      </c>
    </row>
    <row r="29" spans="1:6" ht="15" thickBot="1" x14ac:dyDescent="0.35">
      <c r="A29" s="44"/>
      <c r="B29" s="42" t="s">
        <v>369</v>
      </c>
      <c r="C29" s="53"/>
      <c r="D29" s="41" t="s">
        <v>345</v>
      </c>
      <c r="E29" s="41" t="s">
        <v>368</v>
      </c>
    </row>
    <row r="30" spans="1:6" ht="15" thickBot="1" x14ac:dyDescent="0.35">
      <c r="A30" s="44"/>
      <c r="B30" s="42" t="s">
        <v>367</v>
      </c>
      <c r="C30" s="53"/>
      <c r="D30" s="41" t="s">
        <v>345</v>
      </c>
      <c r="E30" s="41" t="s">
        <v>368</v>
      </c>
    </row>
    <row r="31" spans="1:6" ht="14.4" thickBot="1" x14ac:dyDescent="0.35">
      <c r="A31" s="45"/>
      <c r="B31" s="46" t="s">
        <v>160</v>
      </c>
      <c r="C31" s="47">
        <f>SUM(C13:C30)</f>
        <v>2587186.69</v>
      </c>
      <c r="D31" s="45"/>
      <c r="E31" s="45"/>
    </row>
    <row r="32" spans="1:6" ht="16.5" customHeight="1" thickBot="1" x14ac:dyDescent="0.35">
      <c r="A32" s="44"/>
      <c r="B32" s="42" t="s">
        <v>342</v>
      </c>
      <c r="C32" s="53"/>
      <c r="D32" s="41" t="s">
        <v>157</v>
      </c>
      <c r="E32" s="41" t="s">
        <v>157</v>
      </c>
    </row>
    <row r="33" spans="1:5" ht="14.4" thickBot="1" x14ac:dyDescent="0.35">
      <c r="A33" s="45"/>
      <c r="B33" s="46" t="s">
        <v>157</v>
      </c>
      <c r="C33" s="47">
        <f>C32</f>
        <v>0</v>
      </c>
      <c r="D33" s="45"/>
      <c r="E33" s="45"/>
    </row>
    <row r="34" spans="1:5" ht="15" thickBot="1" x14ac:dyDescent="0.35">
      <c r="A34" s="44">
        <v>45901</v>
      </c>
      <c r="B34" s="41" t="s">
        <v>324</v>
      </c>
      <c r="C34" s="53">
        <v>9983.31</v>
      </c>
      <c r="D34" s="41" t="s">
        <v>123</v>
      </c>
      <c r="E34" s="41" t="s">
        <v>125</v>
      </c>
    </row>
    <row r="35" spans="1:5" ht="15" thickBot="1" x14ac:dyDescent="0.35">
      <c r="A35" s="44">
        <v>45901</v>
      </c>
      <c r="B35" s="41" t="s">
        <v>325</v>
      </c>
      <c r="C35" s="53">
        <v>22233.360000000001</v>
      </c>
      <c r="D35" s="41" t="s">
        <v>123</v>
      </c>
      <c r="E35" s="41" t="s">
        <v>124</v>
      </c>
    </row>
    <row r="36" spans="1:5" ht="15" thickBot="1" x14ac:dyDescent="0.35">
      <c r="A36" s="44">
        <v>45901</v>
      </c>
      <c r="B36" s="41" t="s">
        <v>326</v>
      </c>
      <c r="C36" s="53">
        <v>11979.97</v>
      </c>
      <c r="D36" s="41" t="s">
        <v>123</v>
      </c>
      <c r="E36" s="41" t="s">
        <v>124</v>
      </c>
    </row>
    <row r="37" spans="1:5" ht="15" thickBot="1" x14ac:dyDescent="0.35">
      <c r="A37" s="44">
        <v>45901</v>
      </c>
      <c r="B37" s="41" t="s">
        <v>325</v>
      </c>
      <c r="C37" s="53">
        <v>59.9</v>
      </c>
      <c r="D37" s="41" t="s">
        <v>123</v>
      </c>
      <c r="E37" s="41" t="s">
        <v>124</v>
      </c>
    </row>
    <row r="38" spans="1:5" ht="15" thickBot="1" x14ac:dyDescent="0.35">
      <c r="A38" s="44">
        <v>45903</v>
      </c>
      <c r="B38" s="41" t="s">
        <v>324</v>
      </c>
      <c r="C38" s="53">
        <v>4000</v>
      </c>
      <c r="D38" s="41" t="s">
        <v>123</v>
      </c>
      <c r="E38" s="41" t="s">
        <v>125</v>
      </c>
    </row>
    <row r="39" spans="1:5" ht="15" thickBot="1" x14ac:dyDescent="0.35">
      <c r="A39" s="44">
        <v>45903</v>
      </c>
      <c r="B39" s="41" t="s">
        <v>324</v>
      </c>
      <c r="C39" s="53">
        <v>2000</v>
      </c>
      <c r="D39" s="41" t="s">
        <v>123</v>
      </c>
      <c r="E39" s="41" t="s">
        <v>125</v>
      </c>
    </row>
    <row r="40" spans="1:5" ht="15" thickBot="1" x14ac:dyDescent="0.35">
      <c r="A40" s="44">
        <v>45903</v>
      </c>
      <c r="B40" s="41" t="s">
        <v>324</v>
      </c>
      <c r="C40" s="53">
        <v>5890</v>
      </c>
      <c r="D40" s="41" t="s">
        <v>123</v>
      </c>
      <c r="E40" s="41" t="s">
        <v>125</v>
      </c>
    </row>
    <row r="41" spans="1:5" ht="15" thickBot="1" x14ac:dyDescent="0.35">
      <c r="A41" s="44">
        <v>45903</v>
      </c>
      <c r="B41" s="41" t="s">
        <v>325</v>
      </c>
      <c r="C41" s="53">
        <v>252.22</v>
      </c>
      <c r="D41" s="41" t="s">
        <v>123</v>
      </c>
      <c r="E41" s="41" t="s">
        <v>124</v>
      </c>
    </row>
    <row r="42" spans="1:5" ht="15" thickBot="1" x14ac:dyDescent="0.35">
      <c r="A42" s="44">
        <v>45903</v>
      </c>
      <c r="B42" s="41" t="s">
        <v>326</v>
      </c>
      <c r="C42" s="53">
        <v>14268</v>
      </c>
      <c r="D42" s="41" t="s">
        <v>123</v>
      </c>
      <c r="E42" s="41" t="s">
        <v>124</v>
      </c>
    </row>
    <row r="43" spans="1:5" ht="15" thickBot="1" x14ac:dyDescent="0.35">
      <c r="A43" s="44">
        <v>45903</v>
      </c>
      <c r="B43" s="41" t="s">
        <v>325</v>
      </c>
      <c r="C43" s="53">
        <v>71.34</v>
      </c>
      <c r="D43" s="41" t="s">
        <v>123</v>
      </c>
      <c r="E43" s="41" t="s">
        <v>124</v>
      </c>
    </row>
    <row r="44" spans="1:5" ht="15" thickBot="1" x14ac:dyDescent="0.35">
      <c r="A44" s="44">
        <v>45903</v>
      </c>
      <c r="B44" s="41" t="s">
        <v>324</v>
      </c>
      <c r="C44" s="53">
        <v>2500</v>
      </c>
      <c r="D44" s="41" t="s">
        <v>123</v>
      </c>
      <c r="E44" s="41" t="s">
        <v>125</v>
      </c>
    </row>
    <row r="45" spans="1:5" ht="15" thickBot="1" x14ac:dyDescent="0.35">
      <c r="A45" s="44">
        <v>45903</v>
      </c>
      <c r="B45" s="41" t="s">
        <v>324</v>
      </c>
      <c r="C45" s="53">
        <v>7500</v>
      </c>
      <c r="D45" s="41" t="s">
        <v>123</v>
      </c>
      <c r="E45" s="41" t="s">
        <v>125</v>
      </c>
    </row>
    <row r="46" spans="1:5" ht="15" thickBot="1" x14ac:dyDescent="0.35">
      <c r="A46" s="44">
        <v>45903</v>
      </c>
      <c r="B46" s="41" t="s">
        <v>326</v>
      </c>
      <c r="C46" s="53">
        <v>12000</v>
      </c>
      <c r="D46" s="41" t="s">
        <v>123</v>
      </c>
      <c r="E46" s="41" t="s">
        <v>124</v>
      </c>
    </row>
    <row r="47" spans="1:5" ht="15" thickBot="1" x14ac:dyDescent="0.35">
      <c r="A47" s="44">
        <v>45903</v>
      </c>
      <c r="B47" s="41" t="s">
        <v>325</v>
      </c>
      <c r="C47" s="53">
        <v>60</v>
      </c>
      <c r="D47" s="41" t="s">
        <v>123</v>
      </c>
      <c r="E47" s="41" t="s">
        <v>124</v>
      </c>
    </row>
    <row r="48" spans="1:5" ht="15" thickBot="1" x14ac:dyDescent="0.35">
      <c r="A48" s="44">
        <v>45904</v>
      </c>
      <c r="B48" s="41" t="s">
        <v>324</v>
      </c>
      <c r="C48" s="53">
        <v>9712.9500000000007</v>
      </c>
      <c r="D48" s="41" t="s">
        <v>123</v>
      </c>
      <c r="E48" s="41" t="s">
        <v>125</v>
      </c>
    </row>
    <row r="49" spans="1:5" ht="15" thickBot="1" x14ac:dyDescent="0.35">
      <c r="A49" s="44">
        <v>45904</v>
      </c>
      <c r="B49" s="41" t="s">
        <v>324</v>
      </c>
      <c r="C49" s="53">
        <v>10701.77</v>
      </c>
      <c r="D49" s="41" t="s">
        <v>123</v>
      </c>
      <c r="E49" s="41" t="s">
        <v>125</v>
      </c>
    </row>
    <row r="50" spans="1:5" ht="15" thickBot="1" x14ac:dyDescent="0.35">
      <c r="A50" s="44">
        <v>45904</v>
      </c>
      <c r="B50" s="41" t="s">
        <v>325</v>
      </c>
      <c r="C50" s="53">
        <v>764.38</v>
      </c>
      <c r="D50" s="41" t="s">
        <v>123</v>
      </c>
      <c r="E50" s="41" t="s">
        <v>124</v>
      </c>
    </row>
    <row r="51" spans="1:5" ht="15" thickBot="1" x14ac:dyDescent="0.35">
      <c r="A51" s="44">
        <v>45904</v>
      </c>
      <c r="B51" s="41" t="s">
        <v>326</v>
      </c>
      <c r="C51" s="53">
        <v>24497.66</v>
      </c>
      <c r="D51" s="41" t="s">
        <v>123</v>
      </c>
      <c r="E51" s="41" t="s">
        <v>124</v>
      </c>
    </row>
    <row r="52" spans="1:5" ht="15" thickBot="1" x14ac:dyDescent="0.35">
      <c r="A52" s="44">
        <v>45904</v>
      </c>
      <c r="B52" s="41" t="s">
        <v>325</v>
      </c>
      <c r="C52" s="53">
        <v>122.49</v>
      </c>
      <c r="D52" s="41" t="s">
        <v>123</v>
      </c>
      <c r="E52" s="41" t="s">
        <v>124</v>
      </c>
    </row>
    <row r="53" spans="1:5" ht="15" thickBot="1" x14ac:dyDescent="0.35">
      <c r="A53" s="44">
        <v>45905</v>
      </c>
      <c r="B53" s="41" t="s">
        <v>324</v>
      </c>
      <c r="C53" s="53">
        <v>15206.37</v>
      </c>
      <c r="D53" s="41" t="s">
        <v>123</v>
      </c>
      <c r="E53" s="41" t="s">
        <v>125</v>
      </c>
    </row>
    <row r="54" spans="1:5" ht="15" thickBot="1" x14ac:dyDescent="0.35">
      <c r="A54" s="44"/>
      <c r="B54" s="41" t="s">
        <v>322</v>
      </c>
      <c r="C54" s="53"/>
      <c r="D54" s="41" t="s">
        <v>123</v>
      </c>
      <c r="E54" s="41" t="s">
        <v>333</v>
      </c>
    </row>
    <row r="55" spans="1:5" ht="15" thickBot="1" x14ac:dyDescent="0.35">
      <c r="A55" s="44"/>
      <c r="B55" s="41" t="s">
        <v>323</v>
      </c>
      <c r="C55" s="53"/>
      <c r="D55" s="41" t="s">
        <v>123</v>
      </c>
      <c r="E55" s="41" t="s">
        <v>120</v>
      </c>
    </row>
    <row r="56" spans="1:5" ht="15" thickBot="1" x14ac:dyDescent="0.35">
      <c r="A56" s="44"/>
      <c r="B56" s="41" t="s">
        <v>119</v>
      </c>
      <c r="C56" s="53"/>
      <c r="D56" s="41" t="s">
        <v>123</v>
      </c>
      <c r="E56" s="41" t="s">
        <v>124</v>
      </c>
    </row>
    <row r="57" spans="1:5" ht="15" thickBot="1" x14ac:dyDescent="0.35">
      <c r="A57" s="44"/>
      <c r="B57" s="41" t="s">
        <v>324</v>
      </c>
      <c r="C57" s="53"/>
      <c r="D57" s="41" t="s">
        <v>123</v>
      </c>
      <c r="E57" s="41" t="s">
        <v>125</v>
      </c>
    </row>
    <row r="58" spans="1:5" ht="15" thickBot="1" x14ac:dyDescent="0.35">
      <c r="A58" s="44"/>
      <c r="B58" s="41" t="s">
        <v>324</v>
      </c>
      <c r="C58" s="53"/>
      <c r="D58" s="41" t="s">
        <v>123</v>
      </c>
      <c r="E58" s="41" t="s">
        <v>125</v>
      </c>
    </row>
    <row r="59" spans="1:5" ht="15" thickBot="1" x14ac:dyDescent="0.35">
      <c r="A59" s="44"/>
      <c r="B59" s="41" t="s">
        <v>324</v>
      </c>
      <c r="C59" s="53"/>
      <c r="D59" s="41" t="s">
        <v>123</v>
      </c>
      <c r="E59" s="41" t="s">
        <v>125</v>
      </c>
    </row>
    <row r="60" spans="1:5" ht="15" thickBot="1" x14ac:dyDescent="0.35">
      <c r="A60" s="44"/>
      <c r="B60" s="41" t="s">
        <v>324</v>
      </c>
      <c r="C60" s="53"/>
      <c r="D60" s="41" t="s">
        <v>123</v>
      </c>
      <c r="E60" s="41" t="s">
        <v>125</v>
      </c>
    </row>
    <row r="61" spans="1:5" ht="15" thickBot="1" x14ac:dyDescent="0.35">
      <c r="A61" s="44"/>
      <c r="B61" s="41" t="s">
        <v>325</v>
      </c>
      <c r="C61" s="53"/>
      <c r="D61" s="41" t="s">
        <v>123</v>
      </c>
      <c r="E61" s="41" t="s">
        <v>124</v>
      </c>
    </row>
    <row r="62" spans="1:5" ht="15" thickBot="1" x14ac:dyDescent="0.35">
      <c r="A62" s="44"/>
      <c r="B62" s="41" t="s">
        <v>326</v>
      </c>
      <c r="C62" s="53"/>
      <c r="D62" s="41" t="s">
        <v>123</v>
      </c>
      <c r="E62" s="41" t="s">
        <v>124</v>
      </c>
    </row>
    <row r="63" spans="1:5" ht="15" thickBot="1" x14ac:dyDescent="0.35">
      <c r="A63" s="44"/>
      <c r="B63" s="41" t="s">
        <v>325</v>
      </c>
      <c r="C63" s="53"/>
      <c r="D63" s="41" t="s">
        <v>123</v>
      </c>
      <c r="E63" s="41" t="s">
        <v>124</v>
      </c>
    </row>
    <row r="64" spans="1:5" ht="15" thickBot="1" x14ac:dyDescent="0.35">
      <c r="A64" s="44"/>
      <c r="B64" s="41" t="s">
        <v>327</v>
      </c>
      <c r="C64" s="53"/>
      <c r="D64" s="41" t="s">
        <v>123</v>
      </c>
      <c r="E64" s="41" t="s">
        <v>156</v>
      </c>
    </row>
    <row r="65" spans="1:5" ht="15" thickBot="1" x14ac:dyDescent="0.35">
      <c r="A65" s="44"/>
      <c r="B65" s="41" t="s">
        <v>328</v>
      </c>
      <c r="C65" s="53"/>
      <c r="D65" s="41" t="s">
        <v>123</v>
      </c>
      <c r="E65" s="41" t="s">
        <v>146</v>
      </c>
    </row>
    <row r="66" spans="1:5" ht="15" thickBot="1" x14ac:dyDescent="0.35">
      <c r="A66" s="44"/>
      <c r="B66" s="41" t="s">
        <v>332</v>
      </c>
      <c r="C66" s="53"/>
      <c r="D66" s="41" t="s">
        <v>123</v>
      </c>
      <c r="E66" s="41" t="s">
        <v>334</v>
      </c>
    </row>
    <row r="67" spans="1:5" ht="15" thickBot="1" x14ac:dyDescent="0.35">
      <c r="A67" s="44"/>
      <c r="B67" s="41" t="s">
        <v>332</v>
      </c>
      <c r="C67" s="53"/>
      <c r="D67" s="41" t="s">
        <v>123</v>
      </c>
      <c r="E67" s="41" t="s">
        <v>334</v>
      </c>
    </row>
    <row r="68" spans="1:5" ht="15" thickBot="1" x14ac:dyDescent="0.35">
      <c r="A68" s="44"/>
      <c r="B68" s="41" t="s">
        <v>325</v>
      </c>
      <c r="C68" s="53"/>
      <c r="D68" s="41" t="s">
        <v>123</v>
      </c>
      <c r="E68" s="41" t="s">
        <v>124</v>
      </c>
    </row>
    <row r="69" spans="1:5" ht="15" thickBot="1" x14ac:dyDescent="0.35">
      <c r="A69" s="44"/>
      <c r="B69" s="41" t="s">
        <v>324</v>
      </c>
      <c r="C69" s="53"/>
      <c r="D69" s="41" t="s">
        <v>123</v>
      </c>
      <c r="E69" s="41" t="s">
        <v>125</v>
      </c>
    </row>
    <row r="70" spans="1:5" ht="15" thickBot="1" x14ac:dyDescent="0.35">
      <c r="A70" s="44"/>
      <c r="B70" s="41" t="s">
        <v>324</v>
      </c>
      <c r="C70" s="53"/>
      <c r="D70" s="41" t="s">
        <v>123</v>
      </c>
      <c r="E70" s="41" t="s">
        <v>125</v>
      </c>
    </row>
    <row r="71" spans="1:5" ht="15" thickBot="1" x14ac:dyDescent="0.35">
      <c r="A71" s="44"/>
      <c r="B71" s="41" t="s">
        <v>324</v>
      </c>
      <c r="C71" s="53"/>
      <c r="D71" s="41" t="s">
        <v>123</v>
      </c>
      <c r="E71" s="41" t="s">
        <v>125</v>
      </c>
    </row>
    <row r="72" spans="1:5" ht="15" thickBot="1" x14ac:dyDescent="0.35">
      <c r="A72" s="44"/>
      <c r="B72" s="41" t="s">
        <v>325</v>
      </c>
      <c r="C72" s="53"/>
      <c r="D72" s="41" t="s">
        <v>123</v>
      </c>
      <c r="E72" s="41" t="s">
        <v>124</v>
      </c>
    </row>
    <row r="73" spans="1:5" ht="15" thickBot="1" x14ac:dyDescent="0.35">
      <c r="A73" s="44"/>
      <c r="B73" s="41" t="s">
        <v>326</v>
      </c>
      <c r="C73" s="53"/>
      <c r="D73" s="41" t="s">
        <v>123</v>
      </c>
      <c r="E73" s="41" t="s">
        <v>124</v>
      </c>
    </row>
    <row r="74" spans="1:5" ht="15" thickBot="1" x14ac:dyDescent="0.35">
      <c r="A74" s="44"/>
      <c r="B74" s="41" t="s">
        <v>325</v>
      </c>
      <c r="C74" s="53"/>
      <c r="D74" s="41" t="s">
        <v>123</v>
      </c>
      <c r="E74" s="41" t="s">
        <v>124</v>
      </c>
    </row>
    <row r="75" spans="1:5" ht="15" thickBot="1" x14ac:dyDescent="0.35">
      <c r="A75" s="44"/>
      <c r="B75" s="41" t="s">
        <v>324</v>
      </c>
      <c r="C75" s="53"/>
      <c r="D75" s="41" t="s">
        <v>123</v>
      </c>
      <c r="E75" s="41" t="s">
        <v>125</v>
      </c>
    </row>
    <row r="76" spans="1:5" ht="15" thickBot="1" x14ac:dyDescent="0.35">
      <c r="A76" s="44"/>
      <c r="B76" s="41" t="s">
        <v>326</v>
      </c>
      <c r="C76" s="53"/>
      <c r="D76" s="41" t="s">
        <v>123</v>
      </c>
      <c r="E76" s="41" t="s">
        <v>124</v>
      </c>
    </row>
    <row r="77" spans="1:5" ht="15" thickBot="1" x14ac:dyDescent="0.35">
      <c r="A77" s="44"/>
      <c r="B77" s="41" t="s">
        <v>325</v>
      </c>
      <c r="C77" s="53"/>
      <c r="D77" s="41" t="s">
        <v>123</v>
      </c>
      <c r="E77" s="41" t="s">
        <v>124</v>
      </c>
    </row>
    <row r="78" spans="1:5" ht="15" thickBot="1" x14ac:dyDescent="0.35">
      <c r="A78" s="44"/>
      <c r="B78" s="41" t="s">
        <v>324</v>
      </c>
      <c r="C78" s="53"/>
      <c r="D78" s="41" t="s">
        <v>123</v>
      </c>
      <c r="E78" s="41" t="s">
        <v>125</v>
      </c>
    </row>
    <row r="79" spans="1:5" ht="15" thickBot="1" x14ac:dyDescent="0.35">
      <c r="A79" s="44"/>
      <c r="B79" s="41" t="s">
        <v>324</v>
      </c>
      <c r="C79" s="53"/>
      <c r="D79" s="41" t="s">
        <v>123</v>
      </c>
      <c r="E79" s="41" t="s">
        <v>125</v>
      </c>
    </row>
    <row r="80" spans="1:5" ht="15" thickBot="1" x14ac:dyDescent="0.35">
      <c r="A80" s="44"/>
      <c r="B80" s="41" t="s">
        <v>324</v>
      </c>
      <c r="C80" s="53"/>
      <c r="D80" s="41" t="s">
        <v>123</v>
      </c>
      <c r="E80" s="41" t="s">
        <v>125</v>
      </c>
    </row>
    <row r="81" spans="1:5" ht="15" thickBot="1" x14ac:dyDescent="0.35">
      <c r="A81" s="44"/>
      <c r="B81" s="41" t="s">
        <v>326</v>
      </c>
      <c r="C81" s="53"/>
      <c r="D81" s="41" t="s">
        <v>123</v>
      </c>
      <c r="E81" s="41" t="s">
        <v>124</v>
      </c>
    </row>
    <row r="82" spans="1:5" ht="15" thickBot="1" x14ac:dyDescent="0.35">
      <c r="A82" s="44"/>
      <c r="B82" s="41" t="s">
        <v>325</v>
      </c>
      <c r="C82" s="53"/>
      <c r="D82" s="41" t="s">
        <v>123</v>
      </c>
      <c r="E82" s="41" t="s">
        <v>124</v>
      </c>
    </row>
    <row r="83" spans="1:5" ht="15" thickBot="1" x14ac:dyDescent="0.35">
      <c r="A83" s="44"/>
      <c r="B83" s="41" t="s">
        <v>324</v>
      </c>
      <c r="C83" s="53"/>
      <c r="D83" s="41" t="s">
        <v>123</v>
      </c>
      <c r="E83" s="41" t="s">
        <v>125</v>
      </c>
    </row>
    <row r="84" spans="1:5" ht="15" thickBot="1" x14ac:dyDescent="0.35">
      <c r="A84" s="44"/>
      <c r="B84" s="41" t="s">
        <v>326</v>
      </c>
      <c r="C84" s="53"/>
      <c r="D84" s="41" t="s">
        <v>123</v>
      </c>
      <c r="E84" s="41" t="s">
        <v>124</v>
      </c>
    </row>
    <row r="85" spans="1:5" ht="15" thickBot="1" x14ac:dyDescent="0.35">
      <c r="A85" s="44"/>
      <c r="B85" s="41" t="s">
        <v>325</v>
      </c>
      <c r="C85" s="53"/>
      <c r="D85" s="41" t="s">
        <v>123</v>
      </c>
      <c r="E85" s="41" t="s">
        <v>124</v>
      </c>
    </row>
    <row r="86" spans="1:5" ht="15" thickBot="1" x14ac:dyDescent="0.35">
      <c r="A86" s="44"/>
      <c r="B86" s="41" t="s">
        <v>324</v>
      </c>
      <c r="C86" s="53"/>
      <c r="D86" s="41" t="s">
        <v>123</v>
      </c>
      <c r="E86" s="41" t="s">
        <v>125</v>
      </c>
    </row>
    <row r="87" spans="1:5" ht="15" thickBot="1" x14ac:dyDescent="0.35">
      <c r="A87" s="44"/>
      <c r="B87" s="41" t="s">
        <v>324</v>
      </c>
      <c r="C87" s="53"/>
      <c r="D87" s="41" t="s">
        <v>123</v>
      </c>
      <c r="E87" s="41" t="s">
        <v>125</v>
      </c>
    </row>
    <row r="88" spans="1:5" ht="15" thickBot="1" x14ac:dyDescent="0.35">
      <c r="A88" s="44"/>
      <c r="B88" s="41" t="s">
        <v>324</v>
      </c>
      <c r="C88" s="53"/>
      <c r="D88" s="41" t="s">
        <v>123</v>
      </c>
      <c r="E88" s="41" t="s">
        <v>125</v>
      </c>
    </row>
    <row r="89" spans="1:5" ht="15" thickBot="1" x14ac:dyDescent="0.35">
      <c r="A89" s="44"/>
      <c r="B89" s="41" t="s">
        <v>326</v>
      </c>
      <c r="C89" s="53"/>
      <c r="D89" s="41" t="s">
        <v>123</v>
      </c>
      <c r="E89" s="41" t="s">
        <v>124</v>
      </c>
    </row>
    <row r="90" spans="1:5" ht="15" thickBot="1" x14ac:dyDescent="0.35">
      <c r="A90" s="44"/>
      <c r="B90" s="41" t="s">
        <v>325</v>
      </c>
      <c r="C90" s="53"/>
      <c r="D90" s="41" t="s">
        <v>123</v>
      </c>
      <c r="E90" s="41" t="s">
        <v>124</v>
      </c>
    </row>
    <row r="91" spans="1:5" ht="15" thickBot="1" x14ac:dyDescent="0.35">
      <c r="A91" s="44"/>
      <c r="B91" s="41" t="s">
        <v>339</v>
      </c>
      <c r="C91" s="53"/>
      <c r="D91" s="41" t="s">
        <v>123</v>
      </c>
      <c r="E91" s="41" t="s">
        <v>155</v>
      </c>
    </row>
    <row r="92" spans="1:5" ht="15" thickBot="1" x14ac:dyDescent="0.35">
      <c r="A92" s="44"/>
      <c r="B92" s="41" t="s">
        <v>324</v>
      </c>
      <c r="C92" s="53"/>
      <c r="D92" s="41" t="s">
        <v>123</v>
      </c>
      <c r="E92" s="41" t="s">
        <v>125</v>
      </c>
    </row>
    <row r="93" spans="1:5" ht="15" thickBot="1" x14ac:dyDescent="0.35">
      <c r="A93" s="44"/>
      <c r="B93" s="41" t="s">
        <v>325</v>
      </c>
      <c r="C93" s="53"/>
      <c r="D93" s="41" t="s">
        <v>123</v>
      </c>
      <c r="E93" s="41" t="s">
        <v>124</v>
      </c>
    </row>
    <row r="94" spans="1:5" ht="15" thickBot="1" x14ac:dyDescent="0.35">
      <c r="A94" s="44"/>
      <c r="B94" s="41" t="s">
        <v>326</v>
      </c>
      <c r="C94" s="53"/>
      <c r="D94" s="41" t="s">
        <v>123</v>
      </c>
      <c r="E94" s="41" t="s">
        <v>124</v>
      </c>
    </row>
    <row r="95" spans="1:5" ht="15" thickBot="1" x14ac:dyDescent="0.35">
      <c r="A95" s="44"/>
      <c r="B95" s="41" t="s">
        <v>325</v>
      </c>
      <c r="C95" s="53"/>
      <c r="D95" s="41" t="s">
        <v>123</v>
      </c>
      <c r="E95" s="41" t="s">
        <v>124</v>
      </c>
    </row>
    <row r="96" spans="1:5" ht="15" thickBot="1" x14ac:dyDescent="0.35">
      <c r="A96" s="44"/>
      <c r="B96" s="41" t="s">
        <v>324</v>
      </c>
      <c r="C96" s="53"/>
      <c r="D96" s="41" t="s">
        <v>123</v>
      </c>
      <c r="E96" s="41" t="s">
        <v>125</v>
      </c>
    </row>
    <row r="97" spans="1:5" ht="15" thickBot="1" x14ac:dyDescent="0.35">
      <c r="A97" s="44"/>
      <c r="B97" s="41" t="s">
        <v>325</v>
      </c>
      <c r="C97" s="53"/>
      <c r="D97" s="41" t="s">
        <v>123</v>
      </c>
      <c r="E97" s="41" t="s">
        <v>124</v>
      </c>
    </row>
    <row r="98" spans="1:5" ht="15" thickBot="1" x14ac:dyDescent="0.35">
      <c r="A98" s="44"/>
      <c r="B98" s="41" t="s">
        <v>326</v>
      </c>
      <c r="C98" s="53"/>
      <c r="D98" s="41" t="s">
        <v>123</v>
      </c>
      <c r="E98" s="41" t="s">
        <v>124</v>
      </c>
    </row>
    <row r="99" spans="1:5" ht="15" thickBot="1" x14ac:dyDescent="0.35">
      <c r="A99" s="44"/>
      <c r="B99" s="41" t="s">
        <v>325</v>
      </c>
      <c r="C99" s="53"/>
      <c r="D99" s="41" t="s">
        <v>123</v>
      </c>
      <c r="E99" s="41" t="s">
        <v>124</v>
      </c>
    </row>
    <row r="100" spans="1:5" ht="15" thickBot="1" x14ac:dyDescent="0.35">
      <c r="A100" s="44"/>
      <c r="B100" s="41" t="s">
        <v>324</v>
      </c>
      <c r="C100" s="53"/>
      <c r="D100" s="41" t="s">
        <v>123</v>
      </c>
      <c r="E100" s="41" t="s">
        <v>125</v>
      </c>
    </row>
    <row r="101" spans="1:5" ht="15" thickBot="1" x14ac:dyDescent="0.35">
      <c r="A101" s="44"/>
      <c r="B101" s="41" t="s">
        <v>325</v>
      </c>
      <c r="C101" s="53"/>
      <c r="D101" s="41" t="s">
        <v>123</v>
      </c>
      <c r="E101" s="41" t="s">
        <v>124</v>
      </c>
    </row>
    <row r="102" spans="1:5" ht="15" thickBot="1" x14ac:dyDescent="0.35">
      <c r="A102" s="44"/>
      <c r="B102" s="41" t="s">
        <v>326</v>
      </c>
      <c r="C102" s="53"/>
      <c r="D102" s="41" t="s">
        <v>123</v>
      </c>
      <c r="E102" s="41" t="s">
        <v>124</v>
      </c>
    </row>
    <row r="103" spans="1:5" ht="15" thickBot="1" x14ac:dyDescent="0.35">
      <c r="A103" s="44"/>
      <c r="B103" s="41" t="s">
        <v>325</v>
      </c>
      <c r="C103" s="53"/>
      <c r="D103" s="41" t="s">
        <v>123</v>
      </c>
      <c r="E103" s="41" t="s">
        <v>124</v>
      </c>
    </row>
    <row r="104" spans="1:5" ht="15" thickBot="1" x14ac:dyDescent="0.35">
      <c r="A104" s="44"/>
      <c r="B104" s="41" t="s">
        <v>324</v>
      </c>
      <c r="C104" s="53"/>
      <c r="D104" s="41" t="s">
        <v>123</v>
      </c>
      <c r="E104" s="41" t="s">
        <v>125</v>
      </c>
    </row>
    <row r="105" spans="1:5" ht="15" thickBot="1" x14ac:dyDescent="0.35">
      <c r="A105" s="44"/>
      <c r="B105" s="41" t="s">
        <v>326</v>
      </c>
      <c r="C105" s="53"/>
      <c r="D105" s="41" t="s">
        <v>123</v>
      </c>
      <c r="E105" s="41" t="s">
        <v>124</v>
      </c>
    </row>
    <row r="106" spans="1:5" ht="15" thickBot="1" x14ac:dyDescent="0.35">
      <c r="A106" s="44"/>
      <c r="B106" s="41" t="s">
        <v>325</v>
      </c>
      <c r="C106" s="53"/>
      <c r="D106" s="41" t="s">
        <v>123</v>
      </c>
      <c r="E106" s="41" t="s">
        <v>124</v>
      </c>
    </row>
    <row r="107" spans="1:5" ht="15" thickBot="1" x14ac:dyDescent="0.35">
      <c r="A107" s="44"/>
      <c r="B107" s="41" t="s">
        <v>325</v>
      </c>
      <c r="C107" s="53"/>
      <c r="D107" s="41" t="s">
        <v>123</v>
      </c>
      <c r="E107" s="41" t="s">
        <v>124</v>
      </c>
    </row>
    <row r="108" spans="1:5" ht="15" thickBot="1" x14ac:dyDescent="0.35">
      <c r="A108" s="44"/>
      <c r="B108" s="41" t="s">
        <v>324</v>
      </c>
      <c r="C108" s="53"/>
      <c r="D108" s="41" t="s">
        <v>123</v>
      </c>
      <c r="E108" s="41" t="s">
        <v>125</v>
      </c>
    </row>
    <row r="109" spans="1:5" ht="15" thickBot="1" x14ac:dyDescent="0.35">
      <c r="A109" s="44"/>
      <c r="B109" s="41" t="s">
        <v>324</v>
      </c>
      <c r="C109" s="53"/>
      <c r="D109" s="41" t="s">
        <v>123</v>
      </c>
      <c r="E109" s="41" t="s">
        <v>125</v>
      </c>
    </row>
    <row r="110" spans="1:5" ht="15" thickBot="1" x14ac:dyDescent="0.35">
      <c r="A110" s="44"/>
      <c r="B110" s="41" t="s">
        <v>326</v>
      </c>
      <c r="C110" s="53"/>
      <c r="D110" s="41" t="s">
        <v>123</v>
      </c>
      <c r="E110" s="41" t="s">
        <v>124</v>
      </c>
    </row>
    <row r="111" spans="1:5" ht="15" thickBot="1" x14ac:dyDescent="0.35">
      <c r="A111" s="44"/>
      <c r="B111" s="41" t="s">
        <v>325</v>
      </c>
      <c r="C111" s="53"/>
      <c r="D111" s="41" t="s">
        <v>123</v>
      </c>
      <c r="E111" s="41" t="s">
        <v>124</v>
      </c>
    </row>
    <row r="112" spans="1:5" ht="15" thickBot="1" x14ac:dyDescent="0.35">
      <c r="A112" s="44"/>
      <c r="B112" s="41" t="s">
        <v>360</v>
      </c>
      <c r="C112" s="53"/>
      <c r="D112" s="41" t="s">
        <v>123</v>
      </c>
      <c r="E112" s="41" t="s">
        <v>124</v>
      </c>
    </row>
    <row r="113" spans="1:5" ht="15" thickBot="1" x14ac:dyDescent="0.35">
      <c r="A113" s="44"/>
      <c r="B113" s="41" t="s">
        <v>118</v>
      </c>
      <c r="C113" s="53"/>
      <c r="D113" s="41" t="s">
        <v>123</v>
      </c>
      <c r="E113" s="41" t="s">
        <v>333</v>
      </c>
    </row>
    <row r="114" spans="1:5" ht="15" thickBot="1" x14ac:dyDescent="0.35">
      <c r="A114" s="44"/>
      <c r="B114" s="41" t="s">
        <v>322</v>
      </c>
      <c r="C114" s="53"/>
      <c r="D114" s="41" t="s">
        <v>123</v>
      </c>
      <c r="E114" s="41" t="s">
        <v>333</v>
      </c>
    </row>
    <row r="115" spans="1:5" ht="15" thickBot="1" x14ac:dyDescent="0.35">
      <c r="A115" s="44"/>
      <c r="B115" s="41" t="s">
        <v>118</v>
      </c>
      <c r="C115" s="53"/>
      <c r="D115" s="41" t="s">
        <v>123</v>
      </c>
      <c r="E115" s="41" t="s">
        <v>333</v>
      </c>
    </row>
    <row r="116" spans="1:5" ht="15" thickBot="1" x14ac:dyDescent="0.35">
      <c r="A116" s="44"/>
      <c r="B116" s="41" t="s">
        <v>322</v>
      </c>
      <c r="C116" s="53"/>
      <c r="D116" s="41" t="s">
        <v>123</v>
      </c>
      <c r="E116" s="41" t="s">
        <v>333</v>
      </c>
    </row>
    <row r="117" spans="1:5" ht="15" thickBot="1" x14ac:dyDescent="0.35">
      <c r="A117" s="44"/>
      <c r="B117" s="41" t="s">
        <v>323</v>
      </c>
      <c r="C117" s="53"/>
      <c r="D117" s="41" t="s">
        <v>123</v>
      </c>
      <c r="E117" s="41" t="s">
        <v>120</v>
      </c>
    </row>
    <row r="118" spans="1:5" ht="15" thickBot="1" x14ac:dyDescent="0.35">
      <c r="A118" s="44"/>
      <c r="B118" s="41" t="s">
        <v>324</v>
      </c>
      <c r="C118" s="53"/>
      <c r="D118" s="41" t="s">
        <v>123</v>
      </c>
      <c r="E118" s="41" t="s">
        <v>125</v>
      </c>
    </row>
    <row r="119" spans="1:5" ht="15" thickBot="1" x14ac:dyDescent="0.35">
      <c r="A119" s="44"/>
      <c r="B119" s="41" t="s">
        <v>325</v>
      </c>
      <c r="C119" s="53"/>
      <c r="D119" s="41" t="s">
        <v>123</v>
      </c>
      <c r="E119" s="41" t="s">
        <v>124</v>
      </c>
    </row>
    <row r="120" spans="1:5" ht="15" thickBot="1" x14ac:dyDescent="0.35">
      <c r="A120" s="44"/>
      <c r="B120" s="41" t="s">
        <v>326</v>
      </c>
      <c r="C120" s="53"/>
      <c r="D120" s="41" t="s">
        <v>123</v>
      </c>
      <c r="E120" s="41" t="s">
        <v>124</v>
      </c>
    </row>
    <row r="121" spans="1:5" ht="15" thickBot="1" x14ac:dyDescent="0.35">
      <c r="A121" s="44"/>
      <c r="B121" s="41" t="s">
        <v>325</v>
      </c>
      <c r="C121" s="53"/>
      <c r="D121" s="41" t="s">
        <v>123</v>
      </c>
      <c r="E121" s="41" t="s">
        <v>124</v>
      </c>
    </row>
    <row r="122" spans="1:5" ht="15" thickBot="1" x14ac:dyDescent="0.35">
      <c r="A122" s="44"/>
      <c r="B122" s="41" t="s">
        <v>324</v>
      </c>
      <c r="C122" s="53"/>
      <c r="D122" s="41" t="s">
        <v>123</v>
      </c>
      <c r="E122" s="41" t="s">
        <v>125</v>
      </c>
    </row>
    <row r="123" spans="1:5" ht="15" thickBot="1" x14ac:dyDescent="0.35">
      <c r="A123" s="44"/>
      <c r="B123" s="41" t="s">
        <v>325</v>
      </c>
      <c r="C123" s="53"/>
      <c r="D123" s="41" t="s">
        <v>123</v>
      </c>
      <c r="E123" s="41" t="s">
        <v>124</v>
      </c>
    </row>
    <row r="124" spans="1:5" ht="15" thickBot="1" x14ac:dyDescent="0.35">
      <c r="A124" s="44"/>
      <c r="B124" s="41" t="s">
        <v>326</v>
      </c>
      <c r="C124" s="53"/>
      <c r="D124" s="41" t="s">
        <v>123</v>
      </c>
      <c r="E124" s="41" t="s">
        <v>124</v>
      </c>
    </row>
    <row r="125" spans="1:5" ht="15" thickBot="1" x14ac:dyDescent="0.35">
      <c r="A125" s="44"/>
      <c r="B125" s="41" t="s">
        <v>325</v>
      </c>
      <c r="C125" s="53"/>
      <c r="D125" s="41" t="s">
        <v>123</v>
      </c>
      <c r="E125" s="41" t="s">
        <v>124</v>
      </c>
    </row>
    <row r="126" spans="1:5" ht="15" thickBot="1" x14ac:dyDescent="0.35">
      <c r="A126" s="44"/>
      <c r="B126" s="41" t="s">
        <v>324</v>
      </c>
      <c r="C126" s="53"/>
      <c r="D126" s="41" t="s">
        <v>123</v>
      </c>
      <c r="E126" s="41" t="s">
        <v>125</v>
      </c>
    </row>
    <row r="127" spans="1:5" ht="15" thickBot="1" x14ac:dyDescent="0.35">
      <c r="A127" s="44"/>
      <c r="B127" s="41" t="s">
        <v>326</v>
      </c>
      <c r="C127" s="53"/>
      <c r="D127" s="41" t="s">
        <v>123</v>
      </c>
      <c r="E127" s="41" t="s">
        <v>124</v>
      </c>
    </row>
    <row r="128" spans="1:5" ht="15" thickBot="1" x14ac:dyDescent="0.35">
      <c r="A128" s="44"/>
      <c r="B128" s="41" t="s">
        <v>325</v>
      </c>
      <c r="C128" s="53"/>
      <c r="D128" s="41" t="s">
        <v>123</v>
      </c>
      <c r="E128" s="41" t="s">
        <v>124</v>
      </c>
    </row>
    <row r="129" spans="1:5" ht="15" thickBot="1" x14ac:dyDescent="0.35">
      <c r="A129" s="44"/>
      <c r="B129" s="41" t="s">
        <v>324</v>
      </c>
      <c r="C129" s="53"/>
      <c r="D129" s="41" t="s">
        <v>123</v>
      </c>
      <c r="E129" s="41" t="s">
        <v>125</v>
      </c>
    </row>
    <row r="130" spans="1:5" ht="15" thickBot="1" x14ac:dyDescent="0.35">
      <c r="A130" s="44"/>
      <c r="B130" s="41" t="s">
        <v>118</v>
      </c>
      <c r="C130" s="53"/>
      <c r="D130" s="41" t="s">
        <v>123</v>
      </c>
      <c r="E130" s="41" t="s">
        <v>333</v>
      </c>
    </row>
    <row r="131" spans="1:5" ht="15" thickBot="1" x14ac:dyDescent="0.35">
      <c r="A131" s="44"/>
      <c r="B131" s="41" t="s">
        <v>118</v>
      </c>
      <c r="C131" s="53"/>
      <c r="D131" s="41" t="s">
        <v>123</v>
      </c>
      <c r="E131" s="41" t="s">
        <v>333</v>
      </c>
    </row>
    <row r="132" spans="1:5" ht="15" thickBot="1" x14ac:dyDescent="0.35">
      <c r="A132" s="44"/>
      <c r="B132" s="41" t="s">
        <v>332</v>
      </c>
      <c r="C132" s="53"/>
      <c r="D132" s="41" t="s">
        <v>123</v>
      </c>
      <c r="E132" s="41" t="s">
        <v>334</v>
      </c>
    </row>
    <row r="133" spans="1:5" ht="15" thickBot="1" x14ac:dyDescent="0.35">
      <c r="A133" s="44"/>
      <c r="B133" s="41" t="s">
        <v>332</v>
      </c>
      <c r="C133" s="53"/>
      <c r="D133" s="41" t="s">
        <v>123</v>
      </c>
      <c r="E133" s="41" t="s">
        <v>334</v>
      </c>
    </row>
    <row r="134" spans="1:5" ht="15" thickBot="1" x14ac:dyDescent="0.35">
      <c r="A134" s="44"/>
      <c r="B134" s="41" t="s">
        <v>118</v>
      </c>
      <c r="C134" s="53"/>
      <c r="D134" s="41" t="s">
        <v>123</v>
      </c>
      <c r="E134" s="41" t="s">
        <v>333</v>
      </c>
    </row>
    <row r="135" spans="1:5" ht="15" thickBot="1" x14ac:dyDescent="0.35">
      <c r="A135" s="44"/>
      <c r="B135" s="41" t="s">
        <v>324</v>
      </c>
      <c r="C135" s="53"/>
      <c r="D135" s="41" t="s">
        <v>123</v>
      </c>
      <c r="E135" s="41" t="s">
        <v>125</v>
      </c>
    </row>
    <row r="136" spans="1:5" ht="15" thickBot="1" x14ac:dyDescent="0.35">
      <c r="A136" s="44"/>
      <c r="B136" s="41" t="s">
        <v>324</v>
      </c>
      <c r="C136" s="53"/>
      <c r="D136" s="41" t="s">
        <v>123</v>
      </c>
      <c r="E136" s="41" t="s">
        <v>125</v>
      </c>
    </row>
    <row r="137" spans="1:5" ht="15" thickBot="1" x14ac:dyDescent="0.35">
      <c r="A137" s="44"/>
      <c r="B137" s="41" t="s">
        <v>325</v>
      </c>
      <c r="C137" s="53"/>
      <c r="D137" s="41" t="s">
        <v>123</v>
      </c>
      <c r="E137" s="41" t="s">
        <v>124</v>
      </c>
    </row>
    <row r="138" spans="1:5" ht="15" thickBot="1" x14ac:dyDescent="0.35">
      <c r="A138" s="44"/>
      <c r="B138" s="41" t="s">
        <v>326</v>
      </c>
      <c r="C138" s="53"/>
      <c r="D138" s="41" t="s">
        <v>123</v>
      </c>
      <c r="E138" s="41" t="s">
        <v>124</v>
      </c>
    </row>
    <row r="139" spans="1:5" ht="15" thickBot="1" x14ac:dyDescent="0.35">
      <c r="A139" s="44"/>
      <c r="B139" s="41" t="s">
        <v>325</v>
      </c>
      <c r="C139" s="53"/>
      <c r="D139" s="41" t="s">
        <v>123</v>
      </c>
      <c r="E139" s="41" t="s">
        <v>124</v>
      </c>
    </row>
    <row r="140" spans="1:5" ht="15" thickBot="1" x14ac:dyDescent="0.35">
      <c r="A140" s="44"/>
      <c r="B140" s="41" t="s">
        <v>324</v>
      </c>
      <c r="C140" s="53"/>
      <c r="D140" s="41" t="s">
        <v>123</v>
      </c>
      <c r="E140" s="41" t="s">
        <v>125</v>
      </c>
    </row>
    <row r="141" spans="1:5" ht="15" thickBot="1" x14ac:dyDescent="0.35">
      <c r="A141" s="44"/>
      <c r="B141" s="41" t="s">
        <v>324</v>
      </c>
      <c r="C141" s="53"/>
      <c r="D141" s="41" t="s">
        <v>123</v>
      </c>
      <c r="E141" s="41" t="s">
        <v>125</v>
      </c>
    </row>
    <row r="142" spans="1:5" ht="15" thickBot="1" x14ac:dyDescent="0.35">
      <c r="A142" s="44"/>
      <c r="B142" s="41" t="s">
        <v>324</v>
      </c>
      <c r="C142" s="53"/>
      <c r="D142" s="41" t="s">
        <v>123</v>
      </c>
      <c r="E142" s="41" t="s">
        <v>125</v>
      </c>
    </row>
    <row r="143" spans="1:5" ht="15" thickBot="1" x14ac:dyDescent="0.35">
      <c r="A143" s="44"/>
      <c r="B143" s="41" t="s">
        <v>324</v>
      </c>
      <c r="C143" s="53"/>
      <c r="D143" s="41" t="s">
        <v>123</v>
      </c>
      <c r="E143" s="41" t="s">
        <v>125</v>
      </c>
    </row>
    <row r="144" spans="1:5" ht="15" thickBot="1" x14ac:dyDescent="0.35">
      <c r="A144" s="44"/>
      <c r="B144" s="41" t="s">
        <v>324</v>
      </c>
      <c r="C144" s="53"/>
      <c r="D144" s="41" t="s">
        <v>123</v>
      </c>
      <c r="E144" s="41" t="s">
        <v>125</v>
      </c>
    </row>
    <row r="145" spans="1:5" ht="15" thickBot="1" x14ac:dyDescent="0.35">
      <c r="A145" s="44"/>
      <c r="B145" s="41" t="s">
        <v>324</v>
      </c>
      <c r="C145" s="53"/>
      <c r="D145" s="41" t="s">
        <v>123</v>
      </c>
      <c r="E145" s="41" t="s">
        <v>125</v>
      </c>
    </row>
    <row r="146" spans="1:5" ht="15" thickBot="1" x14ac:dyDescent="0.35">
      <c r="A146" s="44"/>
      <c r="B146" s="41" t="s">
        <v>326</v>
      </c>
      <c r="C146" s="53"/>
      <c r="D146" s="41" t="s">
        <v>123</v>
      </c>
      <c r="E146" s="41" t="s">
        <v>124</v>
      </c>
    </row>
    <row r="147" spans="1:5" ht="15" thickBot="1" x14ac:dyDescent="0.35">
      <c r="A147" s="44"/>
      <c r="B147" s="41" t="s">
        <v>325</v>
      </c>
      <c r="C147" s="53"/>
      <c r="D147" s="41" t="s">
        <v>123</v>
      </c>
      <c r="E147" s="41" t="s">
        <v>124</v>
      </c>
    </row>
    <row r="148" spans="1:5" ht="15" thickBot="1" x14ac:dyDescent="0.35">
      <c r="A148" s="44"/>
      <c r="B148" s="41" t="s">
        <v>324</v>
      </c>
      <c r="C148" s="53"/>
      <c r="D148" s="41" t="s">
        <v>123</v>
      </c>
      <c r="E148" s="41" t="s">
        <v>125</v>
      </c>
    </row>
    <row r="149" spans="1:5" ht="15" thickBot="1" x14ac:dyDescent="0.35">
      <c r="A149" s="44"/>
      <c r="B149" s="41" t="s">
        <v>326</v>
      </c>
      <c r="C149" s="53"/>
      <c r="D149" s="41" t="s">
        <v>123</v>
      </c>
      <c r="E149" s="41" t="s">
        <v>124</v>
      </c>
    </row>
    <row r="150" spans="1:5" ht="15" thickBot="1" x14ac:dyDescent="0.35">
      <c r="A150" s="44"/>
      <c r="B150" s="41" t="s">
        <v>325</v>
      </c>
      <c r="C150" s="53"/>
      <c r="D150" s="41" t="s">
        <v>123</v>
      </c>
      <c r="E150" s="41" t="s">
        <v>124</v>
      </c>
    </row>
    <row r="151" spans="1:5" ht="15" thickBot="1" x14ac:dyDescent="0.35">
      <c r="A151" s="44"/>
      <c r="B151" s="41" t="s">
        <v>324</v>
      </c>
      <c r="C151" s="53"/>
      <c r="D151" s="41" t="s">
        <v>123</v>
      </c>
      <c r="E151" s="41" t="s">
        <v>125</v>
      </c>
    </row>
    <row r="152" spans="1:5" ht="15" thickBot="1" x14ac:dyDescent="0.35">
      <c r="A152" s="44"/>
      <c r="B152" s="41" t="s">
        <v>325</v>
      </c>
      <c r="C152" s="53"/>
      <c r="D152" s="41" t="s">
        <v>123</v>
      </c>
      <c r="E152" s="41" t="s">
        <v>124</v>
      </c>
    </row>
    <row r="153" spans="1:5" ht="15" thickBot="1" x14ac:dyDescent="0.35">
      <c r="A153" s="44"/>
      <c r="B153" s="41" t="s">
        <v>326</v>
      </c>
      <c r="C153" s="53"/>
      <c r="D153" s="41" t="s">
        <v>123</v>
      </c>
      <c r="E153" s="41" t="s">
        <v>124</v>
      </c>
    </row>
    <row r="154" spans="1:5" ht="15" thickBot="1" x14ac:dyDescent="0.35">
      <c r="A154" s="44"/>
      <c r="B154" s="41" t="s">
        <v>325</v>
      </c>
      <c r="C154" s="53"/>
      <c r="D154" s="41" t="s">
        <v>123</v>
      </c>
      <c r="E154" s="41" t="s">
        <v>124</v>
      </c>
    </row>
    <row r="155" spans="1:5" ht="15" thickBot="1" x14ac:dyDescent="0.35">
      <c r="A155" s="44"/>
      <c r="B155" s="41" t="s">
        <v>325</v>
      </c>
      <c r="C155" s="53"/>
      <c r="D155" s="41" t="s">
        <v>123</v>
      </c>
      <c r="E155" s="41" t="s">
        <v>124</v>
      </c>
    </row>
    <row r="156" spans="1:5" ht="15" thickBot="1" x14ac:dyDescent="0.35">
      <c r="A156" s="44"/>
      <c r="B156" s="41" t="s">
        <v>324</v>
      </c>
      <c r="C156" s="53"/>
      <c r="D156" s="41" t="s">
        <v>123</v>
      </c>
      <c r="E156" s="41" t="s">
        <v>125</v>
      </c>
    </row>
    <row r="157" spans="1:5" ht="15" thickBot="1" x14ac:dyDescent="0.35">
      <c r="A157" s="44"/>
      <c r="B157" s="41" t="s">
        <v>324</v>
      </c>
      <c r="C157" s="53"/>
      <c r="D157" s="41" t="s">
        <v>123</v>
      </c>
      <c r="E157" s="41" t="s">
        <v>125</v>
      </c>
    </row>
    <row r="158" spans="1:5" ht="15" thickBot="1" x14ac:dyDescent="0.35">
      <c r="A158" s="44"/>
      <c r="B158" s="41" t="s">
        <v>324</v>
      </c>
      <c r="C158" s="53"/>
      <c r="D158" s="41" t="s">
        <v>123</v>
      </c>
      <c r="E158" s="41" t="s">
        <v>125</v>
      </c>
    </row>
    <row r="159" spans="1:5" ht="15" thickBot="1" x14ac:dyDescent="0.35">
      <c r="A159" s="44"/>
      <c r="B159" s="41" t="s">
        <v>324</v>
      </c>
      <c r="C159" s="53"/>
      <c r="D159" s="41" t="s">
        <v>123</v>
      </c>
      <c r="E159" s="41" t="s">
        <v>125</v>
      </c>
    </row>
    <row r="160" spans="1:5" ht="16.5" customHeight="1" thickBot="1" x14ac:dyDescent="0.35">
      <c r="A160" s="44"/>
      <c r="B160" s="41" t="s">
        <v>324</v>
      </c>
      <c r="C160" s="53"/>
      <c r="D160" s="41" t="s">
        <v>123</v>
      </c>
      <c r="E160" s="41" t="s">
        <v>125</v>
      </c>
    </row>
    <row r="161" spans="1:5" ht="15" thickBot="1" x14ac:dyDescent="0.35">
      <c r="A161" s="44"/>
      <c r="B161" s="41" t="s">
        <v>324</v>
      </c>
      <c r="C161" s="53"/>
      <c r="D161" s="41" t="s">
        <v>123</v>
      </c>
      <c r="E161" s="41" t="s">
        <v>125</v>
      </c>
    </row>
    <row r="162" spans="1:5" ht="15" thickBot="1" x14ac:dyDescent="0.35">
      <c r="A162" s="44"/>
      <c r="B162" s="41" t="s">
        <v>324</v>
      </c>
      <c r="C162" s="53"/>
      <c r="D162" s="41" t="s">
        <v>123</v>
      </c>
      <c r="E162" s="41" t="s">
        <v>125</v>
      </c>
    </row>
    <row r="163" spans="1:5" ht="15" thickBot="1" x14ac:dyDescent="0.35">
      <c r="A163" s="44"/>
      <c r="B163" s="41" t="s">
        <v>324</v>
      </c>
      <c r="C163" s="53"/>
      <c r="D163" s="41" t="s">
        <v>123</v>
      </c>
      <c r="E163" s="41" t="s">
        <v>125</v>
      </c>
    </row>
    <row r="164" spans="1:5" ht="15" thickBot="1" x14ac:dyDescent="0.35">
      <c r="A164" s="44"/>
      <c r="B164" s="41" t="s">
        <v>326</v>
      </c>
      <c r="C164" s="53"/>
      <c r="D164" s="41" t="s">
        <v>123</v>
      </c>
      <c r="E164" s="41" t="s">
        <v>124</v>
      </c>
    </row>
    <row r="165" spans="1:5" ht="15" thickBot="1" x14ac:dyDescent="0.35">
      <c r="A165" s="44"/>
      <c r="B165" s="41" t="s">
        <v>325</v>
      </c>
      <c r="C165" s="53"/>
      <c r="D165" s="41" t="s">
        <v>123</v>
      </c>
      <c r="E165" s="41" t="s">
        <v>124</v>
      </c>
    </row>
    <row r="166" spans="1:5" ht="14.4" thickBot="1" x14ac:dyDescent="0.35">
      <c r="A166" s="45"/>
      <c r="B166" s="46" t="str">
        <f>+D165</f>
        <v>Impuestos</v>
      </c>
      <c r="C166" s="47">
        <f>SUM(C54:C165)</f>
        <v>0</v>
      </c>
      <c r="D166" s="45"/>
      <c r="E166" s="45"/>
    </row>
    <row r="167" spans="1:5" ht="15" thickBot="1" x14ac:dyDescent="0.35">
      <c r="A167" s="44">
        <v>45901</v>
      </c>
      <c r="B167" s="41" t="s">
        <v>398</v>
      </c>
      <c r="C167" s="53">
        <v>93071.25</v>
      </c>
      <c r="D167" s="41" t="s">
        <v>121</v>
      </c>
      <c r="E167" s="41" t="s">
        <v>321</v>
      </c>
    </row>
    <row r="168" spans="1:5" ht="15" thickBot="1" x14ac:dyDescent="0.35">
      <c r="A168" s="44">
        <v>45903</v>
      </c>
      <c r="B168" s="42" t="s">
        <v>407</v>
      </c>
      <c r="C168" s="53">
        <v>42037</v>
      </c>
      <c r="D168" s="41" t="s">
        <v>121</v>
      </c>
      <c r="E168" s="41" t="s">
        <v>153</v>
      </c>
    </row>
    <row r="169" spans="1:5" ht="15" thickBot="1" x14ac:dyDescent="0.35">
      <c r="A169" s="44">
        <v>45905</v>
      </c>
      <c r="B169" s="42" t="s">
        <v>413</v>
      </c>
      <c r="C169" s="53">
        <v>304792</v>
      </c>
      <c r="D169" s="41" t="s">
        <v>121</v>
      </c>
      <c r="E169" s="41" t="s">
        <v>126</v>
      </c>
    </row>
    <row r="170" spans="1:5" ht="15" thickBot="1" x14ac:dyDescent="0.35">
      <c r="A170" s="44"/>
      <c r="B170" s="42" t="s">
        <v>329</v>
      </c>
      <c r="C170" s="53"/>
      <c r="D170" s="41" t="s">
        <v>121</v>
      </c>
      <c r="E170" s="41" t="s">
        <v>330</v>
      </c>
    </row>
    <row r="171" spans="1:5" ht="15" thickBot="1" x14ac:dyDescent="0.35">
      <c r="A171" s="44"/>
      <c r="B171" s="42" t="s">
        <v>331</v>
      </c>
      <c r="C171" s="53"/>
      <c r="D171" s="41" t="s">
        <v>121</v>
      </c>
      <c r="E171" s="41" t="s">
        <v>330</v>
      </c>
    </row>
    <row r="172" spans="1:5" ht="15" thickBot="1" x14ac:dyDescent="0.35">
      <c r="A172" s="44"/>
      <c r="B172" s="42" t="s">
        <v>331</v>
      </c>
      <c r="C172" s="53"/>
      <c r="D172" s="41" t="s">
        <v>121</v>
      </c>
      <c r="E172" s="41" t="s">
        <v>330</v>
      </c>
    </row>
    <row r="173" spans="1:5" ht="15" thickBot="1" x14ac:dyDescent="0.35">
      <c r="A173" s="44"/>
      <c r="B173" s="42" t="s">
        <v>335</v>
      </c>
      <c r="C173" s="53"/>
      <c r="D173" s="41" t="s">
        <v>121</v>
      </c>
      <c r="E173" s="41" t="s">
        <v>126</v>
      </c>
    </row>
    <row r="174" spans="1:5" ht="15" thickBot="1" x14ac:dyDescent="0.35">
      <c r="A174" s="44"/>
      <c r="B174" s="42" t="s">
        <v>335</v>
      </c>
      <c r="C174" s="53"/>
      <c r="D174" s="41" t="s">
        <v>121</v>
      </c>
      <c r="E174" s="41" t="s">
        <v>126</v>
      </c>
    </row>
    <row r="175" spans="1:5" ht="15" thickBot="1" x14ac:dyDescent="0.35">
      <c r="A175" s="44"/>
      <c r="B175" s="42" t="s">
        <v>336</v>
      </c>
      <c r="C175" s="53"/>
      <c r="D175" s="41" t="s">
        <v>121</v>
      </c>
      <c r="E175" s="41" t="s">
        <v>127</v>
      </c>
    </row>
    <row r="176" spans="1:5" ht="15" thickBot="1" x14ac:dyDescent="0.35">
      <c r="A176" s="44"/>
      <c r="B176" s="42" t="s">
        <v>337</v>
      </c>
      <c r="C176" s="53"/>
      <c r="D176" s="41" t="s">
        <v>121</v>
      </c>
      <c r="E176" s="41" t="s">
        <v>127</v>
      </c>
    </row>
    <row r="177" spans="1:5" ht="15" thickBot="1" x14ac:dyDescent="0.35">
      <c r="A177" s="44"/>
      <c r="B177" s="42" t="s">
        <v>341</v>
      </c>
      <c r="C177" s="53"/>
      <c r="D177" s="41" t="s">
        <v>121</v>
      </c>
      <c r="E177" s="41" t="s">
        <v>127</v>
      </c>
    </row>
    <row r="178" spans="1:5" ht="15" thickBot="1" x14ac:dyDescent="0.35">
      <c r="A178" s="44"/>
      <c r="B178" s="42" t="s">
        <v>342</v>
      </c>
      <c r="C178" s="53"/>
      <c r="D178" s="41" t="s">
        <v>121</v>
      </c>
      <c r="E178" s="41" t="s">
        <v>126</v>
      </c>
    </row>
    <row r="179" spans="1:5" ht="15" thickBot="1" x14ac:dyDescent="0.35">
      <c r="A179" s="44"/>
      <c r="B179" s="42" t="s">
        <v>343</v>
      </c>
      <c r="C179" s="53"/>
      <c r="D179" s="41" t="s">
        <v>121</v>
      </c>
      <c r="E179" s="41" t="s">
        <v>128</v>
      </c>
    </row>
    <row r="180" spans="1:5" ht="15" thickBot="1" x14ac:dyDescent="0.35">
      <c r="A180" s="44"/>
      <c r="B180" s="42" t="s">
        <v>344</v>
      </c>
      <c r="C180" s="53"/>
      <c r="D180" s="41" t="s">
        <v>121</v>
      </c>
      <c r="E180" s="41" t="s">
        <v>126</v>
      </c>
    </row>
    <row r="181" spans="1:5" ht="15" thickBot="1" x14ac:dyDescent="0.35">
      <c r="A181" s="44"/>
      <c r="B181" s="42" t="s">
        <v>349</v>
      </c>
      <c r="C181" s="53"/>
      <c r="D181" s="41" t="s">
        <v>121</v>
      </c>
      <c r="E181" s="41" t="s">
        <v>330</v>
      </c>
    </row>
    <row r="182" spans="1:5" ht="15" thickBot="1" x14ac:dyDescent="0.35">
      <c r="A182" s="44"/>
      <c r="B182" s="41" t="s">
        <v>366</v>
      </c>
      <c r="C182" s="53"/>
      <c r="D182" s="41" t="s">
        <v>121</v>
      </c>
      <c r="E182" s="41" t="s">
        <v>145</v>
      </c>
    </row>
    <row r="183" spans="1:5" ht="15" thickBot="1" x14ac:dyDescent="0.35">
      <c r="A183" s="40"/>
      <c r="B183" s="41" t="s">
        <v>370</v>
      </c>
      <c r="C183" s="54"/>
      <c r="D183" s="41" t="s">
        <v>121</v>
      </c>
      <c r="E183" s="41" t="s">
        <v>126</v>
      </c>
    </row>
    <row r="184" spans="1:5" ht="16.5" customHeight="1" thickBot="1" x14ac:dyDescent="0.35">
      <c r="A184" s="45"/>
      <c r="B184" s="46" t="s">
        <v>121</v>
      </c>
      <c r="C184" s="47">
        <f>SUM(C167:C183)</f>
        <v>439900.25</v>
      </c>
      <c r="D184" s="45"/>
      <c r="E184" s="45"/>
    </row>
    <row r="185" spans="1:5" ht="15" thickBot="1" x14ac:dyDescent="0.35">
      <c r="A185" s="44">
        <v>45901</v>
      </c>
      <c r="B185" s="42" t="s">
        <v>399</v>
      </c>
      <c r="C185" s="51">
        <v>567205</v>
      </c>
      <c r="D185" s="42" t="s">
        <v>122</v>
      </c>
      <c r="E185" s="42" t="s">
        <v>122</v>
      </c>
    </row>
    <row r="186" spans="1:5" ht="15" thickBot="1" x14ac:dyDescent="0.35">
      <c r="A186" s="44">
        <v>45901</v>
      </c>
      <c r="B186" s="42" t="s">
        <v>400</v>
      </c>
      <c r="C186" s="51">
        <v>572878</v>
      </c>
      <c r="D186" s="42" t="s">
        <v>122</v>
      </c>
      <c r="E186" s="42" t="s">
        <v>122</v>
      </c>
    </row>
    <row r="187" spans="1:5" ht="15" thickBot="1" x14ac:dyDescent="0.35">
      <c r="A187" s="44">
        <v>45901</v>
      </c>
      <c r="B187" s="42" t="s">
        <v>401</v>
      </c>
      <c r="C187" s="51">
        <v>2472405</v>
      </c>
      <c r="D187" s="42" t="s">
        <v>122</v>
      </c>
      <c r="E187" s="42" t="s">
        <v>122</v>
      </c>
    </row>
    <row r="188" spans="1:5" ht="15" thickBot="1" x14ac:dyDescent="0.35">
      <c r="A188" s="44"/>
      <c r="B188" s="42" t="s">
        <v>402</v>
      </c>
      <c r="C188" s="51"/>
      <c r="D188" s="42" t="s">
        <v>122</v>
      </c>
      <c r="E188" s="42" t="s">
        <v>122</v>
      </c>
    </row>
    <row r="189" spans="1:5" ht="15" thickBot="1" x14ac:dyDescent="0.35">
      <c r="A189" s="40"/>
      <c r="B189" s="41" t="s">
        <v>403</v>
      </c>
      <c r="C189" s="51"/>
      <c r="D189" s="42" t="s">
        <v>122</v>
      </c>
      <c r="E189" s="42" t="s">
        <v>122</v>
      </c>
    </row>
    <row r="190" spans="1:5" ht="15" thickBot="1" x14ac:dyDescent="0.35">
      <c r="A190" s="40"/>
      <c r="B190" s="41" t="s">
        <v>404</v>
      </c>
      <c r="C190" s="51"/>
      <c r="D190" s="42" t="s">
        <v>122</v>
      </c>
      <c r="E190" s="42" t="s">
        <v>122</v>
      </c>
    </row>
    <row r="191" spans="1:5" ht="15" thickBot="1" x14ac:dyDescent="0.35">
      <c r="A191" s="60"/>
      <c r="B191" s="41" t="s">
        <v>405</v>
      </c>
      <c r="C191" s="57"/>
      <c r="D191" s="42" t="s">
        <v>122</v>
      </c>
      <c r="E191" s="42" t="s">
        <v>122</v>
      </c>
    </row>
    <row r="192" spans="1:5" ht="15" thickBot="1" x14ac:dyDescent="0.35">
      <c r="A192" s="60"/>
      <c r="B192" s="41" t="s">
        <v>406</v>
      </c>
      <c r="C192" s="57"/>
      <c r="D192" s="42" t="s">
        <v>122</v>
      </c>
      <c r="E192" s="42" t="s">
        <v>122</v>
      </c>
    </row>
    <row r="193" spans="1:5" x14ac:dyDescent="0.3">
      <c r="A193" s="45"/>
      <c r="B193" s="46" t="s">
        <v>122</v>
      </c>
      <c r="C193" s="47">
        <f>SUM(C185:C192)</f>
        <v>3612488</v>
      </c>
      <c r="D193" s="45"/>
      <c r="E193" s="45"/>
    </row>
    <row r="194" spans="1:5" ht="14.4" x14ac:dyDescent="0.3">
      <c r="A194" s="56"/>
      <c r="B194" s="50"/>
      <c r="C194" s="57"/>
      <c r="D194" s="50"/>
      <c r="E194" s="50"/>
    </row>
    <row r="195" spans="1:5" ht="16.5" customHeight="1" x14ac:dyDescent="0.3">
      <c r="A195" s="56"/>
      <c r="B195" s="50"/>
      <c r="C195" s="57"/>
      <c r="D195" s="50"/>
      <c r="E195" s="50"/>
    </row>
  </sheetData>
  <autoFilter ref="A1:D1" xr:uid="{7D39FC09-67B1-4389-93ED-E9AE970AAC6E}"/>
  <sortState xmlns:xlrd2="http://schemas.microsoft.com/office/spreadsheetml/2017/richdata2" ref="A2:E196">
    <sortCondition ref="D2:D196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BC13-608A-4D72-88BA-E2569102A1E0}">
  <dimension ref="A1"/>
  <sheetViews>
    <sheetView workbookViewId="0">
      <selection activeCell="E16" sqref="E16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T48"/>
  <sheetViews>
    <sheetView topLeftCell="A32" zoomScale="90" zoomScaleNormal="90" workbookViewId="0">
      <selection activeCell="D54" sqref="D54"/>
    </sheetView>
  </sheetViews>
  <sheetFormatPr baseColWidth="10" defaultColWidth="8.88671875" defaultRowHeight="14.4" x14ac:dyDescent="0.3"/>
  <cols>
    <col min="2" max="2" width="6.77734375" customWidth="1"/>
    <col min="3" max="3" width="13.77734375" hidden="1" customWidth="1"/>
    <col min="4" max="4" width="35.88671875" customWidth="1"/>
    <col min="5" max="5" width="11.21875" hidden="1" customWidth="1"/>
    <col min="6" max="6" width="10.109375" hidden="1" customWidth="1"/>
    <col min="7" max="7" width="34.33203125" hidden="1" customWidth="1"/>
    <col min="8" max="8" width="19.5546875" customWidth="1"/>
    <col min="9" max="9" width="22" style="62" bestFit="1" customWidth="1"/>
    <col min="10" max="11" width="18" bestFit="1" customWidth="1"/>
    <col min="12" max="12" width="20.88671875" style="66" customWidth="1"/>
    <col min="13" max="13" width="15.44140625" hidden="1" customWidth="1"/>
    <col min="14" max="14" width="18" hidden="1" customWidth="1"/>
    <col min="15" max="15" width="17.44140625" hidden="1" customWidth="1"/>
    <col min="16" max="16" width="11.44140625" hidden="1" customWidth="1"/>
    <col min="17" max="17" width="14" hidden="1" customWidth="1"/>
    <col min="18" max="18" width="15" hidden="1" customWidth="1"/>
    <col min="19" max="19" width="15.33203125" hidden="1" customWidth="1"/>
    <col min="20" max="21" width="0" hidden="1" customWidth="1"/>
  </cols>
  <sheetData>
    <row r="1" spans="1:20" ht="36" x14ac:dyDescent="0.3">
      <c r="A1" s="73" t="s">
        <v>162</v>
      </c>
      <c r="B1" s="73" t="s">
        <v>163</v>
      </c>
      <c r="C1" s="73" t="s">
        <v>164</v>
      </c>
      <c r="D1" s="73" t="s">
        <v>150</v>
      </c>
      <c r="E1" s="73" t="s">
        <v>165</v>
      </c>
      <c r="F1" s="73" t="s">
        <v>166</v>
      </c>
      <c r="G1" s="73" t="s">
        <v>167</v>
      </c>
      <c r="H1" s="73" t="s">
        <v>373</v>
      </c>
      <c r="I1" s="78" t="s">
        <v>393</v>
      </c>
      <c r="J1" s="73" t="s">
        <v>383</v>
      </c>
      <c r="K1" s="73" t="s">
        <v>378</v>
      </c>
      <c r="L1" s="74" t="s">
        <v>390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</row>
    <row r="2" spans="1:20" x14ac:dyDescent="0.3">
      <c r="A2" t="s">
        <v>176</v>
      </c>
      <c r="B2">
        <v>273</v>
      </c>
      <c r="C2" t="s">
        <v>177</v>
      </c>
      <c r="D2" t="s">
        <v>178</v>
      </c>
      <c r="E2" t="s">
        <v>129</v>
      </c>
      <c r="F2" t="s">
        <v>179</v>
      </c>
      <c r="G2" t="s">
        <v>180</v>
      </c>
      <c r="H2" t="s">
        <v>374</v>
      </c>
      <c r="I2" s="62">
        <v>210000</v>
      </c>
      <c r="J2" s="68">
        <v>250000</v>
      </c>
      <c r="K2" s="66"/>
      <c r="L2" s="68">
        <f>ExportFacturacion[[#This Row],[Unitario]]-ExportFacturacion[[#This Row],[Descuento]]</f>
        <v>250000</v>
      </c>
      <c r="M2" t="s">
        <v>181</v>
      </c>
      <c r="N2" t="s">
        <v>182</v>
      </c>
      <c r="O2" t="s">
        <v>183</v>
      </c>
      <c r="P2" t="s">
        <v>184</v>
      </c>
      <c r="Q2">
        <v>100</v>
      </c>
      <c r="R2" t="s">
        <v>184</v>
      </c>
      <c r="S2" t="s">
        <v>181</v>
      </c>
      <c r="T2" t="s">
        <v>182</v>
      </c>
    </row>
    <row r="3" spans="1:20" x14ac:dyDescent="0.3">
      <c r="A3" t="s">
        <v>176</v>
      </c>
      <c r="B3">
        <v>299</v>
      </c>
      <c r="C3" t="s">
        <v>185</v>
      </c>
      <c r="D3" t="s">
        <v>186</v>
      </c>
      <c r="E3" t="s">
        <v>117</v>
      </c>
      <c r="H3" t="s">
        <v>375</v>
      </c>
      <c r="I3" s="62">
        <v>598486.37</v>
      </c>
      <c r="J3" s="68">
        <v>3516000</v>
      </c>
      <c r="K3" s="66"/>
      <c r="L3" s="68">
        <f>ExportFacturacion[[#This Row],[Unitario]]-ExportFacturacion[[#This Row],[Descuento]]</f>
        <v>3516000</v>
      </c>
      <c r="M3" t="s">
        <v>187</v>
      </c>
      <c r="N3" t="s">
        <v>188</v>
      </c>
      <c r="O3" t="s">
        <v>182</v>
      </c>
      <c r="P3" t="s">
        <v>189</v>
      </c>
      <c r="Q3">
        <v>50</v>
      </c>
      <c r="R3" t="s">
        <v>190</v>
      </c>
      <c r="S3" t="s">
        <v>191</v>
      </c>
      <c r="T3" t="s">
        <v>191</v>
      </c>
    </row>
    <row r="4" spans="1:20" x14ac:dyDescent="0.3">
      <c r="A4" t="s">
        <v>176</v>
      </c>
      <c r="B4">
        <v>307</v>
      </c>
      <c r="C4" t="s">
        <v>177</v>
      </c>
      <c r="D4" t="s">
        <v>192</v>
      </c>
      <c r="E4" t="s">
        <v>117</v>
      </c>
      <c r="G4" t="s">
        <v>193</v>
      </c>
      <c r="H4" t="s">
        <v>376</v>
      </c>
      <c r="I4" s="62">
        <v>1114422.8999999999</v>
      </c>
      <c r="J4" s="68">
        <v>5860000</v>
      </c>
      <c r="K4" s="66"/>
      <c r="L4" s="68">
        <f>ExportFacturacion[[#This Row],[Unitario]]-ExportFacturacion[[#This Row],[Descuento]]</f>
        <v>5860000</v>
      </c>
      <c r="M4" t="s">
        <v>194</v>
      </c>
      <c r="N4" t="s">
        <v>195</v>
      </c>
      <c r="O4" t="s">
        <v>182</v>
      </c>
      <c r="P4" t="s">
        <v>196</v>
      </c>
      <c r="Q4">
        <v>50</v>
      </c>
      <c r="R4" t="s">
        <v>197</v>
      </c>
      <c r="S4" t="s">
        <v>198</v>
      </c>
      <c r="T4" t="s">
        <v>198</v>
      </c>
    </row>
    <row r="5" spans="1:20" x14ac:dyDescent="0.3">
      <c r="A5" t="s">
        <v>176</v>
      </c>
      <c r="B5">
        <v>324</v>
      </c>
      <c r="C5" t="s">
        <v>177</v>
      </c>
      <c r="D5" t="s">
        <v>199</v>
      </c>
      <c r="E5" t="s">
        <v>129</v>
      </c>
      <c r="G5" t="s">
        <v>200</v>
      </c>
      <c r="H5" t="s">
        <v>376</v>
      </c>
      <c r="I5" s="62">
        <v>1114422.8999999999</v>
      </c>
      <c r="J5" s="67">
        <v>6446000</v>
      </c>
      <c r="K5" s="69">
        <f>ExportFacturacion[[#This Row],[Unitario]]*5%</f>
        <v>322300</v>
      </c>
      <c r="L5" s="67">
        <f>ExportFacturacion[[#This Row],[Unitario]]-ExportFacturacion[[#This Row],[Descuento]]</f>
        <v>6123700</v>
      </c>
      <c r="M5" t="s">
        <v>201</v>
      </c>
      <c r="N5" t="s">
        <v>202</v>
      </c>
      <c r="O5" t="s">
        <v>182</v>
      </c>
      <c r="P5" t="s">
        <v>203</v>
      </c>
      <c r="Q5">
        <v>100</v>
      </c>
      <c r="R5" t="s">
        <v>203</v>
      </c>
      <c r="S5" t="s">
        <v>201</v>
      </c>
      <c r="T5" t="s">
        <v>182</v>
      </c>
    </row>
    <row r="6" spans="1:20" x14ac:dyDescent="0.3">
      <c r="H6" t="s">
        <v>377</v>
      </c>
      <c r="I6" s="75">
        <v>29803.21</v>
      </c>
      <c r="J6" s="67">
        <v>120100</v>
      </c>
      <c r="K6" s="69">
        <f>ExportFacturacion[[#This Row],[Unitario]]*5%</f>
        <v>6005</v>
      </c>
      <c r="L6" s="67">
        <f>ExportFacturacion[[#This Row],[Unitario]]-ExportFacturacion[[#This Row],[Descuento]]</f>
        <v>114095</v>
      </c>
    </row>
    <row r="7" spans="1:20" x14ac:dyDescent="0.3">
      <c r="A7" t="s">
        <v>176</v>
      </c>
      <c r="B7">
        <v>354</v>
      </c>
      <c r="C7" t="s">
        <v>177</v>
      </c>
      <c r="D7" t="s">
        <v>204</v>
      </c>
      <c r="E7" t="s">
        <v>129</v>
      </c>
      <c r="G7" t="s">
        <v>205</v>
      </c>
      <c r="H7" t="s">
        <v>376</v>
      </c>
      <c r="I7" s="62">
        <v>1114422.8999999999</v>
      </c>
      <c r="J7" s="68">
        <v>6446000</v>
      </c>
      <c r="K7" s="66"/>
      <c r="L7" s="68">
        <f>ExportFacturacion[[#This Row],[Unitario]]-ExportFacturacion[[#This Row],[Descuento]]</f>
        <v>6446000</v>
      </c>
      <c r="M7" t="s">
        <v>206</v>
      </c>
      <c r="N7" t="s">
        <v>207</v>
      </c>
      <c r="O7" t="s">
        <v>182</v>
      </c>
      <c r="P7" t="s">
        <v>208</v>
      </c>
      <c r="Q7">
        <v>100</v>
      </c>
      <c r="R7" t="s">
        <v>208</v>
      </c>
      <c r="S7" t="s">
        <v>206</v>
      </c>
      <c r="T7" t="s">
        <v>182</v>
      </c>
    </row>
    <row r="8" spans="1:20" x14ac:dyDescent="0.3">
      <c r="A8" t="s">
        <v>176</v>
      </c>
      <c r="B8">
        <v>368</v>
      </c>
      <c r="C8" t="s">
        <v>177</v>
      </c>
      <c r="D8" t="s">
        <v>209</v>
      </c>
      <c r="E8" t="s">
        <v>129</v>
      </c>
      <c r="F8" t="s">
        <v>179</v>
      </c>
      <c r="G8" t="s">
        <v>210</v>
      </c>
      <c r="H8" t="s">
        <v>379</v>
      </c>
      <c r="I8" s="62">
        <v>220132.92</v>
      </c>
      <c r="J8" s="68">
        <v>1188000</v>
      </c>
      <c r="K8" s="66"/>
      <c r="L8" s="68">
        <f>ExportFacturacion[[#This Row],[Unitario]]-ExportFacturacion[[#This Row],[Descuento]]</f>
        <v>1188000</v>
      </c>
      <c r="M8" t="s">
        <v>211</v>
      </c>
      <c r="N8" t="s">
        <v>212</v>
      </c>
      <c r="O8" t="s">
        <v>182</v>
      </c>
      <c r="P8" t="s">
        <v>213</v>
      </c>
      <c r="Q8">
        <v>100</v>
      </c>
      <c r="R8" t="s">
        <v>213</v>
      </c>
      <c r="S8" t="s">
        <v>211</v>
      </c>
      <c r="T8" t="s">
        <v>182</v>
      </c>
    </row>
    <row r="9" spans="1:20" x14ac:dyDescent="0.3">
      <c r="A9" t="s">
        <v>176</v>
      </c>
      <c r="B9">
        <v>369</v>
      </c>
      <c r="C9" t="s">
        <v>177</v>
      </c>
      <c r="D9" t="s">
        <v>214</v>
      </c>
      <c r="E9" t="s">
        <v>129</v>
      </c>
      <c r="H9" t="s">
        <v>375</v>
      </c>
      <c r="I9" s="62">
        <v>598486.37</v>
      </c>
      <c r="J9" s="68">
        <v>3867600</v>
      </c>
      <c r="K9" s="66"/>
      <c r="L9" s="68">
        <f>ExportFacturacion[[#This Row],[Unitario]]-ExportFacturacion[[#This Row],[Descuento]]</f>
        <v>3867600</v>
      </c>
      <c r="M9" t="s">
        <v>215</v>
      </c>
      <c r="N9" t="s">
        <v>216</v>
      </c>
      <c r="O9" t="s">
        <v>182</v>
      </c>
      <c r="P9" t="s">
        <v>217</v>
      </c>
      <c r="Q9">
        <v>100</v>
      </c>
      <c r="R9" t="s">
        <v>217</v>
      </c>
      <c r="S9" t="s">
        <v>215</v>
      </c>
      <c r="T9" t="s">
        <v>182</v>
      </c>
    </row>
    <row r="10" spans="1:20" x14ac:dyDescent="0.3">
      <c r="A10" t="s">
        <v>176</v>
      </c>
      <c r="B10">
        <v>372</v>
      </c>
      <c r="C10" t="s">
        <v>185</v>
      </c>
      <c r="D10" t="s">
        <v>218</v>
      </c>
      <c r="E10" t="s">
        <v>117</v>
      </c>
      <c r="H10" t="s">
        <v>374</v>
      </c>
      <c r="I10" s="62">
        <v>210000</v>
      </c>
      <c r="J10" s="68">
        <v>250000</v>
      </c>
      <c r="K10" s="66"/>
      <c r="L10" s="68">
        <f>ExportFacturacion[[#This Row],[Unitario]]-ExportFacturacion[[#This Row],[Descuento]]</f>
        <v>250000</v>
      </c>
      <c r="M10" t="s">
        <v>219</v>
      </c>
      <c r="N10" t="s">
        <v>216</v>
      </c>
      <c r="O10" t="s">
        <v>183</v>
      </c>
      <c r="P10" t="s">
        <v>220</v>
      </c>
      <c r="Q10">
        <v>100</v>
      </c>
      <c r="R10" t="s">
        <v>220</v>
      </c>
      <c r="S10" t="s">
        <v>219</v>
      </c>
      <c r="T10" t="s">
        <v>182</v>
      </c>
    </row>
    <row r="11" spans="1:20" x14ac:dyDescent="0.3">
      <c r="H11" t="s">
        <v>375</v>
      </c>
      <c r="I11" s="62">
        <v>598486.37</v>
      </c>
      <c r="J11" s="68">
        <v>3867600</v>
      </c>
      <c r="K11" s="66"/>
      <c r="L11" s="68">
        <f>ExportFacturacion[[#This Row],[Unitario]]-ExportFacturacion[[#This Row],[Descuento]]</f>
        <v>3867600</v>
      </c>
    </row>
    <row r="12" spans="1:20" x14ac:dyDescent="0.3">
      <c r="A12" t="s">
        <v>176</v>
      </c>
      <c r="B12">
        <v>377</v>
      </c>
      <c r="C12" t="s">
        <v>185</v>
      </c>
      <c r="D12" t="s">
        <v>221</v>
      </c>
      <c r="E12" t="s">
        <v>117</v>
      </c>
      <c r="G12" t="s">
        <v>222</v>
      </c>
      <c r="H12" t="s">
        <v>379</v>
      </c>
      <c r="I12" s="62">
        <v>220132.92</v>
      </c>
      <c r="J12" s="68">
        <v>1188000</v>
      </c>
      <c r="K12" s="66"/>
      <c r="L12" s="68">
        <f>ExportFacturacion[[#This Row],[Unitario]]-ExportFacturacion[[#This Row],[Descuento]]</f>
        <v>1188000</v>
      </c>
      <c r="M12" t="s">
        <v>211</v>
      </c>
      <c r="N12" t="s">
        <v>212</v>
      </c>
      <c r="O12" t="s">
        <v>182</v>
      </c>
      <c r="P12" t="s">
        <v>213</v>
      </c>
      <c r="Q12">
        <v>100</v>
      </c>
      <c r="R12" t="s">
        <v>213</v>
      </c>
      <c r="S12" t="s">
        <v>211</v>
      </c>
      <c r="T12" t="s">
        <v>182</v>
      </c>
    </row>
    <row r="13" spans="1:20" x14ac:dyDescent="0.3">
      <c r="A13" t="s">
        <v>176</v>
      </c>
      <c r="B13">
        <v>384</v>
      </c>
      <c r="C13" t="s">
        <v>185</v>
      </c>
      <c r="D13" t="s">
        <v>223</v>
      </c>
      <c r="E13" t="s">
        <v>117</v>
      </c>
      <c r="F13" t="s">
        <v>224</v>
      </c>
      <c r="G13" t="s">
        <v>225</v>
      </c>
      <c r="H13" t="s">
        <v>380</v>
      </c>
      <c r="I13" s="62">
        <v>16557.34</v>
      </c>
      <c r="J13" s="68">
        <v>75100</v>
      </c>
      <c r="K13" s="66"/>
      <c r="L13" s="68">
        <f>ExportFacturacion[[#This Row],[Unitario]]-ExportFacturacion[[#This Row],[Descuento]]</f>
        <v>75100</v>
      </c>
      <c r="M13" t="s">
        <v>226</v>
      </c>
      <c r="N13" t="s">
        <v>227</v>
      </c>
      <c r="O13" t="s">
        <v>182</v>
      </c>
      <c r="P13" t="s">
        <v>228</v>
      </c>
      <c r="Q13">
        <v>100</v>
      </c>
      <c r="R13" t="s">
        <v>228</v>
      </c>
      <c r="S13" t="s">
        <v>226</v>
      </c>
      <c r="T13" t="s">
        <v>182</v>
      </c>
    </row>
    <row r="14" spans="1:20" x14ac:dyDescent="0.3">
      <c r="A14" t="s">
        <v>176</v>
      </c>
      <c r="B14">
        <v>388</v>
      </c>
      <c r="C14" t="s">
        <v>185</v>
      </c>
      <c r="D14" t="s">
        <v>229</v>
      </c>
      <c r="E14" t="s">
        <v>117</v>
      </c>
      <c r="H14" t="s">
        <v>381</v>
      </c>
      <c r="I14" s="62">
        <v>398990.91</v>
      </c>
      <c r="J14" s="68">
        <v>2211000</v>
      </c>
      <c r="K14" s="66"/>
      <c r="L14" s="68">
        <f>ExportFacturacion[[#This Row],[Unitario]]-ExportFacturacion[[#This Row],[Descuento]]</f>
        <v>2211000</v>
      </c>
      <c r="M14" t="s">
        <v>230</v>
      </c>
      <c r="N14" t="s">
        <v>231</v>
      </c>
      <c r="O14" t="s">
        <v>182</v>
      </c>
      <c r="P14" t="s">
        <v>232</v>
      </c>
      <c r="Q14">
        <v>100</v>
      </c>
      <c r="R14" t="s">
        <v>232</v>
      </c>
      <c r="S14" t="s">
        <v>230</v>
      </c>
      <c r="T14" t="s">
        <v>182</v>
      </c>
    </row>
    <row r="15" spans="1:20" x14ac:dyDescent="0.3">
      <c r="A15" t="s">
        <v>176</v>
      </c>
      <c r="B15">
        <v>389</v>
      </c>
      <c r="C15" t="s">
        <v>177</v>
      </c>
      <c r="D15" t="s">
        <v>233</v>
      </c>
      <c r="E15" t="s">
        <v>129</v>
      </c>
      <c r="G15" t="s">
        <v>234</v>
      </c>
      <c r="H15" t="s">
        <v>375</v>
      </c>
      <c r="I15" s="62">
        <v>598486.37</v>
      </c>
      <c r="J15" s="68">
        <v>3867600</v>
      </c>
      <c r="K15" s="66"/>
      <c r="L15" s="68">
        <f>ExportFacturacion[[#This Row],[Unitario]]-ExportFacturacion[[#This Row],[Descuento]]</f>
        <v>3867600</v>
      </c>
      <c r="M15" t="s">
        <v>215</v>
      </c>
      <c r="N15" t="s">
        <v>216</v>
      </c>
      <c r="O15" t="s">
        <v>182</v>
      </c>
      <c r="P15" t="s">
        <v>217</v>
      </c>
      <c r="Q15">
        <v>50</v>
      </c>
      <c r="R15" t="s">
        <v>235</v>
      </c>
      <c r="S15" t="s">
        <v>236</v>
      </c>
      <c r="T15" t="s">
        <v>236</v>
      </c>
    </row>
    <row r="16" spans="1:20" x14ac:dyDescent="0.3">
      <c r="A16" t="s">
        <v>176</v>
      </c>
      <c r="B16">
        <v>394</v>
      </c>
      <c r="C16" t="s">
        <v>177</v>
      </c>
      <c r="D16" t="s">
        <v>237</v>
      </c>
      <c r="E16" t="s">
        <v>129</v>
      </c>
      <c r="H16" t="s">
        <v>381</v>
      </c>
      <c r="I16" s="62">
        <v>398990.91</v>
      </c>
      <c r="J16" s="68">
        <v>2211000</v>
      </c>
      <c r="K16" s="66"/>
      <c r="L16" s="68">
        <f>ExportFacturacion[[#This Row],[Unitario]]-ExportFacturacion[[#This Row],[Descuento]]</f>
        <v>2211000</v>
      </c>
      <c r="M16" t="s">
        <v>230</v>
      </c>
      <c r="N16" t="s">
        <v>231</v>
      </c>
      <c r="O16" t="s">
        <v>182</v>
      </c>
      <c r="P16" t="s">
        <v>232</v>
      </c>
      <c r="Q16">
        <v>100</v>
      </c>
      <c r="R16" t="s">
        <v>232</v>
      </c>
      <c r="S16" t="s">
        <v>230</v>
      </c>
      <c r="T16" t="s">
        <v>182</v>
      </c>
    </row>
    <row r="17" spans="1:20" x14ac:dyDescent="0.3">
      <c r="A17" t="s">
        <v>176</v>
      </c>
      <c r="B17">
        <v>395</v>
      </c>
      <c r="C17" t="s">
        <v>177</v>
      </c>
      <c r="D17" t="s">
        <v>238</v>
      </c>
      <c r="E17" t="s">
        <v>129</v>
      </c>
      <c r="H17" t="s">
        <v>375</v>
      </c>
      <c r="I17" s="62">
        <v>598486.37</v>
      </c>
      <c r="J17" s="68">
        <v>3867600</v>
      </c>
      <c r="K17" s="69">
        <f>ExportFacturacion[[#This Row],[Unitario]]*5%</f>
        <v>193380</v>
      </c>
      <c r="L17" s="68">
        <f>ExportFacturacion[[#This Row],[Unitario]]-ExportFacturacion[[#This Row],[Descuento]]</f>
        <v>3674220</v>
      </c>
      <c r="M17" t="s">
        <v>239</v>
      </c>
      <c r="N17" t="s">
        <v>240</v>
      </c>
      <c r="O17" t="s">
        <v>182</v>
      </c>
      <c r="P17" t="s">
        <v>241</v>
      </c>
      <c r="Q17">
        <v>50</v>
      </c>
      <c r="R17" t="s">
        <v>242</v>
      </c>
      <c r="S17" t="s">
        <v>243</v>
      </c>
      <c r="T17" t="s">
        <v>243</v>
      </c>
    </row>
    <row r="18" spans="1:20" x14ac:dyDescent="0.3">
      <c r="A18" t="s">
        <v>176</v>
      </c>
      <c r="B18">
        <v>398</v>
      </c>
      <c r="C18" t="s">
        <v>177</v>
      </c>
      <c r="D18" t="s">
        <v>244</v>
      </c>
      <c r="E18" t="s">
        <v>117</v>
      </c>
      <c r="H18" t="s">
        <v>382</v>
      </c>
      <c r="J18" s="68">
        <v>3179000</v>
      </c>
      <c r="K18" s="66"/>
      <c r="L18" s="68">
        <f>ExportFacturacion[[#This Row],[Unitario]]-ExportFacturacion[[#This Row],[Descuento]]</f>
        <v>3179000</v>
      </c>
      <c r="M18" t="s">
        <v>245</v>
      </c>
      <c r="N18" t="s">
        <v>246</v>
      </c>
      <c r="O18" t="s">
        <v>182</v>
      </c>
      <c r="P18" t="s">
        <v>247</v>
      </c>
      <c r="Q18">
        <v>50</v>
      </c>
      <c r="R18" t="s">
        <v>248</v>
      </c>
      <c r="S18" t="s">
        <v>249</v>
      </c>
      <c r="T18" t="s">
        <v>249</v>
      </c>
    </row>
    <row r="19" spans="1:20" x14ac:dyDescent="0.3">
      <c r="A19" t="s">
        <v>176</v>
      </c>
      <c r="B19">
        <v>399</v>
      </c>
      <c r="C19" t="s">
        <v>177</v>
      </c>
      <c r="D19" t="s">
        <v>391</v>
      </c>
      <c r="E19" t="s">
        <v>129</v>
      </c>
      <c r="H19" t="s">
        <v>388</v>
      </c>
      <c r="I19" s="62">
        <v>1630897.63</v>
      </c>
      <c r="J19" s="68">
        <v>6400000</v>
      </c>
      <c r="K19" s="66"/>
      <c r="L19" s="68">
        <f>ExportFacturacion[[#This Row],[Unitario]]-ExportFacturacion[[#This Row],[Descuento]]</f>
        <v>6400000</v>
      </c>
      <c r="M19" t="s">
        <v>250</v>
      </c>
      <c r="N19" t="s">
        <v>251</v>
      </c>
      <c r="O19" t="s">
        <v>182</v>
      </c>
      <c r="P19" t="s">
        <v>252</v>
      </c>
      <c r="Q19">
        <v>100</v>
      </c>
      <c r="R19" t="s">
        <v>252</v>
      </c>
      <c r="S19" t="s">
        <v>250</v>
      </c>
      <c r="T19" t="s">
        <v>182</v>
      </c>
    </row>
    <row r="20" spans="1:20" x14ac:dyDescent="0.3">
      <c r="H20" t="s">
        <v>375</v>
      </c>
      <c r="I20" s="62">
        <v>598486.37</v>
      </c>
      <c r="J20" s="68"/>
      <c r="K20" s="68"/>
      <c r="L20" s="68">
        <f>ExportFacturacion[[#This Row],[Unitario]]-ExportFacturacion[[#This Row],[Descuento]]</f>
        <v>0</v>
      </c>
    </row>
    <row r="21" spans="1:20" x14ac:dyDescent="0.3">
      <c r="H21" t="s">
        <v>392</v>
      </c>
      <c r="I21" s="62">
        <v>28147.47</v>
      </c>
      <c r="J21" s="68"/>
      <c r="K21" s="68"/>
      <c r="L21" s="68">
        <f>ExportFacturacion[[#This Row],[Unitario]]-ExportFacturacion[[#This Row],[Descuento]]</f>
        <v>0</v>
      </c>
    </row>
    <row r="22" spans="1:20" x14ac:dyDescent="0.3">
      <c r="H22" t="s">
        <v>392</v>
      </c>
      <c r="I22" s="62">
        <v>28147.47</v>
      </c>
      <c r="J22" s="68"/>
      <c r="K22" s="68"/>
      <c r="L22" s="68">
        <f>ExportFacturacion[[#This Row],[Unitario]]-ExportFacturacion[[#This Row],[Descuento]]</f>
        <v>0</v>
      </c>
    </row>
    <row r="23" spans="1:20" x14ac:dyDescent="0.3">
      <c r="A23" t="s">
        <v>176</v>
      </c>
      <c r="B23">
        <v>402</v>
      </c>
      <c r="C23" t="s">
        <v>177</v>
      </c>
      <c r="D23" t="s">
        <v>253</v>
      </c>
      <c r="E23" t="s">
        <v>129</v>
      </c>
      <c r="H23" t="s">
        <v>379</v>
      </c>
      <c r="I23" s="62">
        <v>220132.92</v>
      </c>
      <c r="J23" s="68">
        <v>1188000</v>
      </c>
      <c r="K23" s="66"/>
      <c r="L23" s="68">
        <f>ExportFacturacion[[#This Row],[Unitario]]-ExportFacturacion[[#This Row],[Descuento]]</f>
        <v>1188000</v>
      </c>
      <c r="M23" t="s">
        <v>211</v>
      </c>
      <c r="N23" t="s">
        <v>212</v>
      </c>
      <c r="O23" t="s">
        <v>182</v>
      </c>
      <c r="P23" t="s">
        <v>213</v>
      </c>
      <c r="Q23">
        <v>100</v>
      </c>
      <c r="R23" t="s">
        <v>213</v>
      </c>
      <c r="S23" t="s">
        <v>211</v>
      </c>
      <c r="T23" t="s">
        <v>182</v>
      </c>
    </row>
    <row r="24" spans="1:20" x14ac:dyDescent="0.3">
      <c r="A24" t="s">
        <v>176</v>
      </c>
      <c r="B24">
        <v>412</v>
      </c>
      <c r="C24" t="s">
        <v>177</v>
      </c>
      <c r="D24" t="s">
        <v>254</v>
      </c>
      <c r="E24" t="s">
        <v>129</v>
      </c>
      <c r="H24" t="s">
        <v>379</v>
      </c>
      <c r="I24" s="62">
        <v>220132.92</v>
      </c>
      <c r="J24" s="68">
        <v>1188000</v>
      </c>
      <c r="K24" s="66"/>
      <c r="L24" s="68">
        <f>ExportFacturacion[[#This Row],[Unitario]]-ExportFacturacion[[#This Row],[Descuento]]</f>
        <v>1188000</v>
      </c>
      <c r="M24" t="s">
        <v>211</v>
      </c>
      <c r="N24" t="s">
        <v>212</v>
      </c>
      <c r="O24" t="s">
        <v>182</v>
      </c>
      <c r="P24" t="s">
        <v>213</v>
      </c>
      <c r="Q24">
        <v>100</v>
      </c>
      <c r="R24" t="s">
        <v>213</v>
      </c>
      <c r="S24" t="s">
        <v>211</v>
      </c>
      <c r="T24" t="s">
        <v>182</v>
      </c>
    </row>
    <row r="25" spans="1:20" x14ac:dyDescent="0.3">
      <c r="A25" t="s">
        <v>176</v>
      </c>
      <c r="B25">
        <v>421</v>
      </c>
      <c r="C25" t="s">
        <v>185</v>
      </c>
      <c r="D25" t="s">
        <v>255</v>
      </c>
      <c r="E25" t="s">
        <v>117</v>
      </c>
      <c r="F25" t="s">
        <v>256</v>
      </c>
      <c r="H25" t="s">
        <v>376</v>
      </c>
      <c r="I25" s="62">
        <v>1114422.8999999999</v>
      </c>
      <c r="J25" s="68">
        <v>6446000</v>
      </c>
      <c r="K25" s="69">
        <f>ExportFacturacion[[#This Row],[Unitario]]*13%</f>
        <v>837980</v>
      </c>
      <c r="L25" s="68">
        <f>ExportFacturacion[[#This Row],[Unitario]]-ExportFacturacion[[#This Row],[Descuento]]</f>
        <v>5608020</v>
      </c>
      <c r="M25" t="s">
        <v>257</v>
      </c>
      <c r="N25" t="s">
        <v>258</v>
      </c>
      <c r="O25" t="s">
        <v>182</v>
      </c>
      <c r="P25" t="s">
        <v>259</v>
      </c>
      <c r="Q25">
        <v>50</v>
      </c>
      <c r="R25" t="s">
        <v>260</v>
      </c>
      <c r="S25" t="s">
        <v>261</v>
      </c>
      <c r="T25" t="s">
        <v>261</v>
      </c>
    </row>
    <row r="26" spans="1:20" x14ac:dyDescent="0.3">
      <c r="H26" t="s">
        <v>379</v>
      </c>
      <c r="I26" s="62">
        <v>220132.92</v>
      </c>
      <c r="J26" s="68">
        <v>1188000</v>
      </c>
      <c r="K26" s="69">
        <f>ExportFacturacion[[#This Row],[Unitario]]*13%</f>
        <v>154440</v>
      </c>
      <c r="L26" s="68">
        <f>ExportFacturacion[[#This Row],[Unitario]]-ExportFacturacion[[#This Row],[Descuento]]</f>
        <v>1033560</v>
      </c>
    </row>
    <row r="27" spans="1:20" x14ac:dyDescent="0.3">
      <c r="A27" t="s">
        <v>176</v>
      </c>
      <c r="B27">
        <v>422</v>
      </c>
      <c r="C27" t="s">
        <v>177</v>
      </c>
      <c r="D27" t="s">
        <v>262</v>
      </c>
      <c r="E27" t="s">
        <v>117</v>
      </c>
      <c r="G27" t="s">
        <v>263</v>
      </c>
      <c r="H27" t="s">
        <v>379</v>
      </c>
      <c r="I27" s="62">
        <v>220132.92</v>
      </c>
      <c r="J27" s="68">
        <v>1188000</v>
      </c>
      <c r="K27" s="66"/>
      <c r="L27" s="68">
        <f>ExportFacturacion[[#This Row],[Unitario]]-ExportFacturacion[[#This Row],[Descuento]]</f>
        <v>1188000</v>
      </c>
      <c r="M27" t="s">
        <v>211</v>
      </c>
      <c r="N27" t="s">
        <v>212</v>
      </c>
      <c r="O27" t="s">
        <v>182</v>
      </c>
      <c r="P27" t="s">
        <v>213</v>
      </c>
      <c r="Q27">
        <v>50</v>
      </c>
      <c r="R27" t="s">
        <v>264</v>
      </c>
      <c r="S27" t="s">
        <v>265</v>
      </c>
      <c r="T27" t="s">
        <v>265</v>
      </c>
    </row>
    <row r="28" spans="1:20" x14ac:dyDescent="0.3">
      <c r="A28" t="s">
        <v>176</v>
      </c>
      <c r="B28">
        <v>436</v>
      </c>
      <c r="C28" t="s">
        <v>177</v>
      </c>
      <c r="D28" t="s">
        <v>266</v>
      </c>
      <c r="E28" t="s">
        <v>117</v>
      </c>
      <c r="G28" t="s">
        <v>267</v>
      </c>
      <c r="H28" t="s">
        <v>375</v>
      </c>
      <c r="I28" s="62">
        <v>598486.37</v>
      </c>
      <c r="J28" s="68">
        <v>3867600</v>
      </c>
      <c r="K28" s="69">
        <f>ExportFacturacion[[#This Row],[Unitario]]*20%</f>
        <v>773520</v>
      </c>
      <c r="L28" s="68">
        <f>ExportFacturacion[[#This Row],[Unitario]]-ExportFacturacion[[#This Row],[Descuento]]</f>
        <v>3094080</v>
      </c>
      <c r="M28" t="s">
        <v>268</v>
      </c>
      <c r="N28" t="s">
        <v>269</v>
      </c>
      <c r="O28" t="s">
        <v>182</v>
      </c>
      <c r="P28" t="s">
        <v>270</v>
      </c>
      <c r="Q28">
        <v>100</v>
      </c>
      <c r="R28" t="s">
        <v>270</v>
      </c>
      <c r="S28" t="s">
        <v>268</v>
      </c>
      <c r="T28" t="s">
        <v>182</v>
      </c>
    </row>
    <row r="29" spans="1:20" x14ac:dyDescent="0.3">
      <c r="A29" t="s">
        <v>176</v>
      </c>
      <c r="B29">
        <v>444</v>
      </c>
      <c r="C29" t="s">
        <v>185</v>
      </c>
      <c r="D29" t="s">
        <v>271</v>
      </c>
      <c r="E29" t="s">
        <v>117</v>
      </c>
      <c r="G29" t="s">
        <v>272</v>
      </c>
      <c r="H29" t="s">
        <v>384</v>
      </c>
      <c r="I29" s="62">
        <v>1120931.67</v>
      </c>
      <c r="J29" s="68">
        <v>4350000</v>
      </c>
      <c r="K29" s="69">
        <f>ExportFacturacion[[#This Row],[Unitario]]*25%</f>
        <v>1087500</v>
      </c>
      <c r="L29" s="68">
        <f>ExportFacturacion[[#This Row],[Unitario]]-ExportFacturacion[[#This Row],[Descuento]]</f>
        <v>3262500</v>
      </c>
      <c r="M29" t="s">
        <v>273</v>
      </c>
      <c r="N29" t="s">
        <v>274</v>
      </c>
      <c r="O29" t="s">
        <v>182</v>
      </c>
      <c r="P29" t="s">
        <v>275</v>
      </c>
      <c r="Q29">
        <v>50</v>
      </c>
      <c r="R29" t="s">
        <v>276</v>
      </c>
      <c r="S29" t="s">
        <v>277</v>
      </c>
      <c r="T29" t="s">
        <v>277</v>
      </c>
    </row>
    <row r="30" spans="1:20" x14ac:dyDescent="0.3">
      <c r="A30" t="s">
        <v>176</v>
      </c>
      <c r="B30">
        <v>446</v>
      </c>
      <c r="C30" t="s">
        <v>177</v>
      </c>
      <c r="D30" t="s">
        <v>278</v>
      </c>
      <c r="E30" t="s">
        <v>129</v>
      </c>
      <c r="G30" t="s">
        <v>279</v>
      </c>
      <c r="H30" t="s">
        <v>380</v>
      </c>
      <c r="I30" s="62">
        <v>16557.34</v>
      </c>
      <c r="J30" s="68">
        <v>75100</v>
      </c>
      <c r="K30" s="66"/>
      <c r="L30" s="68">
        <f>ExportFacturacion[[#This Row],[Unitario]]-ExportFacturacion[[#This Row],[Descuento]]</f>
        <v>75100</v>
      </c>
      <c r="M30" t="s">
        <v>280</v>
      </c>
      <c r="N30" t="s">
        <v>281</v>
      </c>
      <c r="O30" t="s">
        <v>182</v>
      </c>
      <c r="P30" t="s">
        <v>282</v>
      </c>
      <c r="Q30">
        <v>100</v>
      </c>
      <c r="R30" t="s">
        <v>282</v>
      </c>
      <c r="S30" t="s">
        <v>280</v>
      </c>
      <c r="T30" t="s">
        <v>182</v>
      </c>
    </row>
    <row r="31" spans="1:20" x14ac:dyDescent="0.3">
      <c r="H31" t="s">
        <v>392</v>
      </c>
      <c r="I31" s="62">
        <v>28147.47</v>
      </c>
      <c r="J31" s="68">
        <v>80000</v>
      </c>
      <c r="K31" s="66"/>
      <c r="L31" s="68">
        <f>ExportFacturacion[[#This Row],[Unitario]]-ExportFacturacion[[#This Row],[Descuento]]</f>
        <v>80000</v>
      </c>
    </row>
    <row r="32" spans="1:20" x14ac:dyDescent="0.3">
      <c r="H32" t="s">
        <v>385</v>
      </c>
      <c r="J32" s="68">
        <v>101000</v>
      </c>
      <c r="K32" s="66"/>
      <c r="L32" s="68">
        <f>ExportFacturacion[[#This Row],[Unitario]]-ExportFacturacion[[#This Row],[Descuento]]</f>
        <v>101000</v>
      </c>
    </row>
    <row r="33" spans="1:20" x14ac:dyDescent="0.3">
      <c r="A33" t="s">
        <v>176</v>
      </c>
      <c r="B33">
        <v>448</v>
      </c>
      <c r="C33" t="s">
        <v>177</v>
      </c>
      <c r="D33" t="s">
        <v>283</v>
      </c>
      <c r="E33" t="s">
        <v>129</v>
      </c>
      <c r="H33" t="s">
        <v>375</v>
      </c>
      <c r="I33" s="62">
        <v>598486.37</v>
      </c>
      <c r="J33" s="68">
        <v>3867600</v>
      </c>
      <c r="K33" s="66"/>
      <c r="L33" s="68">
        <f>ExportFacturacion[[#This Row],[Unitario]]-ExportFacturacion[[#This Row],[Descuento]]</f>
        <v>3867600</v>
      </c>
      <c r="M33" t="s">
        <v>215</v>
      </c>
      <c r="N33" t="s">
        <v>216</v>
      </c>
      <c r="O33" t="s">
        <v>182</v>
      </c>
      <c r="P33" t="s">
        <v>217</v>
      </c>
      <c r="Q33">
        <v>50</v>
      </c>
      <c r="R33" t="s">
        <v>235</v>
      </c>
      <c r="S33" t="s">
        <v>236</v>
      </c>
      <c r="T33" t="s">
        <v>236</v>
      </c>
    </row>
    <row r="34" spans="1:20" x14ac:dyDescent="0.3">
      <c r="A34" t="s">
        <v>176</v>
      </c>
      <c r="B34">
        <v>449</v>
      </c>
      <c r="C34" t="s">
        <v>177</v>
      </c>
      <c r="D34" t="s">
        <v>284</v>
      </c>
      <c r="E34" t="s">
        <v>129</v>
      </c>
      <c r="G34" t="s">
        <v>285</v>
      </c>
      <c r="H34" t="s">
        <v>386</v>
      </c>
      <c r="J34" s="68">
        <v>9180000</v>
      </c>
      <c r="K34" s="66"/>
      <c r="L34" s="68">
        <f>ExportFacturacion[[#This Row],[Unitario]]-ExportFacturacion[[#This Row],[Descuento]]</f>
        <v>9180000</v>
      </c>
      <c r="M34" t="s">
        <v>286</v>
      </c>
      <c r="N34" t="s">
        <v>287</v>
      </c>
      <c r="O34" t="s">
        <v>182</v>
      </c>
      <c r="P34" t="s">
        <v>288</v>
      </c>
      <c r="Q34">
        <v>50</v>
      </c>
      <c r="R34" t="s">
        <v>289</v>
      </c>
      <c r="S34" t="s">
        <v>290</v>
      </c>
      <c r="T34" t="s">
        <v>290</v>
      </c>
    </row>
    <row r="35" spans="1:20" x14ac:dyDescent="0.3">
      <c r="A35" t="s">
        <v>176</v>
      </c>
      <c r="B35">
        <v>451</v>
      </c>
      <c r="C35" t="s">
        <v>185</v>
      </c>
      <c r="D35" t="s">
        <v>291</v>
      </c>
      <c r="E35" t="s">
        <v>117</v>
      </c>
      <c r="H35" t="s">
        <v>375</v>
      </c>
      <c r="I35" s="62">
        <v>598486.37</v>
      </c>
      <c r="J35" s="68">
        <v>3867600</v>
      </c>
      <c r="K35" s="66"/>
      <c r="L35" s="68">
        <f>ExportFacturacion[[#This Row],[Unitario]]-ExportFacturacion[[#This Row],[Descuento]]</f>
        <v>3867600</v>
      </c>
      <c r="M35" t="s">
        <v>215</v>
      </c>
      <c r="N35" t="s">
        <v>216</v>
      </c>
      <c r="O35" t="s">
        <v>182</v>
      </c>
      <c r="P35" t="s">
        <v>217</v>
      </c>
      <c r="Q35">
        <v>100</v>
      </c>
      <c r="R35" t="s">
        <v>217</v>
      </c>
      <c r="S35" t="s">
        <v>215</v>
      </c>
      <c r="T35" t="s">
        <v>182</v>
      </c>
    </row>
    <row r="36" spans="1:20" x14ac:dyDescent="0.3">
      <c r="A36" t="s">
        <v>176</v>
      </c>
      <c r="B36">
        <v>462</v>
      </c>
      <c r="C36" t="s">
        <v>177</v>
      </c>
      <c r="D36" t="s">
        <v>266</v>
      </c>
      <c r="E36" t="s">
        <v>117</v>
      </c>
      <c r="G36" t="s">
        <v>267</v>
      </c>
      <c r="H36" t="s">
        <v>387</v>
      </c>
      <c r="J36" s="68">
        <v>106000</v>
      </c>
      <c r="K36" s="66"/>
      <c r="L36" s="68">
        <f>ExportFacturacion[[#This Row],[Unitario]]-ExportFacturacion[[#This Row],[Descuento]]</f>
        <v>106000</v>
      </c>
      <c r="M36" t="s">
        <v>292</v>
      </c>
      <c r="N36" t="s">
        <v>182</v>
      </c>
      <c r="O36" t="s">
        <v>293</v>
      </c>
      <c r="P36" t="s">
        <v>294</v>
      </c>
      <c r="Q36">
        <v>100</v>
      </c>
      <c r="R36" t="s">
        <v>294</v>
      </c>
      <c r="S36" t="s">
        <v>292</v>
      </c>
      <c r="T36" t="s">
        <v>182</v>
      </c>
    </row>
    <row r="37" spans="1:20" x14ac:dyDescent="0.3">
      <c r="A37" t="s">
        <v>176</v>
      </c>
      <c r="B37">
        <v>465</v>
      </c>
      <c r="C37" t="s">
        <v>177</v>
      </c>
      <c r="D37" t="s">
        <v>283</v>
      </c>
      <c r="E37" t="s">
        <v>129</v>
      </c>
      <c r="G37" t="s">
        <v>295</v>
      </c>
      <c r="H37" t="s">
        <v>388</v>
      </c>
      <c r="I37" s="62">
        <v>1630897.63</v>
      </c>
      <c r="J37" s="68">
        <v>3949803</v>
      </c>
      <c r="K37" s="69">
        <f>ExportFacturacion[[#This Row],[Unitario]]*10%</f>
        <v>394980.30000000005</v>
      </c>
      <c r="L37" s="68">
        <f>ExportFacturacion[[#This Row],[Unitario]]-ExportFacturacion[[#This Row],[Descuento]]</f>
        <v>3554822.7</v>
      </c>
      <c r="M37" t="s">
        <v>296</v>
      </c>
      <c r="N37" t="s">
        <v>297</v>
      </c>
      <c r="O37" t="s">
        <v>182</v>
      </c>
      <c r="P37" t="s">
        <v>298</v>
      </c>
      <c r="Q37">
        <v>100</v>
      </c>
      <c r="R37" t="s">
        <v>298</v>
      </c>
      <c r="S37" t="s">
        <v>296</v>
      </c>
      <c r="T37" t="s">
        <v>182</v>
      </c>
    </row>
    <row r="38" spans="1:20" x14ac:dyDescent="0.3">
      <c r="A38" t="s">
        <v>176</v>
      </c>
      <c r="B38">
        <v>467</v>
      </c>
      <c r="C38" t="s">
        <v>177</v>
      </c>
      <c r="D38" t="s">
        <v>299</v>
      </c>
      <c r="E38" t="s">
        <v>117</v>
      </c>
      <c r="F38" t="s">
        <v>256</v>
      </c>
      <c r="H38" t="s">
        <v>375</v>
      </c>
      <c r="I38" s="62">
        <v>598486.37</v>
      </c>
      <c r="J38" s="68">
        <v>3867600</v>
      </c>
      <c r="K38" s="69">
        <f>ExportFacturacion[[#This Row],[Unitario]]*5%</f>
        <v>193380</v>
      </c>
      <c r="L38" s="68">
        <f>ExportFacturacion[[#This Row],[Unitario]]-ExportFacturacion[[#This Row],[Descuento]]</f>
        <v>3674220</v>
      </c>
      <c r="M38" t="s">
        <v>239</v>
      </c>
      <c r="N38" t="s">
        <v>240</v>
      </c>
      <c r="O38" t="s">
        <v>182</v>
      </c>
      <c r="P38" t="s">
        <v>241</v>
      </c>
      <c r="Q38">
        <v>50</v>
      </c>
      <c r="R38" t="s">
        <v>242</v>
      </c>
      <c r="S38" t="s">
        <v>243</v>
      </c>
      <c r="T38" t="s">
        <v>243</v>
      </c>
    </row>
    <row r="39" spans="1:20" x14ac:dyDescent="0.3">
      <c r="A39" t="s">
        <v>176</v>
      </c>
      <c r="B39">
        <v>471</v>
      </c>
      <c r="C39" t="s">
        <v>177</v>
      </c>
      <c r="D39" t="s">
        <v>300</v>
      </c>
      <c r="E39" t="s">
        <v>117</v>
      </c>
      <c r="F39" t="s">
        <v>179</v>
      </c>
      <c r="H39" t="s">
        <v>385</v>
      </c>
      <c r="J39" s="68">
        <v>101000</v>
      </c>
      <c r="K39" s="66"/>
      <c r="L39" s="68">
        <f>ExportFacturacion[[#This Row],[Unitario]]-ExportFacturacion[[#This Row],[Descuento]]</f>
        <v>101000</v>
      </c>
      <c r="M39" t="s">
        <v>301</v>
      </c>
      <c r="N39" t="s">
        <v>302</v>
      </c>
      <c r="O39" t="s">
        <v>182</v>
      </c>
      <c r="P39" t="s">
        <v>303</v>
      </c>
      <c r="Q39">
        <v>50</v>
      </c>
      <c r="R39" t="s">
        <v>304</v>
      </c>
      <c r="S39" t="s">
        <v>305</v>
      </c>
      <c r="T39" t="s">
        <v>305</v>
      </c>
    </row>
    <row r="40" spans="1:20" x14ac:dyDescent="0.3">
      <c r="H40" t="s">
        <v>379</v>
      </c>
      <c r="I40" s="62">
        <v>220132.92</v>
      </c>
      <c r="J40" s="68">
        <v>1188000</v>
      </c>
      <c r="K40" s="69">
        <f>ExportFacturacion[[#This Row],[Unitario]]*5%</f>
        <v>59400</v>
      </c>
      <c r="L40" s="68">
        <f>ExportFacturacion[[#This Row],[Unitario]]-ExportFacturacion[[#This Row],[Descuento]]</f>
        <v>1128600</v>
      </c>
    </row>
    <row r="41" spans="1:20" x14ac:dyDescent="0.3">
      <c r="A41" t="s">
        <v>176</v>
      </c>
      <c r="B41">
        <v>477</v>
      </c>
      <c r="C41" t="s">
        <v>177</v>
      </c>
      <c r="D41" t="s">
        <v>306</v>
      </c>
      <c r="E41" t="s">
        <v>117</v>
      </c>
      <c r="H41" t="s">
        <v>389</v>
      </c>
      <c r="I41" s="62">
        <v>210000</v>
      </c>
      <c r="J41" s="68">
        <v>370000</v>
      </c>
      <c r="K41" s="66"/>
      <c r="L41" s="68">
        <f>ExportFacturacion[[#This Row],[Unitario]]-ExportFacturacion[[#This Row],[Descuento]]</f>
        <v>370000</v>
      </c>
      <c r="M41" t="s">
        <v>307</v>
      </c>
      <c r="N41" t="s">
        <v>308</v>
      </c>
      <c r="O41" t="s">
        <v>182</v>
      </c>
      <c r="P41" t="s">
        <v>309</v>
      </c>
      <c r="Q41">
        <v>100</v>
      </c>
      <c r="R41" t="s">
        <v>309</v>
      </c>
      <c r="S41" t="s">
        <v>307</v>
      </c>
      <c r="T41" t="s">
        <v>182</v>
      </c>
    </row>
    <row r="42" spans="1:20" x14ac:dyDescent="0.3">
      <c r="H42" t="s">
        <v>381</v>
      </c>
      <c r="I42" s="62">
        <v>398990.91</v>
      </c>
      <c r="J42" s="68">
        <v>2211000</v>
      </c>
      <c r="K42" s="66"/>
      <c r="L42" s="68">
        <f>ExportFacturacion[[#This Row],[Unitario]]-ExportFacturacion[[#This Row],[Descuento]]</f>
        <v>2211000</v>
      </c>
    </row>
    <row r="43" spans="1:20" x14ac:dyDescent="0.3">
      <c r="A43" t="s">
        <v>176</v>
      </c>
      <c r="B43">
        <v>484</v>
      </c>
      <c r="C43" t="s">
        <v>177</v>
      </c>
      <c r="D43" t="s">
        <v>310</v>
      </c>
      <c r="E43" t="s">
        <v>311</v>
      </c>
      <c r="G43" t="s">
        <v>312</v>
      </c>
      <c r="H43" t="s">
        <v>376</v>
      </c>
      <c r="I43" s="62">
        <v>1114422.8999999999</v>
      </c>
      <c r="J43" s="68">
        <v>6446000</v>
      </c>
      <c r="K43" s="66"/>
      <c r="L43" s="68">
        <f>ExportFacturacion[[#This Row],[Unitario]]-ExportFacturacion[[#This Row],[Descuento]]</f>
        <v>6446000</v>
      </c>
      <c r="M43" t="s">
        <v>206</v>
      </c>
      <c r="N43" t="s">
        <v>207</v>
      </c>
      <c r="O43" t="s">
        <v>182</v>
      </c>
      <c r="P43" t="s">
        <v>208</v>
      </c>
      <c r="Q43">
        <v>50</v>
      </c>
      <c r="R43" t="s">
        <v>313</v>
      </c>
      <c r="S43" t="s">
        <v>314</v>
      </c>
      <c r="T43" t="s">
        <v>314</v>
      </c>
    </row>
    <row r="44" spans="1:20" x14ac:dyDescent="0.3">
      <c r="A44" t="s">
        <v>176</v>
      </c>
      <c r="B44">
        <v>487</v>
      </c>
      <c r="C44" t="s">
        <v>177</v>
      </c>
      <c r="D44" t="s">
        <v>315</v>
      </c>
      <c r="E44" t="s">
        <v>316</v>
      </c>
      <c r="H44" t="s">
        <v>379</v>
      </c>
      <c r="I44" s="62">
        <v>220132.92</v>
      </c>
      <c r="J44" s="68">
        <v>1188000</v>
      </c>
      <c r="K44" s="71">
        <f>ExportFacturacion[[#This Row],[Unitario]]*0.452488%</f>
        <v>5375.5574400000005</v>
      </c>
      <c r="L44" s="68">
        <f>ExportFacturacion[[#This Row],[Unitario]]-ExportFacturacion[[#This Row],[Descuento]]</f>
        <v>1182624.4425600001</v>
      </c>
      <c r="M44" t="s">
        <v>317</v>
      </c>
      <c r="N44" t="s">
        <v>318</v>
      </c>
      <c r="O44" t="s">
        <v>182</v>
      </c>
      <c r="P44" t="s">
        <v>319</v>
      </c>
      <c r="Q44">
        <v>100</v>
      </c>
      <c r="R44" t="s">
        <v>213</v>
      </c>
      <c r="S44" t="s">
        <v>211</v>
      </c>
      <c r="T44" t="s">
        <v>182</v>
      </c>
    </row>
    <row r="45" spans="1:20" x14ac:dyDescent="0.3">
      <c r="A45" t="s">
        <v>176</v>
      </c>
      <c r="B45">
        <v>490</v>
      </c>
      <c r="C45" t="s">
        <v>177</v>
      </c>
      <c r="D45" t="s">
        <v>320</v>
      </c>
      <c r="E45" t="s">
        <v>316</v>
      </c>
      <c r="H45" t="s">
        <v>379</v>
      </c>
      <c r="I45" s="62">
        <v>220132.92</v>
      </c>
      <c r="J45" s="68">
        <v>1188000</v>
      </c>
      <c r="K45" s="71">
        <f>ExportFacturacion[[#This Row],[Unitario]]*0.452488%</f>
        <v>5375.5574400000005</v>
      </c>
      <c r="L45" s="68">
        <f>ExportFacturacion[[#This Row],[Unitario]]-ExportFacturacion[[#This Row],[Descuento]]</f>
        <v>1182624.4425600001</v>
      </c>
      <c r="M45" t="s">
        <v>317</v>
      </c>
      <c r="N45" t="s">
        <v>318</v>
      </c>
      <c r="O45" t="s">
        <v>182</v>
      </c>
      <c r="P45" t="s">
        <v>319</v>
      </c>
      <c r="Q45">
        <v>100</v>
      </c>
      <c r="R45" t="s">
        <v>319</v>
      </c>
      <c r="S45" t="s">
        <v>317</v>
      </c>
      <c r="T45" t="s">
        <v>182</v>
      </c>
    </row>
    <row r="47" spans="1:20" x14ac:dyDescent="0.3">
      <c r="I47" s="76">
        <f>SUM(I2:I46)</f>
        <v>19895234.440000005</v>
      </c>
      <c r="J47" s="77">
        <f>SUM(J2:J46)</f>
        <v>112012903</v>
      </c>
      <c r="K47" s="70">
        <f>SUM(K2:K46)</f>
        <v>4033636.4148800001</v>
      </c>
      <c r="L47" s="72">
        <f>SUM(ExportFacturacion[Precio con descuento])</f>
        <v>107979266.58512001</v>
      </c>
      <c r="N47" s="63">
        <v>107979266.58</v>
      </c>
      <c r="Q47" s="64"/>
      <c r="R47" s="65"/>
      <c r="S47" s="65"/>
    </row>
    <row r="48" spans="1:20" x14ac:dyDescent="0.3">
      <c r="L48" s="7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Sep'25</vt:lpstr>
      <vt:lpstr>Gastos</vt:lpstr>
      <vt:lpstr>Ventas Sep´25</vt:lpstr>
      <vt:lpstr>Ventas Oct 2025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2026-02-20T23:11:12Z</dcterms:modified>
</cp:coreProperties>
</file>