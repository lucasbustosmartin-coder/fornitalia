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6" documentId="8_{6723E6D6-626C-48A2-8C1A-89AA6E730FDD}" xr6:coauthVersionLast="47" xr6:coauthVersionMax="47" xr10:uidLastSave="{E0FF4776-FA9F-4954-9909-7E01631A9136}"/>
  <bookViews>
    <workbookView xWindow="-120" yWindow="-120" windowWidth="20730" windowHeight="11040" tabRatio="599" xr2:uid="{30A6164E-A0D3-4996-9EF3-92045D51F006}"/>
  </bookViews>
  <sheets>
    <sheet name="Feb´25" sheetId="23" r:id="rId1"/>
    <sheet name="Gastos" sheetId="24" r:id="rId2"/>
    <sheet name="Ventas Feb'24" sheetId="18" r:id="rId3"/>
    <sheet name="LISTA CONCEPTOS" sheetId="15" state="hidden" r:id="rId4"/>
  </sheets>
  <definedNames>
    <definedName name="_xlnm._FilterDatabase" localSheetId="1" hidden="1">Gastos!$A$1:$F$1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3" l="1"/>
  <c r="B4" i="23"/>
  <c r="B3" i="23"/>
  <c r="Y21" i="18"/>
  <c r="K21" i="18"/>
  <c r="I21" i="18"/>
  <c r="J21" i="18" s="1"/>
  <c r="B21" i="23"/>
  <c r="B15" i="23"/>
  <c r="C181" i="24"/>
  <c r="B22" i="23" s="1"/>
  <c r="B181" i="24"/>
  <c r="C170" i="24"/>
  <c r="B17" i="23" s="1"/>
  <c r="B170" i="24"/>
  <c r="C168" i="24"/>
  <c r="B168" i="24"/>
  <c r="C141" i="24"/>
  <c r="B16" i="23" s="1"/>
  <c r="B141" i="24"/>
  <c r="C186" i="24"/>
  <c r="B186" i="24"/>
  <c r="C22" i="24"/>
  <c r="B22" i="24"/>
  <c r="C20" i="24"/>
  <c r="B14" i="23" s="1"/>
  <c r="B20" i="24"/>
  <c r="C13" i="24"/>
  <c r="B13" i="23" s="1"/>
  <c r="B13" i="24"/>
  <c r="C10" i="24"/>
  <c r="B11" i="23" s="1"/>
  <c r="B10" i="24"/>
  <c r="B10" i="23" l="1"/>
  <c r="B5" i="23"/>
  <c r="C4" i="23"/>
  <c r="C16" i="23" l="1"/>
  <c r="C18" i="23"/>
  <c r="C17" i="23"/>
  <c r="C10" i="23"/>
  <c r="C21" i="23"/>
  <c r="C11" i="23"/>
  <c r="C12" i="23"/>
  <c r="B7" i="23"/>
  <c r="C7" i="23" s="1"/>
  <c r="C15" i="23"/>
  <c r="C14" i="23" l="1"/>
  <c r="C13" i="23" l="1"/>
  <c r="B20" i="23" l="1"/>
  <c r="C20" i="23" s="1"/>
  <c r="B24" i="23" l="1"/>
  <c r="B26" i="23"/>
  <c r="C26" i="23" s="1"/>
  <c r="C22" i="23"/>
</calcChain>
</file>

<file path=xl/sharedStrings.xml><?xml version="1.0" encoding="utf-8"?>
<sst xmlns="http://schemas.openxmlformats.org/spreadsheetml/2006/main" count="809" uniqueCount="320">
  <si>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</si>
  <si>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</si>
  <si>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</si>
  <si>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</si>
  <si>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</si>
  <si>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</si>
  <si>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</si>
  <si>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</si>
  <si>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</si>
  <si>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</si>
  <si>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</si>
  <si>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</si>
  <si>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</si>
  <si>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</si>
  <si>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</si>
  <si>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</si>
  <si>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</si>
  <si>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</si>
  <si>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</si>
  <si>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</si>
  <si>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</si>
  <si>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</si>
  <si>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</si>
  <si>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</si>
  <si>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</si>
  <si>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</si>
  <si>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</si>
  <si>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</si>
  <si>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</si>
  <si>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</si>
  <si>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</si>
  <si>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</si>
  <si>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</si>
  <si>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</si>
  <si>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</si>
  <si>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</si>
  <si>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</si>
  <si>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</si>
  <si>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</si>
  <si>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</si>
  <si>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</si>
  <si>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</si>
  <si>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</si>
  <si>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</si>
  <si>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</si>
  <si>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</si>
  <si>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</si>
  <si>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</si>
  <si>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</si>
  <si>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</si>
  <si>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</si>
  <si>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</si>
  <si>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</si>
  <si>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</si>
  <si>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</si>
  <si>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</si>
  <si>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</si>
  <si>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</si>
  <si>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</si>
  <si>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</si>
  <si>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</si>
  <si>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</si>
  <si>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</si>
  <si>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</si>
  <si>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</si>
  <si>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</si>
  <si>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</si>
  <si>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</si>
  <si>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</si>
  <si>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</si>
  <si>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</si>
  <si>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</si>
  <si>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</si>
  <si>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</si>
  <si>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</si>
  <si>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</si>
  <si>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</si>
  <si>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</si>
  <si>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</si>
  <si>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</si>
  <si>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</si>
  <si>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</si>
  <si>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</si>
  <si>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</si>
  <si>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</si>
  <si>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</si>
  <si>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</si>
  <si>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</si>
  <si>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</si>
  <si>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</si>
  <si>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</si>
  <si>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</si>
  <si>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</si>
  <si>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</si>
  <si>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</si>
  <si>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</si>
  <si>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</si>
  <si>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</si>
  <si>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</si>
  <si>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</si>
  <si>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</si>
  <si>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</si>
  <si>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</si>
  <si>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</si>
  <si>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</si>
  <si>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</si>
  <si>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</si>
  <si>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</si>
  <si>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</si>
  <si>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</si>
  <si>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</si>
  <si>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</si>
  <si>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</si>
  <si>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</si>
  <si>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</si>
  <si>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</si>
  <si>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</si>
  <si>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</si>
  <si>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FN2 PRO</t>
  </si>
  <si>
    <t>Cynthia</t>
  </si>
  <si>
    <t>IVA</t>
  </si>
  <si>
    <t>Impuesto Ley 25.413</t>
  </si>
  <si>
    <t>Comisión Mantenimiento de Cuenta</t>
  </si>
  <si>
    <t>Percepción IVA</t>
  </si>
  <si>
    <t>Ingresos Brutos</t>
  </si>
  <si>
    <t>Local</t>
  </si>
  <si>
    <t>Sueldos</t>
  </si>
  <si>
    <t>Impuestos</t>
  </si>
  <si>
    <t>Ley 25.413</t>
  </si>
  <si>
    <t>Sircreb</t>
  </si>
  <si>
    <t>Teléfonos</t>
  </si>
  <si>
    <t>Alquiler</t>
  </si>
  <si>
    <t>Faecys</t>
  </si>
  <si>
    <t>Sicore</t>
  </si>
  <si>
    <t>Inacap</t>
  </si>
  <si>
    <t>Internet</t>
  </si>
  <si>
    <t>Honorarios Contables</t>
  </si>
  <si>
    <t>IIBB</t>
  </si>
  <si>
    <t>Nº Serie</t>
  </si>
  <si>
    <t>N° Despacho</t>
  </si>
  <si>
    <t>#</t>
  </si>
  <si>
    <t>Tipo de IVA</t>
  </si>
  <si>
    <t>MONTO TOTAL</t>
  </si>
  <si>
    <t>CUIT</t>
  </si>
  <si>
    <t>Forma de Pago</t>
  </si>
  <si>
    <t>Costo Contable</t>
  </si>
  <si>
    <t>Lelia</t>
  </si>
  <si>
    <t>24 001 | C04 196596 G</t>
  </si>
  <si>
    <t>PALA</t>
  </si>
  <si>
    <t>N/A</t>
  </si>
  <si>
    <t>PRO GAS 90</t>
  </si>
  <si>
    <t>PRO GAS 106</t>
  </si>
  <si>
    <t>24 001 IC04 0985888 X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</si>
  <si>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</si>
  <si>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</si>
  <si>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</si>
  <si>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</si>
  <si>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</si>
  <si>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</si>
  <si>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</si>
  <si>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Rubro</t>
  </si>
  <si>
    <t>Extraordinarios</t>
  </si>
  <si>
    <t>FLETES</t>
  </si>
  <si>
    <t>Comisiones Bancarias</t>
  </si>
  <si>
    <t>Reposición Caja Chica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</si>
  <si>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</si>
  <si>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</si>
  <si>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</si>
  <si>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</si>
  <si>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</si>
  <si>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</si>
  <si>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</si>
  <si>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</si>
  <si>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Regimen Sircreb</t>
  </si>
  <si>
    <t>Matafuegos</t>
  </si>
  <si>
    <t>Pago | Sueldo | Lelia Bertoni | Ene'25</t>
  </si>
  <si>
    <t>Pago | Sueldo | Cynthia Fernández | Ene'25</t>
  </si>
  <si>
    <t>Categoría</t>
  </si>
  <si>
    <t>SubCategoría</t>
  </si>
  <si>
    <t>PUESTA EN MARCHA</t>
  </si>
  <si>
    <t>Operador</t>
  </si>
  <si>
    <t>Cliente</t>
  </si>
  <si>
    <t>Producto</t>
  </si>
  <si>
    <t>Valor Unitario</t>
  </si>
  <si>
    <t>Valor Total</t>
  </si>
  <si>
    <t>Dto.</t>
  </si>
  <si>
    <t>VALOR COTIZADO</t>
  </si>
  <si>
    <t>Facturado</t>
  </si>
  <si>
    <t>Monto con IVA</t>
  </si>
  <si>
    <t>Galicia Más</t>
  </si>
  <si>
    <t>Mercado Pago</t>
  </si>
  <si>
    <t>Efectivo SmartChain</t>
  </si>
  <si>
    <t>TOTAL PAGADO</t>
  </si>
  <si>
    <t>Pendiente</t>
  </si>
  <si>
    <t>Factura</t>
  </si>
  <si>
    <t>Fc B 0012</t>
  </si>
  <si>
    <t>Galicia</t>
  </si>
  <si>
    <t>Efectivo</t>
  </si>
  <si>
    <t>TIPO DE CAMBIO</t>
  </si>
  <si>
    <t>%</t>
  </si>
  <si>
    <t xml:space="preserve">INVERSIONES </t>
  </si>
  <si>
    <t>Pago | Telecom Internet | Débito Automático | Fc 4264-04888872</t>
  </si>
  <si>
    <t>Pago | Prosegur Alarmas | Débito Automático | Fc 0012-01804019</t>
  </si>
  <si>
    <t>Alarma</t>
  </si>
  <si>
    <t>Pago | Ganancias | Sicore | F744 | 01 2025</t>
  </si>
  <si>
    <t>Pago | RACCA DIANA ANDREA | Flete | Fc 00003-00000423/424</t>
  </si>
  <si>
    <t>Flete</t>
  </si>
  <si>
    <t>Pago | Cargas Sociales | F931 | 01 2025</t>
  </si>
  <si>
    <t>Cargas Sociales F931</t>
  </si>
  <si>
    <t>Pago | Cargas Sociales | INACAP| 01 2025</t>
  </si>
  <si>
    <t>Pago | ANTONIO FRANCISCO CELIO | Manómetro | Fc 0005-00034623</t>
  </si>
  <si>
    <t>Manómetro</t>
  </si>
  <si>
    <t>Pago | ANTONIO FRANCISCO CELIO | Manómetros | Fc 0005-00034625</t>
  </si>
  <si>
    <t>Pago | Sueldo | Diego Argiró | Ene'25</t>
  </si>
  <si>
    <t>Pago | Cargas Sociales | FAECYS | 01 2025</t>
  </si>
  <si>
    <t>Comisiones Bancarias | Transferencia Internet</t>
  </si>
  <si>
    <t>Pago | Verónica Rigante | Honorarios Contables | Fc 00002-00000882</t>
  </si>
  <si>
    <t>Pago | Fuertes Viviana | Alquiler Feb´25 | Fc 00002-00000228</t>
  </si>
  <si>
    <t>Pago | Soluciones Online | Xubio | Fc 00002-00406799 | Débito Automático</t>
  </si>
  <si>
    <t>Sistema Gestión Xubio</t>
  </si>
  <si>
    <t>Pago | Francisco Ricardo José | Regulador | Fc 00002_00001033</t>
  </si>
  <si>
    <t>Regulador</t>
  </si>
  <si>
    <t>Polipel Embalajes | Fc 00002-00027864</t>
  </si>
  <si>
    <t>Insumos Embaleje</t>
  </si>
  <si>
    <t>Pago | Telecom Teléfonos | Fc 6364-08863755 | Débito Automático</t>
  </si>
  <si>
    <t>Pago | ARCA | Intereses por pago fuera de término</t>
  </si>
  <si>
    <t>Intereses ARCA</t>
  </si>
  <si>
    <t>Pago | Cargas Sociales | SEC | 01 2025</t>
  </si>
  <si>
    <t>Pago | GABRIEL HECTOR COGGIOLA | Matafuegos Maillo | Fc 00002-00003531</t>
  </si>
  <si>
    <t>Pago | FRANCISCO RICARDO JOSE | Regulador | Fc 00002-00001034</t>
  </si>
  <si>
    <t>Comsiones Exterior</t>
  </si>
  <si>
    <t>Exterior</t>
  </si>
  <si>
    <t>Pago | ITALMEX MEXICO | Fc GD24ITA002 GD24ITA001 | USD 30.000.-</t>
  </si>
  <si>
    <t>Importaciones</t>
  </si>
  <si>
    <t>Mercadería</t>
  </si>
  <si>
    <t>Comisión Op Intersucursal</t>
  </si>
  <si>
    <t>Pago | Sueldo | Lelia Bertoni | Feb'25</t>
  </si>
  <si>
    <t>Pago | Sueldo | Cynthia Fernández | Feb'25</t>
  </si>
  <si>
    <t>Pago | Sueldo | Diego Argiró | Feb'25</t>
  </si>
  <si>
    <t>Pago | AGIP ABL | May´24</t>
  </si>
  <si>
    <t>ABL</t>
  </si>
  <si>
    <t>Pago | AGIP ABL | Jun´24</t>
  </si>
  <si>
    <t>Pago | AGIP ABL | Jul´24</t>
  </si>
  <si>
    <t>Pago | AGIP ABL | Feb'25</t>
  </si>
  <si>
    <t>Pago | AGIP ABL | Ene'25</t>
  </si>
  <si>
    <t>Pago | AGIP ABL | Ago´24</t>
  </si>
  <si>
    <t>Pago | AGIP ABL | Dic´24</t>
  </si>
  <si>
    <t>Pago | AGIP ABL | Oct´24</t>
  </si>
  <si>
    <t>Pago | AGIP ABL | Sep´24</t>
  </si>
  <si>
    <t>Pago | Edenor | Feb'25</t>
  </si>
  <si>
    <t>Pago | Viviana Fuertes | Ajuste Alquiler Feb´25 | Fc Fc 00002-00000230</t>
  </si>
  <si>
    <t>Pinturerías Minuto SRL | Rto. 00073-00000456</t>
  </si>
  <si>
    <t>Pintura</t>
  </si>
  <si>
    <t>Pinturerías Minuto SRL | Rto. 00073-00000459</t>
  </si>
  <si>
    <t>Pinturerías Minuto SRL | Rto. 00073-00000484</t>
  </si>
  <si>
    <t>Raffo Federico César | Fc 00002-00001192 | Cutter, Veneno, etc</t>
  </si>
  <si>
    <t>Comisiones Lelia | Ene´24</t>
  </si>
  <si>
    <t>Comisones Ventas</t>
  </si>
  <si>
    <t>Comisiones Cynthia | Ene´24</t>
  </si>
  <si>
    <t>Regulador de gas</t>
  </si>
  <si>
    <t>Caja Chica</t>
  </si>
  <si>
    <t>Ridigas | Manguitos de 3/4 | Fc 0004-00012431</t>
  </si>
  <si>
    <t>Kansas | Cena</t>
  </si>
  <si>
    <t>Marketing</t>
  </si>
  <si>
    <t>Carpineria local | Puerta nueva</t>
  </si>
  <si>
    <t>Puerta Nueva</t>
  </si>
  <si>
    <t>Sueldo Cynthia | Feb´25</t>
  </si>
  <si>
    <t>Sueldo Lelia| Feb´25</t>
  </si>
  <si>
    <t>Sueldo Carolina | Feb´25</t>
  </si>
  <si>
    <t>Viviana | Ajuste alquiler Feb´25 + Seguro Nov y Dic'24</t>
  </si>
  <si>
    <t>Manguitos</t>
  </si>
  <si>
    <t>Gastos de Representación</t>
  </si>
  <si>
    <t>Materiales</t>
  </si>
  <si>
    <t>Imputar en Marzo</t>
  </si>
  <si>
    <t>MARKETING</t>
  </si>
  <si>
    <t>CLAUDIO SOSA</t>
  </si>
  <si>
    <t>PRO ELECTRICO 90</t>
  </si>
  <si>
    <t>Fc A 0003</t>
  </si>
  <si>
    <t>20-43915686-5</t>
  </si>
  <si>
    <t>Efectivo | Galicia</t>
  </si>
  <si>
    <t>PABLO FUENTES</t>
  </si>
  <si>
    <t>PIEDRA 40x40</t>
  </si>
  <si>
    <t>Fc A 0004</t>
  </si>
  <si>
    <t>20-28607832-0</t>
  </si>
  <si>
    <t>HERNAN LANDERECHE</t>
  </si>
  <si>
    <t>Fc A 0002</t>
  </si>
  <si>
    <t>RODRIGO VILLAMONTE</t>
  </si>
  <si>
    <t>24146003 | 24146004</t>
  </si>
  <si>
    <t>Fc B 0004 | 0014</t>
  </si>
  <si>
    <t>20-31702968-4</t>
  </si>
  <si>
    <t>ALEJANDRO JIMENEZ</t>
  </si>
  <si>
    <t>PRO GAS 601</t>
  </si>
  <si>
    <t>Fc A 0007</t>
  </si>
  <si>
    <t>VALENTINA SALVATIERRA</t>
  </si>
  <si>
    <t>Fc B 0007</t>
  </si>
  <si>
    <t>27-37726560-8</t>
  </si>
  <si>
    <t>Galicia | Smartchain</t>
  </si>
  <si>
    <t>MARCELO CURI</t>
  </si>
  <si>
    <t>Fc A 0012</t>
  </si>
  <si>
    <t>Visa | 3 Cuotas</t>
  </si>
  <si>
    <t>MARIA VICTORIA COTUGNO | LUCERO,GUSTAVO SERGIO</t>
  </si>
  <si>
    <t>Fc A 0017</t>
  </si>
  <si>
    <t>FEDERICO RUSSO</t>
  </si>
  <si>
    <t>ES240380320009</t>
  </si>
  <si>
    <t>Fc B 0017 | Anticipo Fc A 0001 | Saldo</t>
  </si>
  <si>
    <t>20247843842 27045624779</t>
  </si>
  <si>
    <t>LEONARDO NICOLORICHE</t>
  </si>
  <si>
    <t>Fc B 0002</t>
  </si>
  <si>
    <t>Fc B 0005</t>
  </si>
  <si>
    <t>JUAN CARLOS BENITEZ</t>
  </si>
  <si>
    <t>Fc B 0003</t>
  </si>
  <si>
    <t>Fc B 0010</t>
  </si>
  <si>
    <t>Manguito</t>
  </si>
  <si>
    <t>LEONARDO MONTERO</t>
  </si>
  <si>
    <t>FN1</t>
  </si>
  <si>
    <t xml:space="preserve">20-27565674-8
</t>
  </si>
  <si>
    <t>HERNAN SALINAS</t>
  </si>
  <si>
    <t>Fc A 0013</t>
  </si>
  <si>
    <t>Comisión Javier | Ene´25</t>
  </si>
  <si>
    <t>No se abonaron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</si>
</sst>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\ #,##0.00;[Red]\-&quot;$&quot;\ #,##0.00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i/>
      <u/>
      <sz val="10"/>
      <color theme="1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9" fillId="0" borderId="5" xfId="0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8" fontId="1" fillId="6" borderId="0" xfId="1" applyNumberFormat="1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9" fillId="0" borderId="0" xfId="0" applyFont="1"/>
    <xf numFmtId="0" fontId="8" fillId="0" borderId="0" xfId="0" applyFont="1"/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43" fontId="1" fillId="0" borderId="2" xfId="1" applyFont="1" applyBorder="1" applyAlignment="1">
      <alignment vertical="center"/>
    </xf>
    <xf numFmtId="0" fontId="14" fillId="8" borderId="0" xfId="0" applyFont="1" applyFill="1" applyAlignment="1">
      <alignment horizontal="center" vertical="center"/>
    </xf>
    <xf numFmtId="17" fontId="14" fillId="8" borderId="0" xfId="1" applyNumberFormat="1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14" fontId="9" fillId="0" borderId="0" xfId="0" applyNumberFormat="1" applyFont="1"/>
    <xf numFmtId="8" fontId="9" fillId="0" borderId="0" xfId="0" applyNumberFormat="1" applyFont="1"/>
    <xf numFmtId="4" fontId="9" fillId="0" borderId="0" xfId="0" applyNumberFormat="1" applyFont="1"/>
    <xf numFmtId="15" fontId="9" fillId="0" borderId="0" xfId="0" applyNumberFormat="1" applyFont="1"/>
    <xf numFmtId="0" fontId="15" fillId="0" borderId="0" xfId="0" applyFont="1"/>
    <xf numFmtId="14" fontId="9" fillId="0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>
      <alignment wrapText="1"/>
    </xf>
    <xf numFmtId="8" fontId="9" fillId="0" borderId="0" xfId="0" applyNumberFormat="1" applyFont="1" applyFill="1" applyAlignment="1">
      <alignment horizontal="right" vertical="center" wrapText="1"/>
    </xf>
    <xf numFmtId="0" fontId="9" fillId="0" borderId="0" xfId="0" applyFont="1" applyFill="1" applyAlignment="1">
      <alignment vertical="center" wrapText="1"/>
    </xf>
    <xf numFmtId="4" fontId="9" fillId="0" borderId="5" xfId="0" applyNumberFormat="1" applyFont="1" applyBorder="1" applyAlignment="1">
      <alignment horizontal="right" vertical="center" wrapText="1"/>
    </xf>
    <xf numFmtId="0" fontId="9" fillId="0" borderId="7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right" vertical="center" wrapText="1"/>
    </xf>
    <xf numFmtId="10" fontId="9" fillId="0" borderId="8" xfId="0" applyNumberFormat="1" applyFont="1" applyBorder="1" applyAlignment="1">
      <alignment horizontal="right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5" fontId="9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4" fontId="9" fillId="0" borderId="6" xfId="0" applyNumberFormat="1" applyFont="1" applyBorder="1" applyAlignment="1">
      <alignment horizontal="right" vertical="center" wrapText="1"/>
    </xf>
    <xf numFmtId="9" fontId="9" fillId="0" borderId="6" xfId="0" applyNumberFormat="1" applyFont="1" applyBorder="1" applyAlignment="1">
      <alignment horizontal="center" vertical="center" wrapText="1"/>
    </xf>
    <xf numFmtId="15" fontId="9" fillId="0" borderId="6" xfId="0" applyNumberFormat="1" applyFont="1" applyBorder="1" applyAlignment="1">
      <alignment horizontal="center" vertical="center" wrapText="1"/>
    </xf>
    <xf numFmtId="14" fontId="9" fillId="0" borderId="6" xfId="0" applyNumberFormat="1" applyFont="1" applyBorder="1" applyAlignment="1">
      <alignment horizontal="center" vertical="center" wrapText="1"/>
    </xf>
    <xf numFmtId="0" fontId="9" fillId="5" borderId="6" xfId="0" applyFont="1" applyFill="1" applyBorder="1" applyAlignment="1">
      <alignment vertical="center" wrapText="1"/>
    </xf>
    <xf numFmtId="4" fontId="8" fillId="5" borderId="6" xfId="0" applyNumberFormat="1" applyFont="1" applyFill="1" applyBorder="1" applyAlignment="1">
      <alignment horizontal="right" vertical="center" wrapText="1"/>
    </xf>
    <xf numFmtId="0" fontId="8" fillId="5" borderId="6" xfId="0" applyFont="1" applyFill="1" applyBorder="1" applyAlignment="1">
      <alignment horizontal="right" vertical="center" wrapText="1"/>
    </xf>
    <xf numFmtId="3" fontId="8" fillId="5" borderId="6" xfId="0" applyNumberFormat="1" applyFont="1" applyFill="1" applyBorder="1" applyAlignment="1">
      <alignment horizontal="right" vertical="center" wrapText="1"/>
    </xf>
    <xf numFmtId="4" fontId="9" fillId="5" borderId="6" xfId="0" applyNumberFormat="1" applyFont="1" applyFill="1" applyBorder="1" applyAlignment="1">
      <alignment vertical="center" wrapText="1"/>
    </xf>
    <xf numFmtId="4" fontId="9" fillId="0" borderId="6" xfId="0" applyNumberFormat="1" applyFont="1" applyFill="1" applyBorder="1" applyAlignment="1">
      <alignment horizontal="right" vertical="center" wrapText="1"/>
    </xf>
    <xf numFmtId="10" fontId="9" fillId="0" borderId="6" xfId="0" applyNumberFormat="1" applyFont="1" applyFill="1" applyBorder="1" applyAlignment="1">
      <alignment horizontal="center" vertical="center" wrapText="1"/>
    </xf>
    <xf numFmtId="3" fontId="9" fillId="0" borderId="6" xfId="0" applyNumberFormat="1" applyFont="1" applyFill="1" applyBorder="1" applyAlignment="1">
      <alignment horizontal="right" vertical="center" wrapText="1"/>
    </xf>
    <xf numFmtId="0" fontId="9" fillId="0" borderId="6" xfId="0" applyFont="1" applyFill="1" applyBorder="1" applyAlignment="1">
      <alignment vertical="center" wrapText="1"/>
    </xf>
    <xf numFmtId="4" fontId="9" fillId="0" borderId="6" xfId="0" applyNumberFormat="1" applyFont="1" applyFill="1" applyBorder="1" applyAlignment="1">
      <alignment horizontal="right" vertical="center" wrapText="1"/>
    </xf>
    <xf numFmtId="0" fontId="9" fillId="0" borderId="6" xfId="0" applyFont="1" applyFill="1" applyBorder="1" applyAlignment="1">
      <alignment horizontal="right" vertical="center" wrapText="1"/>
    </xf>
    <xf numFmtId="0" fontId="9" fillId="0" borderId="6" xfId="0" applyFont="1" applyFill="1" applyBorder="1" applyAlignment="1">
      <alignment horizontal="center" vertical="center" wrapText="1"/>
    </xf>
    <xf numFmtId="3" fontId="9" fillId="0" borderId="6" xfId="0" applyNumberFormat="1" applyFont="1" applyFill="1" applyBorder="1" applyAlignment="1">
      <alignment horizontal="right" vertical="center" wrapText="1"/>
    </xf>
    <xf numFmtId="0" fontId="9" fillId="0" borderId="6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horizontal="right" vertical="center" wrapText="1"/>
    </xf>
    <xf numFmtId="0" fontId="9" fillId="0" borderId="6" xfId="0" applyFont="1" applyFill="1" applyBorder="1" applyAlignment="1">
      <alignment horizontal="center" vertical="center" wrapText="1"/>
    </xf>
    <xf numFmtId="10" fontId="9" fillId="0" borderId="6" xfId="0" applyNumberFormat="1" applyFont="1" applyFill="1" applyBorder="1" applyAlignment="1">
      <alignment horizontal="center" vertical="center" wrapText="1"/>
    </xf>
    <xf numFmtId="8" fontId="9" fillId="0" borderId="6" xfId="0" applyNumberFormat="1" applyFont="1" applyFill="1" applyBorder="1" applyAlignment="1">
      <alignment horizontal="right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14" fontId="16" fillId="9" borderId="0" xfId="0" applyNumberFormat="1" applyFont="1" applyFill="1"/>
    <xf numFmtId="0" fontId="16" fillId="9" borderId="0" xfId="0" applyFont="1" applyFill="1"/>
    <xf numFmtId="8" fontId="16" fillId="9" borderId="0" xfId="0" applyNumberFormat="1" applyFont="1" applyFill="1"/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tabSelected="1" zoomScaleNormal="100" workbookViewId="0">
      <selection activeCell="B12" sqref="B12"/>
    </sheetView>
  </sheetViews>
  <sheetFormatPr baseColWidth="10" defaultRowHeight="15" x14ac:dyDescent="0.25"/>
  <cols>
    <col min="1" max="1" width="66.7109375" style="14" customWidth="1"/>
    <col min="2" max="2" width="14.140625" style="16" bestFit="1" customWidth="1"/>
    <col min="3" max="3" width="11.42578125" style="15"/>
    <col min="4" max="4" width="14.28515625" style="13" bestFit="1" customWidth="1"/>
    <col min="5" max="16384" width="11.42578125" style="14"/>
  </cols>
  <sheetData>
    <row r="1" spans="1:5" ht="66.75" customHeight="1" x14ac:dyDescent="0.25">
      <c r="A1" s="2" t="s">
        <v>170</v>
      </c>
      <c r="B1" s="11"/>
      <c r="C1" s="2"/>
    </row>
    <row r="2" spans="1:5" ht="20.25" x14ac:dyDescent="0.25">
      <c r="A2" s="42" t="s">
        <v>24</v>
      </c>
      <c r="B2" s="43">
        <v>45689</v>
      </c>
      <c r="C2" s="44" t="s">
        <v>199</v>
      </c>
    </row>
    <row r="3" spans="1:5" x14ac:dyDescent="0.25">
      <c r="A3" s="14" t="s">
        <v>25</v>
      </c>
      <c r="B3" s="16">
        <f>+'Ventas Feb''24'!I21</f>
        <v>40965925.620000005</v>
      </c>
      <c r="C3" s="17">
        <v>1</v>
      </c>
    </row>
    <row r="4" spans="1:5" x14ac:dyDescent="0.25">
      <c r="A4" s="14" t="s">
        <v>165</v>
      </c>
      <c r="B4" s="41">
        <f>+'Ventas Feb''24'!J21</f>
        <v>1103000</v>
      </c>
      <c r="C4" s="19">
        <f>(B4*C3)/B3</f>
        <v>2.6924815765947286E-2</v>
      </c>
    </row>
    <row r="5" spans="1:5" x14ac:dyDescent="0.25">
      <c r="A5" s="20" t="s">
        <v>26</v>
      </c>
      <c r="B5" s="18">
        <f>B3-B4</f>
        <v>39862925.620000005</v>
      </c>
      <c r="C5" s="17">
        <v>1</v>
      </c>
    </row>
    <row r="6" spans="1:5" x14ac:dyDescent="0.25">
      <c r="A6" s="21" t="s">
        <v>27</v>
      </c>
      <c r="B6" s="16">
        <f>+'Ventas Feb''24'!Y21</f>
        <v>9814343.6099999994</v>
      </c>
      <c r="C6" s="19">
        <v>0.33</v>
      </c>
    </row>
    <row r="7" spans="1:5" x14ac:dyDescent="0.25">
      <c r="A7" s="21" t="s">
        <v>28</v>
      </c>
      <c r="B7" s="18">
        <f>B5-B6</f>
        <v>30048582.010000005</v>
      </c>
      <c r="C7" s="19">
        <f>(B7*C5)/B5</f>
        <v>0.75379770909047494</v>
      </c>
    </row>
    <row r="10" spans="1:5" s="27" customFormat="1" x14ac:dyDescent="0.25">
      <c r="A10" s="22" t="s">
        <v>167</v>
      </c>
      <c r="B10" s="36">
        <f>SUM(B11:B18)</f>
        <v>4754899.8899999997</v>
      </c>
      <c r="C10" s="24">
        <f>(B10*$C$5)/$B$5</f>
        <v>0.11928125735995589</v>
      </c>
      <c r="D10" s="25"/>
      <c r="E10" s="26"/>
    </row>
    <row r="11" spans="1:5" x14ac:dyDescent="0.25">
      <c r="A11" s="28" t="s">
        <v>17</v>
      </c>
      <c r="B11" s="29">
        <f>+Gastos!C10</f>
        <v>263805.01</v>
      </c>
      <c r="C11" s="19">
        <f>(B11*$C$5)/$B$5</f>
        <v>6.6178035329058716E-3</v>
      </c>
    </row>
    <row r="12" spans="1:5" x14ac:dyDescent="0.25">
      <c r="A12" s="28" t="s">
        <v>166</v>
      </c>
      <c r="B12" s="29">
        <v>1046123</v>
      </c>
      <c r="C12" s="19">
        <f>(B12*$C$5)/$B$5</f>
        <v>2.624300609474433E-2</v>
      </c>
    </row>
    <row r="13" spans="1:5" x14ac:dyDescent="0.25">
      <c r="A13" s="28" t="s">
        <v>157</v>
      </c>
      <c r="B13" s="29">
        <f>+Gastos!C13</f>
        <v>1413000</v>
      </c>
      <c r="C13" s="19">
        <f t="shared" ref="C13:C18" si="0">(B13*$C$5)/$B$5</f>
        <v>3.544647007271013E-2</v>
      </c>
    </row>
    <row r="14" spans="1:5" x14ac:dyDescent="0.25">
      <c r="A14" s="28" t="s">
        <v>156</v>
      </c>
      <c r="B14" s="29">
        <f>+Gastos!C20</f>
        <v>1142076.9300000002</v>
      </c>
      <c r="C14" s="19">
        <f>(B14*$C$5)/$B$5</f>
        <v>2.8650103128080442E-2</v>
      </c>
    </row>
    <row r="15" spans="1:5" x14ac:dyDescent="0.25">
      <c r="A15" s="28" t="s">
        <v>162</v>
      </c>
      <c r="B15" s="29">
        <f>+Gastos!C22</f>
        <v>170000</v>
      </c>
      <c r="C15" s="19">
        <f t="shared" si="0"/>
        <v>4.2646142338009351E-3</v>
      </c>
    </row>
    <row r="16" spans="1:5" x14ac:dyDescent="0.25">
      <c r="A16" s="28" t="s">
        <v>155</v>
      </c>
      <c r="B16" s="29">
        <f>+Gastos!C141</f>
        <v>566175.94000000006</v>
      </c>
      <c r="C16" s="19">
        <f t="shared" si="0"/>
        <v>1.4203070426821321E-2</v>
      </c>
    </row>
    <row r="17" spans="1:3" x14ac:dyDescent="0.25">
      <c r="A17" s="28" t="s">
        <v>274</v>
      </c>
      <c r="B17" s="29">
        <f>+Gastos!C170</f>
        <v>153719.01</v>
      </c>
      <c r="C17" s="19">
        <f t="shared" si="0"/>
        <v>3.8561898708928729E-3</v>
      </c>
    </row>
    <row r="18" spans="1:3" x14ac:dyDescent="0.25">
      <c r="A18" s="28" t="s">
        <v>179</v>
      </c>
      <c r="B18" s="29">
        <v>0</v>
      </c>
      <c r="C18" s="19">
        <f t="shared" si="0"/>
        <v>0</v>
      </c>
    </row>
    <row r="20" spans="1:3" x14ac:dyDescent="0.25">
      <c r="A20" s="22" t="s">
        <v>168</v>
      </c>
      <c r="B20" s="36">
        <f>SUM(B21:B22)</f>
        <v>8284880.6300000008</v>
      </c>
      <c r="C20" s="24">
        <f>(B20*$C$5)/$B$5</f>
        <v>0.20783423447082155</v>
      </c>
    </row>
    <row r="21" spans="1:3" x14ac:dyDescent="0.25">
      <c r="A21" s="28" t="s">
        <v>154</v>
      </c>
      <c r="B21" s="29">
        <f>+Gastos!C168</f>
        <v>2899770.97</v>
      </c>
      <c r="C21" s="19">
        <f>(B21*$C$5)/$B$5</f>
        <v>7.2743556196616155E-2</v>
      </c>
    </row>
    <row r="22" spans="1:3" x14ac:dyDescent="0.25">
      <c r="A22" s="28" t="s">
        <v>153</v>
      </c>
      <c r="B22" s="29">
        <f>+Gastos!C181</f>
        <v>5385109.6600000001</v>
      </c>
      <c r="C22" s="19">
        <f>(B22*$C$5)/$B$5</f>
        <v>0.1350906782742054</v>
      </c>
    </row>
    <row r="23" spans="1:3" x14ac:dyDescent="0.25">
      <c r="A23" s="28"/>
      <c r="C23" s="19"/>
    </row>
    <row r="24" spans="1:3" x14ac:dyDescent="0.25">
      <c r="A24" s="22" t="s">
        <v>169</v>
      </c>
      <c r="B24" s="23">
        <f>+B10+B20</f>
        <v>13039780.52</v>
      </c>
      <c r="C24" s="19"/>
    </row>
    <row r="25" spans="1:3" x14ac:dyDescent="0.25">
      <c r="A25" s="28"/>
      <c r="C25" s="19"/>
    </row>
    <row r="26" spans="1:3" x14ac:dyDescent="0.25">
      <c r="A26" s="30" t="s">
        <v>79</v>
      </c>
      <c r="B26" s="31">
        <f>B7-B10-B20</f>
        <v>17008801.490000002</v>
      </c>
      <c r="C26" s="32">
        <f>(B26*C5)/B5</f>
        <v>0.42668221725969746</v>
      </c>
    </row>
    <row r="29" spans="1:3" hidden="1" x14ac:dyDescent="0.25">
      <c r="A29" s="33" t="s">
        <v>200</v>
      </c>
      <c r="B29" s="34"/>
      <c r="C29" s="35"/>
    </row>
    <row r="32" spans="1:3" x14ac:dyDescent="0.25">
      <c r="B32" s="29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XFC195"/>
  <sheetViews>
    <sheetView topLeftCell="A172" zoomScale="90" zoomScaleNormal="90" workbookViewId="0">
      <selection activeCell="B189" sqref="B189"/>
    </sheetView>
  </sheetViews>
  <sheetFormatPr baseColWidth="10" defaultRowHeight="12.75" x14ac:dyDescent="0.2"/>
  <cols>
    <col min="1" max="1" width="11.28515625" style="37" bestFit="1" customWidth="1"/>
    <col min="2" max="2" width="78.85546875" style="37" customWidth="1"/>
    <col min="3" max="3" width="21.85546875" style="37" customWidth="1"/>
    <col min="4" max="5" width="27.42578125" style="37" bestFit="1" customWidth="1"/>
    <col min="6" max="16384" width="11.42578125" style="37"/>
  </cols>
  <sheetData>
    <row r="1" spans="1:1023 1026:2048 2051:3071 3073:4096 4098:5118 5121:6143 6146:7168 7171:8191 8193:9216 9218:10238 10241:11263 11266:12288 12291:13311 13313:14336 14338:15358 15361:16383" ht="14.25" thickTop="1" thickBot="1" x14ac:dyDescent="0.25">
      <c r="A1" s="87" t="s">
        <v>158</v>
      </c>
      <c r="B1" s="88" t="s">
        <v>159</v>
      </c>
      <c r="C1" s="88" t="s">
        <v>160</v>
      </c>
      <c r="D1" s="88" t="s">
        <v>177</v>
      </c>
      <c r="E1" s="88" t="s">
        <v>178</v>
      </c>
    </row>
    <row r="2" spans="1:1023 1026:2048 2051:3071 3073:4096 4098:5118 5121:6143 6146:7168 7171:8191 8193:9216 9218:10238 10241:11263 11266:12288 12291:13311 13313:14336 14338:15358 15361:16383" ht="13.5" thickTop="1" x14ac:dyDescent="0.2">
      <c r="A2" s="45">
        <v>45698</v>
      </c>
      <c r="B2" s="37" t="s">
        <v>215</v>
      </c>
      <c r="C2" s="46">
        <v>8255</v>
      </c>
      <c r="D2" s="37" t="s">
        <v>163</v>
      </c>
      <c r="E2" s="37" t="s">
        <v>163</v>
      </c>
    </row>
    <row r="3" spans="1:1023 1026:2048 2051:3071 3073:4096 4098:5118 5121:6143 6146:7168 7171:8191 8193:9216 9218:10238 10241:11263 11266:12288 12291:13311 13313:14336 14338:15358 15361:16383" x14ac:dyDescent="0.2">
      <c r="A3" s="45">
        <v>45712</v>
      </c>
      <c r="B3" s="37" t="s">
        <v>163</v>
      </c>
      <c r="C3" s="46">
        <v>13881.1</v>
      </c>
      <c r="D3" s="37" t="s">
        <v>163</v>
      </c>
      <c r="E3" s="37" t="s">
        <v>163</v>
      </c>
    </row>
    <row r="4" spans="1:1023 1026:2048 2051:3071 3073:4096 4098:5118 5121:6143 6146:7168 7171:8191 8193:9216 9218:10238 10241:11263 11266:12288 12291:13311 13313:14336 14338:15358 15361:16383" x14ac:dyDescent="0.2">
      <c r="A4" s="45">
        <v>45713</v>
      </c>
      <c r="B4" s="37" t="s">
        <v>230</v>
      </c>
      <c r="C4" s="47">
        <v>4277.28</v>
      </c>
      <c r="D4" s="37" t="s">
        <v>163</v>
      </c>
      <c r="E4" s="37" t="s">
        <v>231</v>
      </c>
    </row>
    <row r="5" spans="1:1023 1026:2048 2051:3071 3073:4096 4098:5118 5121:6143 6146:7168 7171:8191 8193:9216 9218:10238 10241:11263 11266:12288 12291:13311 13313:14336 14338:15358 15361:16383" x14ac:dyDescent="0.2">
      <c r="A5" s="45">
        <v>45713</v>
      </c>
      <c r="B5" s="37" t="s">
        <v>230</v>
      </c>
      <c r="C5" s="47">
        <v>29940.959999999999</v>
      </c>
      <c r="D5" s="37" t="s">
        <v>163</v>
      </c>
      <c r="E5" s="37" t="s">
        <v>231</v>
      </c>
    </row>
    <row r="6" spans="1:1023 1026:2048 2051:3071 3073:4096 4098:5118 5121:6143 6146:7168 7171:8191 8193:9216 9218:10238 10241:11263 11266:12288 12291:13311 13313:14336 14338:15358 15361:16383" x14ac:dyDescent="0.2">
      <c r="A6" s="45">
        <v>45713</v>
      </c>
      <c r="B6" s="37" t="s">
        <v>230</v>
      </c>
      <c r="C6" s="47">
        <v>142576</v>
      </c>
      <c r="D6" s="37" t="s">
        <v>163</v>
      </c>
      <c r="E6" s="37" t="s">
        <v>231</v>
      </c>
    </row>
    <row r="7" spans="1:1023 1026:2048 2051:3071 3073:4096 4098:5118 5121:6143 6146:7168 7171:8191 8193:9216 9218:10238 10241:11263 11266:12288 12291:13311 13313:14336 14338:15358 15361:16383" x14ac:dyDescent="0.2">
      <c r="A7" s="45">
        <v>45715</v>
      </c>
      <c r="B7" s="37" t="s">
        <v>235</v>
      </c>
      <c r="C7" s="46">
        <v>11598.67</v>
      </c>
      <c r="D7" s="37" t="s">
        <v>163</v>
      </c>
      <c r="E7" s="37" t="s">
        <v>163</v>
      </c>
    </row>
    <row r="8" spans="1:1023 1026:2048 2051:3071 3073:4096 4098:5118 5121:6143 6146:7168 7171:8191 8193:9216 9218:10238 10241:11263 11266:12288 12291:13311 13313:14336 14338:15358 15361:16383" x14ac:dyDescent="0.2">
      <c r="A8" s="45">
        <v>45716</v>
      </c>
      <c r="B8" s="37" t="s">
        <v>235</v>
      </c>
      <c r="C8" s="46">
        <v>2976</v>
      </c>
      <c r="D8" s="37" t="s">
        <v>163</v>
      </c>
      <c r="E8" s="37" t="s">
        <v>163</v>
      </c>
    </row>
    <row r="9" spans="1:1023 1026:2048 2051:3071 3073:4096 4098:5118 5121:6143 6146:7168 7171:8191 8193:9216 9218:10238 10241:11263 11266:12288 12291:13311 13313:14336 14338:15358 15361:16383" x14ac:dyDescent="0.2">
      <c r="A9" s="45">
        <v>45716</v>
      </c>
      <c r="B9" s="37" t="s">
        <v>122</v>
      </c>
      <c r="C9" s="46">
        <v>50300</v>
      </c>
      <c r="D9" s="37" t="s">
        <v>163</v>
      </c>
      <c r="E9" s="37" t="s">
        <v>163</v>
      </c>
    </row>
    <row r="10" spans="1:1023 1026:2048 2051:3071 3073:4096 4098:5118 5121:6143 6146:7168 7171:8191 8193:9216 9218:10238 10241:11263 11266:12288 12291:13311 13313:14336 14338:15358 15361:16383" s="38" customFormat="1" x14ac:dyDescent="0.2">
      <c r="A10" s="89"/>
      <c r="B10" s="90" t="str">
        <f>+D9</f>
        <v>Comisiones Bancarias</v>
      </c>
      <c r="C10" s="91">
        <f>SUM(C2:C9)</f>
        <v>263805.01</v>
      </c>
      <c r="D10" s="90"/>
      <c r="E10" s="90"/>
    </row>
    <row r="11" spans="1:1023 1026:2048 2051:3071 3073:4096 4098:5118 5121:6143 6146:7168 7171:8191 8193:9216 9218:10238 10241:11263 11266:12288 12291:13311 13313:14336 14338:15358 15361:16383" x14ac:dyDescent="0.2">
      <c r="A11" s="48">
        <v>45693</v>
      </c>
      <c r="B11" s="37" t="s">
        <v>256</v>
      </c>
      <c r="C11" s="46">
        <v>801000</v>
      </c>
      <c r="D11" s="37" t="s">
        <v>257</v>
      </c>
      <c r="E11" s="37" t="s">
        <v>257</v>
      </c>
    </row>
    <row r="12" spans="1:1023 1026:2048 2051:3071 3073:4096 4098:5118 5121:6143 6146:7168 7171:8191 8193:9216 9218:10238 10241:11263 11266:12288 12291:13311 13313:14336 14338:15358 15361:16383" x14ac:dyDescent="0.2">
      <c r="A12" s="48">
        <v>45693</v>
      </c>
      <c r="B12" s="37" t="s">
        <v>258</v>
      </c>
      <c r="C12" s="46">
        <v>612000</v>
      </c>
      <c r="D12" s="37" t="s">
        <v>257</v>
      </c>
      <c r="E12" s="37" t="s">
        <v>257</v>
      </c>
    </row>
    <row r="13" spans="1:1023 1026:2048 2051:3071 3073:4096 4098:5118 5121:6143 6146:7168 7171:8191 8193:9216 9218:10238 10241:11263 11266:12288 12291:13311 13313:14336 14338:15358 15361:16383" s="90" customFormat="1" x14ac:dyDescent="0.2">
      <c r="A13" s="89"/>
      <c r="B13" s="90" t="str">
        <f>+D12</f>
        <v>Comisones Ventas</v>
      </c>
      <c r="C13" s="91">
        <f>SUM(C11:C12)</f>
        <v>1413000</v>
      </c>
      <c r="F13" s="89"/>
      <c r="H13" s="91"/>
      <c r="K13" s="89"/>
      <c r="M13" s="91"/>
      <c r="P13" s="89"/>
      <c r="R13" s="91"/>
      <c r="U13" s="89"/>
      <c r="W13" s="91"/>
      <c r="Z13" s="89"/>
      <c r="AB13" s="91"/>
      <c r="AE13" s="89"/>
      <c r="AG13" s="91"/>
      <c r="AJ13" s="89"/>
      <c r="AL13" s="91"/>
      <c r="AO13" s="89"/>
      <c r="AQ13" s="91"/>
      <c r="AT13" s="89"/>
      <c r="AV13" s="91"/>
      <c r="AY13" s="89"/>
      <c r="BA13" s="91"/>
      <c r="BD13" s="89"/>
      <c r="BF13" s="91"/>
      <c r="BI13" s="89"/>
      <c r="BK13" s="91"/>
      <c r="BN13" s="89"/>
      <c r="BP13" s="91"/>
      <c r="BS13" s="89"/>
      <c r="BU13" s="91"/>
      <c r="BX13" s="89"/>
      <c r="BZ13" s="91"/>
      <c r="CC13" s="89"/>
      <c r="CE13" s="91"/>
      <c r="CH13" s="89"/>
      <c r="CJ13" s="91"/>
      <c r="CM13" s="89"/>
      <c r="CO13" s="91"/>
      <c r="CR13" s="89"/>
      <c r="CT13" s="91"/>
      <c r="CW13" s="89"/>
      <c r="CY13" s="91"/>
      <c r="DB13" s="89"/>
      <c r="DD13" s="91"/>
      <c r="DG13" s="89"/>
      <c r="DI13" s="91"/>
      <c r="DL13" s="89"/>
      <c r="DN13" s="91"/>
      <c r="DQ13" s="89"/>
      <c r="DS13" s="91"/>
      <c r="DV13" s="89"/>
      <c r="DX13" s="91"/>
      <c r="EA13" s="89"/>
      <c r="EC13" s="91"/>
      <c r="EF13" s="89"/>
      <c r="EH13" s="91"/>
      <c r="EK13" s="89"/>
      <c r="EM13" s="91"/>
      <c r="EP13" s="89"/>
      <c r="ER13" s="91"/>
      <c r="EU13" s="89"/>
      <c r="EW13" s="91"/>
      <c r="EZ13" s="89"/>
      <c r="FB13" s="91"/>
      <c r="FE13" s="89"/>
      <c r="FG13" s="91"/>
      <c r="FJ13" s="89"/>
      <c r="FL13" s="91"/>
      <c r="FO13" s="89"/>
      <c r="FQ13" s="91"/>
      <c r="FT13" s="89"/>
      <c r="FV13" s="91"/>
      <c r="FY13" s="89"/>
      <c r="GA13" s="91"/>
      <c r="GD13" s="89"/>
      <c r="GF13" s="91"/>
      <c r="GI13" s="89"/>
      <c r="GK13" s="91"/>
      <c r="GN13" s="89"/>
      <c r="GP13" s="91"/>
      <c r="GS13" s="89"/>
      <c r="GU13" s="91"/>
      <c r="GX13" s="89"/>
      <c r="GZ13" s="91"/>
      <c r="HC13" s="89"/>
      <c r="HE13" s="91"/>
      <c r="HH13" s="89"/>
      <c r="HJ13" s="91"/>
      <c r="HM13" s="89"/>
      <c r="HO13" s="91"/>
      <c r="HR13" s="89"/>
      <c r="HT13" s="91"/>
      <c r="HW13" s="89"/>
      <c r="HY13" s="91"/>
      <c r="IB13" s="89"/>
      <c r="ID13" s="91"/>
      <c r="IG13" s="89"/>
      <c r="II13" s="91"/>
      <c r="IL13" s="89"/>
      <c r="IN13" s="91"/>
      <c r="IQ13" s="89"/>
      <c r="IS13" s="91"/>
      <c r="IV13" s="89"/>
      <c r="IX13" s="91"/>
      <c r="JA13" s="89"/>
      <c r="JC13" s="91"/>
      <c r="JF13" s="89"/>
      <c r="JH13" s="91"/>
      <c r="JK13" s="89"/>
      <c r="JM13" s="91"/>
      <c r="JP13" s="89"/>
      <c r="JR13" s="91"/>
      <c r="JU13" s="89"/>
      <c r="JW13" s="91"/>
      <c r="JZ13" s="89"/>
      <c r="KB13" s="91"/>
      <c r="KE13" s="89"/>
      <c r="KG13" s="91"/>
      <c r="KJ13" s="89"/>
      <c r="KL13" s="91"/>
      <c r="KO13" s="89"/>
      <c r="KQ13" s="91"/>
      <c r="KT13" s="89"/>
      <c r="KV13" s="91"/>
      <c r="KY13" s="89"/>
      <c r="LA13" s="91"/>
      <c r="LD13" s="89"/>
      <c r="LF13" s="91"/>
      <c r="LI13" s="89"/>
      <c r="LK13" s="91"/>
      <c r="LN13" s="89"/>
      <c r="LP13" s="91"/>
      <c r="LS13" s="89"/>
      <c r="LU13" s="91"/>
      <c r="LX13" s="89"/>
      <c r="LZ13" s="91"/>
      <c r="MC13" s="89"/>
      <c r="ME13" s="91"/>
      <c r="MH13" s="89"/>
      <c r="MJ13" s="91"/>
      <c r="MM13" s="89"/>
      <c r="MO13" s="91"/>
      <c r="MR13" s="89"/>
      <c r="MT13" s="91"/>
      <c r="MW13" s="89"/>
      <c r="MY13" s="91"/>
      <c r="NB13" s="89"/>
      <c r="ND13" s="91"/>
      <c r="NG13" s="89"/>
      <c r="NI13" s="91"/>
      <c r="NL13" s="89"/>
      <c r="NN13" s="91"/>
      <c r="NQ13" s="89"/>
      <c r="NS13" s="91"/>
      <c r="NV13" s="89"/>
      <c r="NX13" s="91"/>
      <c r="OA13" s="89"/>
      <c r="OC13" s="91"/>
      <c r="OF13" s="89"/>
      <c r="OH13" s="91"/>
      <c r="OK13" s="89"/>
      <c r="OM13" s="91"/>
      <c r="OP13" s="89"/>
      <c r="OR13" s="91"/>
      <c r="OU13" s="89"/>
      <c r="OW13" s="91"/>
      <c r="OZ13" s="89"/>
      <c r="PB13" s="91"/>
      <c r="PE13" s="89"/>
      <c r="PG13" s="91"/>
      <c r="PJ13" s="89"/>
      <c r="PL13" s="91"/>
      <c r="PO13" s="89"/>
      <c r="PQ13" s="91"/>
      <c r="PT13" s="89"/>
      <c r="PV13" s="91"/>
      <c r="PY13" s="89"/>
      <c r="QA13" s="91"/>
      <c r="QD13" s="89"/>
      <c r="QF13" s="91"/>
      <c r="QI13" s="89"/>
      <c r="QK13" s="91"/>
      <c r="QN13" s="89"/>
      <c r="QP13" s="91"/>
      <c r="QS13" s="89"/>
      <c r="QU13" s="91"/>
      <c r="QX13" s="89"/>
      <c r="QZ13" s="91"/>
      <c r="RC13" s="89"/>
      <c r="RE13" s="91"/>
      <c r="RH13" s="89"/>
      <c r="RJ13" s="91"/>
      <c r="RM13" s="89"/>
      <c r="RO13" s="91"/>
      <c r="RR13" s="89"/>
      <c r="RT13" s="91"/>
      <c r="RW13" s="89"/>
      <c r="RY13" s="91"/>
      <c r="SB13" s="89"/>
      <c r="SD13" s="91"/>
      <c r="SG13" s="89"/>
      <c r="SI13" s="91"/>
      <c r="SL13" s="89"/>
      <c r="SN13" s="91"/>
      <c r="SQ13" s="89"/>
      <c r="SS13" s="91"/>
      <c r="SV13" s="89"/>
      <c r="SX13" s="91"/>
      <c r="TA13" s="89"/>
      <c r="TC13" s="91"/>
      <c r="TF13" s="89"/>
      <c r="TH13" s="91"/>
      <c r="TK13" s="89"/>
      <c r="TM13" s="91"/>
      <c r="TP13" s="89"/>
      <c r="TR13" s="91"/>
      <c r="TU13" s="89"/>
      <c r="TW13" s="91"/>
      <c r="TZ13" s="89"/>
      <c r="UB13" s="91"/>
      <c r="UE13" s="89"/>
      <c r="UG13" s="91"/>
      <c r="UJ13" s="89"/>
      <c r="UL13" s="91"/>
      <c r="UO13" s="89"/>
      <c r="UQ13" s="91"/>
      <c r="UT13" s="89"/>
      <c r="UV13" s="91"/>
      <c r="UY13" s="89"/>
      <c r="VA13" s="91"/>
      <c r="VD13" s="89"/>
      <c r="VF13" s="91"/>
      <c r="VI13" s="89"/>
      <c r="VK13" s="91"/>
      <c r="VN13" s="89"/>
      <c r="VP13" s="91"/>
      <c r="VS13" s="89"/>
      <c r="VU13" s="91"/>
      <c r="VX13" s="89"/>
      <c r="VZ13" s="91"/>
      <c r="WC13" s="89"/>
      <c r="WE13" s="91"/>
      <c r="WH13" s="89"/>
      <c r="WJ13" s="91"/>
      <c r="WM13" s="89"/>
      <c r="WO13" s="91"/>
      <c r="WR13" s="89"/>
      <c r="WT13" s="91"/>
      <c r="WW13" s="89"/>
      <c r="WY13" s="91"/>
      <c r="XB13" s="89"/>
      <c r="XD13" s="91"/>
      <c r="XG13" s="89"/>
      <c r="XI13" s="91"/>
      <c r="XL13" s="89"/>
      <c r="XN13" s="91"/>
      <c r="XQ13" s="89"/>
      <c r="XS13" s="91"/>
      <c r="XV13" s="89"/>
      <c r="XX13" s="91"/>
      <c r="YA13" s="89"/>
      <c r="YC13" s="91"/>
      <c r="YF13" s="89"/>
      <c r="YH13" s="91"/>
      <c r="YK13" s="89"/>
      <c r="YM13" s="91"/>
      <c r="YP13" s="89"/>
      <c r="YR13" s="91"/>
      <c r="YU13" s="89"/>
      <c r="YW13" s="91"/>
      <c r="YZ13" s="89"/>
      <c r="ZB13" s="91"/>
      <c r="ZE13" s="89"/>
      <c r="ZG13" s="91"/>
      <c r="ZJ13" s="89"/>
      <c r="ZL13" s="91"/>
      <c r="ZO13" s="89"/>
      <c r="ZQ13" s="91"/>
      <c r="ZT13" s="89"/>
      <c r="ZV13" s="91"/>
      <c r="ZY13" s="89"/>
      <c r="AAA13" s="91"/>
      <c r="AAD13" s="89"/>
      <c r="AAF13" s="91"/>
      <c r="AAI13" s="89"/>
      <c r="AAK13" s="91"/>
      <c r="AAN13" s="89"/>
      <c r="AAP13" s="91"/>
      <c r="AAS13" s="89"/>
      <c r="AAU13" s="91"/>
      <c r="AAX13" s="89"/>
      <c r="AAZ13" s="91"/>
      <c r="ABC13" s="89"/>
      <c r="ABE13" s="91"/>
      <c r="ABH13" s="89"/>
      <c r="ABJ13" s="91"/>
      <c r="ABM13" s="89"/>
      <c r="ABO13" s="91"/>
      <c r="ABR13" s="89"/>
      <c r="ABT13" s="91"/>
      <c r="ABW13" s="89"/>
      <c r="ABY13" s="91"/>
      <c r="ACB13" s="89"/>
      <c r="ACD13" s="91"/>
      <c r="ACG13" s="89"/>
      <c r="ACI13" s="91"/>
      <c r="ACL13" s="89"/>
      <c r="ACN13" s="91"/>
      <c r="ACQ13" s="89"/>
      <c r="ACS13" s="91"/>
      <c r="ACV13" s="89"/>
      <c r="ACX13" s="91"/>
      <c r="ADA13" s="89"/>
      <c r="ADC13" s="91"/>
      <c r="ADF13" s="89"/>
      <c r="ADH13" s="91"/>
      <c r="ADK13" s="89"/>
      <c r="ADM13" s="91"/>
      <c r="ADP13" s="89"/>
      <c r="ADR13" s="91"/>
      <c r="ADU13" s="89"/>
      <c r="ADW13" s="91"/>
      <c r="ADZ13" s="89"/>
      <c r="AEB13" s="91"/>
      <c r="AEE13" s="89"/>
      <c r="AEG13" s="91"/>
      <c r="AEJ13" s="89"/>
      <c r="AEL13" s="91"/>
      <c r="AEO13" s="89"/>
      <c r="AEQ13" s="91"/>
      <c r="AET13" s="89"/>
      <c r="AEV13" s="91"/>
      <c r="AEY13" s="89"/>
      <c r="AFA13" s="91"/>
      <c r="AFD13" s="89"/>
      <c r="AFF13" s="91"/>
      <c r="AFI13" s="89"/>
      <c r="AFK13" s="91"/>
      <c r="AFN13" s="89"/>
      <c r="AFP13" s="91"/>
      <c r="AFS13" s="89"/>
      <c r="AFU13" s="91"/>
      <c r="AFX13" s="89"/>
      <c r="AFZ13" s="91"/>
      <c r="AGC13" s="89"/>
      <c r="AGE13" s="91"/>
      <c r="AGH13" s="89"/>
      <c r="AGJ13" s="91"/>
      <c r="AGM13" s="89"/>
      <c r="AGO13" s="91"/>
      <c r="AGR13" s="89"/>
      <c r="AGT13" s="91"/>
      <c r="AGW13" s="89"/>
      <c r="AGY13" s="91"/>
      <c r="AHB13" s="89"/>
      <c r="AHD13" s="91"/>
      <c r="AHG13" s="89"/>
      <c r="AHI13" s="91"/>
      <c r="AHL13" s="89"/>
      <c r="AHN13" s="91"/>
      <c r="AHQ13" s="89"/>
      <c r="AHS13" s="91"/>
      <c r="AHV13" s="89"/>
      <c r="AHX13" s="91"/>
      <c r="AIA13" s="89"/>
      <c r="AIC13" s="91"/>
      <c r="AIF13" s="89"/>
      <c r="AIH13" s="91"/>
      <c r="AIK13" s="89"/>
      <c r="AIM13" s="91"/>
      <c r="AIP13" s="89"/>
      <c r="AIR13" s="91"/>
      <c r="AIU13" s="89"/>
      <c r="AIW13" s="91"/>
      <c r="AIZ13" s="89"/>
      <c r="AJB13" s="91"/>
      <c r="AJE13" s="89"/>
      <c r="AJG13" s="91"/>
      <c r="AJJ13" s="89"/>
      <c r="AJL13" s="91"/>
      <c r="AJO13" s="89"/>
      <c r="AJQ13" s="91"/>
      <c r="AJT13" s="89"/>
      <c r="AJV13" s="91"/>
      <c r="AJY13" s="89"/>
      <c r="AKA13" s="91"/>
      <c r="AKD13" s="89"/>
      <c r="AKF13" s="91"/>
      <c r="AKI13" s="89"/>
      <c r="AKK13" s="91"/>
      <c r="AKN13" s="89"/>
      <c r="AKP13" s="91"/>
      <c r="AKS13" s="89"/>
      <c r="AKU13" s="91"/>
      <c r="AKX13" s="89"/>
      <c r="AKZ13" s="91"/>
      <c r="ALC13" s="89"/>
      <c r="ALE13" s="91"/>
      <c r="ALH13" s="89"/>
      <c r="ALJ13" s="91"/>
      <c r="ALM13" s="89"/>
      <c r="ALO13" s="91"/>
      <c r="ALR13" s="89"/>
      <c r="ALT13" s="91"/>
      <c r="ALW13" s="89"/>
      <c r="ALY13" s="91"/>
      <c r="AMB13" s="89"/>
      <c r="AMD13" s="91"/>
      <c r="AMG13" s="89"/>
      <c r="AMI13" s="91"/>
      <c r="AML13" s="89"/>
      <c r="AMN13" s="91"/>
      <c r="AMQ13" s="89"/>
      <c r="AMS13" s="91"/>
      <c r="AMV13" s="89"/>
      <c r="AMX13" s="91"/>
      <c r="ANA13" s="89"/>
      <c r="ANC13" s="91"/>
      <c r="ANF13" s="89"/>
      <c r="ANH13" s="91"/>
      <c r="ANK13" s="89"/>
      <c r="ANM13" s="91"/>
      <c r="ANP13" s="89"/>
      <c r="ANR13" s="91"/>
      <c r="ANU13" s="89"/>
      <c r="ANW13" s="91"/>
      <c r="ANZ13" s="89"/>
      <c r="AOB13" s="91"/>
      <c r="AOE13" s="89"/>
      <c r="AOG13" s="91"/>
      <c r="AOJ13" s="89"/>
      <c r="AOL13" s="91"/>
      <c r="AOO13" s="89"/>
      <c r="AOQ13" s="91"/>
      <c r="AOT13" s="89"/>
      <c r="AOV13" s="91"/>
      <c r="AOY13" s="89"/>
      <c r="APA13" s="91"/>
      <c r="APD13" s="89"/>
      <c r="APF13" s="91"/>
      <c r="API13" s="89"/>
      <c r="APK13" s="91"/>
      <c r="APN13" s="89"/>
      <c r="APP13" s="91"/>
      <c r="APS13" s="89"/>
      <c r="APU13" s="91"/>
      <c r="APX13" s="89"/>
      <c r="APZ13" s="91"/>
      <c r="AQC13" s="89"/>
      <c r="AQE13" s="91"/>
      <c r="AQH13" s="89"/>
      <c r="AQJ13" s="91"/>
      <c r="AQM13" s="89"/>
      <c r="AQO13" s="91"/>
      <c r="AQR13" s="89"/>
      <c r="AQT13" s="91"/>
      <c r="AQW13" s="89"/>
      <c r="AQY13" s="91"/>
      <c r="ARB13" s="89"/>
      <c r="ARD13" s="91"/>
      <c r="ARG13" s="89"/>
      <c r="ARI13" s="91"/>
      <c r="ARL13" s="89"/>
      <c r="ARN13" s="91"/>
      <c r="ARQ13" s="89"/>
      <c r="ARS13" s="91"/>
      <c r="ARV13" s="89"/>
      <c r="ARX13" s="91"/>
      <c r="ASA13" s="89"/>
      <c r="ASC13" s="91"/>
      <c r="ASF13" s="89"/>
      <c r="ASH13" s="91"/>
      <c r="ASK13" s="89"/>
      <c r="ASM13" s="91"/>
      <c r="ASP13" s="89"/>
      <c r="ASR13" s="91"/>
      <c r="ASU13" s="89"/>
      <c r="ASW13" s="91"/>
      <c r="ASZ13" s="89"/>
      <c r="ATB13" s="91"/>
      <c r="ATE13" s="89"/>
      <c r="ATG13" s="91"/>
      <c r="ATJ13" s="89"/>
      <c r="ATL13" s="91"/>
      <c r="ATO13" s="89"/>
      <c r="ATQ13" s="91"/>
      <c r="ATT13" s="89"/>
      <c r="ATV13" s="91"/>
      <c r="ATY13" s="89"/>
      <c r="AUA13" s="91"/>
      <c r="AUD13" s="89"/>
      <c r="AUF13" s="91"/>
      <c r="AUI13" s="89"/>
      <c r="AUK13" s="91"/>
      <c r="AUN13" s="89"/>
      <c r="AUP13" s="91"/>
      <c r="AUS13" s="89"/>
      <c r="AUU13" s="91"/>
      <c r="AUX13" s="89"/>
      <c r="AUZ13" s="91"/>
      <c r="AVC13" s="89"/>
      <c r="AVE13" s="91"/>
      <c r="AVH13" s="89"/>
      <c r="AVJ13" s="91"/>
      <c r="AVM13" s="89"/>
      <c r="AVO13" s="91"/>
      <c r="AVR13" s="89"/>
      <c r="AVT13" s="91"/>
      <c r="AVW13" s="89"/>
      <c r="AVY13" s="91"/>
      <c r="AWB13" s="89"/>
      <c r="AWD13" s="91"/>
      <c r="AWG13" s="89"/>
      <c r="AWI13" s="91"/>
      <c r="AWL13" s="89"/>
      <c r="AWN13" s="91"/>
      <c r="AWQ13" s="89"/>
      <c r="AWS13" s="91"/>
      <c r="AWV13" s="89"/>
      <c r="AWX13" s="91"/>
      <c r="AXA13" s="89"/>
      <c r="AXC13" s="91"/>
      <c r="AXF13" s="89"/>
      <c r="AXH13" s="91"/>
      <c r="AXK13" s="89"/>
      <c r="AXM13" s="91"/>
      <c r="AXP13" s="89"/>
      <c r="AXR13" s="91"/>
      <c r="AXU13" s="89"/>
      <c r="AXW13" s="91"/>
      <c r="AXZ13" s="89"/>
      <c r="AYB13" s="91"/>
      <c r="AYE13" s="89"/>
      <c r="AYG13" s="91"/>
      <c r="AYJ13" s="89"/>
      <c r="AYL13" s="91"/>
      <c r="AYO13" s="89"/>
      <c r="AYQ13" s="91"/>
      <c r="AYT13" s="89"/>
      <c r="AYV13" s="91"/>
      <c r="AYY13" s="89"/>
      <c r="AZA13" s="91"/>
      <c r="AZD13" s="89"/>
      <c r="AZF13" s="91"/>
      <c r="AZI13" s="89"/>
      <c r="AZK13" s="91"/>
      <c r="AZN13" s="89"/>
      <c r="AZP13" s="91"/>
      <c r="AZS13" s="89"/>
      <c r="AZU13" s="91"/>
      <c r="AZX13" s="89"/>
      <c r="AZZ13" s="91"/>
      <c r="BAC13" s="89"/>
      <c r="BAE13" s="91"/>
      <c r="BAH13" s="89"/>
      <c r="BAJ13" s="91"/>
      <c r="BAM13" s="89"/>
      <c r="BAO13" s="91"/>
      <c r="BAR13" s="89"/>
      <c r="BAT13" s="91"/>
      <c r="BAW13" s="89"/>
      <c r="BAY13" s="91"/>
      <c r="BBB13" s="89"/>
      <c r="BBD13" s="91"/>
      <c r="BBG13" s="89"/>
      <c r="BBI13" s="91"/>
      <c r="BBL13" s="89"/>
      <c r="BBN13" s="91"/>
      <c r="BBQ13" s="89"/>
      <c r="BBS13" s="91"/>
      <c r="BBV13" s="89"/>
      <c r="BBX13" s="91"/>
      <c r="BCA13" s="89"/>
      <c r="BCC13" s="91"/>
      <c r="BCF13" s="89"/>
      <c r="BCH13" s="91"/>
      <c r="BCK13" s="89"/>
      <c r="BCM13" s="91"/>
      <c r="BCP13" s="89"/>
      <c r="BCR13" s="91"/>
      <c r="BCU13" s="89"/>
      <c r="BCW13" s="91"/>
      <c r="BCZ13" s="89"/>
      <c r="BDB13" s="91"/>
      <c r="BDE13" s="89"/>
      <c r="BDG13" s="91"/>
      <c r="BDJ13" s="89"/>
      <c r="BDL13" s="91"/>
      <c r="BDO13" s="89"/>
      <c r="BDQ13" s="91"/>
      <c r="BDT13" s="89"/>
      <c r="BDV13" s="91"/>
      <c r="BDY13" s="89"/>
      <c r="BEA13" s="91"/>
      <c r="BED13" s="89"/>
      <c r="BEF13" s="91"/>
      <c r="BEI13" s="89"/>
      <c r="BEK13" s="91"/>
      <c r="BEN13" s="89"/>
      <c r="BEP13" s="91"/>
      <c r="BES13" s="89"/>
      <c r="BEU13" s="91"/>
      <c r="BEX13" s="89"/>
      <c r="BEZ13" s="91"/>
      <c r="BFC13" s="89"/>
      <c r="BFE13" s="91"/>
      <c r="BFH13" s="89"/>
      <c r="BFJ13" s="91"/>
      <c r="BFM13" s="89"/>
      <c r="BFO13" s="91"/>
      <c r="BFR13" s="89"/>
      <c r="BFT13" s="91"/>
      <c r="BFW13" s="89"/>
      <c r="BFY13" s="91"/>
      <c r="BGB13" s="89"/>
      <c r="BGD13" s="91"/>
      <c r="BGG13" s="89"/>
      <c r="BGI13" s="91"/>
      <c r="BGL13" s="89"/>
      <c r="BGN13" s="91"/>
      <c r="BGQ13" s="89"/>
      <c r="BGS13" s="91"/>
      <c r="BGV13" s="89"/>
      <c r="BGX13" s="91"/>
      <c r="BHA13" s="89"/>
      <c r="BHC13" s="91"/>
      <c r="BHF13" s="89"/>
      <c r="BHH13" s="91"/>
      <c r="BHK13" s="89"/>
      <c r="BHM13" s="91"/>
      <c r="BHP13" s="89"/>
      <c r="BHR13" s="91"/>
      <c r="BHU13" s="89"/>
      <c r="BHW13" s="91"/>
      <c r="BHZ13" s="89"/>
      <c r="BIB13" s="91"/>
      <c r="BIE13" s="89"/>
      <c r="BIG13" s="91"/>
      <c r="BIJ13" s="89"/>
      <c r="BIL13" s="91"/>
      <c r="BIO13" s="89"/>
      <c r="BIQ13" s="91"/>
      <c r="BIT13" s="89"/>
      <c r="BIV13" s="91"/>
      <c r="BIY13" s="89"/>
      <c r="BJA13" s="91"/>
      <c r="BJD13" s="89"/>
      <c r="BJF13" s="91"/>
      <c r="BJI13" s="89"/>
      <c r="BJK13" s="91"/>
      <c r="BJN13" s="89"/>
      <c r="BJP13" s="91"/>
      <c r="BJS13" s="89"/>
      <c r="BJU13" s="91"/>
      <c r="BJX13" s="89"/>
      <c r="BJZ13" s="91"/>
      <c r="BKC13" s="89"/>
      <c r="BKE13" s="91"/>
      <c r="BKH13" s="89"/>
      <c r="BKJ13" s="91"/>
      <c r="BKM13" s="89"/>
      <c r="BKO13" s="91"/>
      <c r="BKR13" s="89"/>
      <c r="BKT13" s="91"/>
      <c r="BKW13" s="89"/>
      <c r="BKY13" s="91"/>
      <c r="BLB13" s="89"/>
      <c r="BLD13" s="91"/>
      <c r="BLG13" s="89"/>
      <c r="BLI13" s="91"/>
      <c r="BLL13" s="89"/>
      <c r="BLN13" s="91"/>
      <c r="BLQ13" s="89"/>
      <c r="BLS13" s="91"/>
      <c r="BLV13" s="89"/>
      <c r="BLX13" s="91"/>
      <c r="BMA13" s="89"/>
      <c r="BMC13" s="91"/>
      <c r="BMF13" s="89"/>
      <c r="BMH13" s="91"/>
      <c r="BMK13" s="89"/>
      <c r="BMM13" s="91"/>
      <c r="BMP13" s="89"/>
      <c r="BMR13" s="91"/>
      <c r="BMU13" s="89"/>
      <c r="BMW13" s="91"/>
      <c r="BMZ13" s="89"/>
      <c r="BNB13" s="91"/>
      <c r="BNE13" s="89"/>
      <c r="BNG13" s="91"/>
      <c r="BNJ13" s="89"/>
      <c r="BNL13" s="91"/>
      <c r="BNO13" s="89"/>
      <c r="BNQ13" s="91"/>
      <c r="BNT13" s="89"/>
      <c r="BNV13" s="91"/>
      <c r="BNY13" s="89"/>
      <c r="BOA13" s="91"/>
      <c r="BOD13" s="89"/>
      <c r="BOF13" s="91"/>
      <c r="BOI13" s="89"/>
      <c r="BOK13" s="91"/>
      <c r="BON13" s="89"/>
      <c r="BOP13" s="91"/>
      <c r="BOS13" s="89"/>
      <c r="BOU13" s="91"/>
      <c r="BOX13" s="89"/>
      <c r="BOZ13" s="91"/>
      <c r="BPC13" s="89"/>
      <c r="BPE13" s="91"/>
      <c r="BPH13" s="89"/>
      <c r="BPJ13" s="91"/>
      <c r="BPM13" s="89"/>
      <c r="BPO13" s="91"/>
      <c r="BPR13" s="89"/>
      <c r="BPT13" s="91"/>
      <c r="BPW13" s="89"/>
      <c r="BPY13" s="91"/>
      <c r="BQB13" s="89"/>
      <c r="BQD13" s="91"/>
      <c r="BQG13" s="89"/>
      <c r="BQI13" s="91"/>
      <c r="BQL13" s="89"/>
      <c r="BQN13" s="91"/>
      <c r="BQQ13" s="89"/>
      <c r="BQS13" s="91"/>
      <c r="BQV13" s="89"/>
      <c r="BQX13" s="91"/>
      <c r="BRA13" s="89"/>
      <c r="BRC13" s="91"/>
      <c r="BRF13" s="89"/>
      <c r="BRH13" s="91"/>
      <c r="BRK13" s="89"/>
      <c r="BRM13" s="91"/>
      <c r="BRP13" s="89"/>
      <c r="BRR13" s="91"/>
      <c r="BRU13" s="89"/>
      <c r="BRW13" s="91"/>
      <c r="BRZ13" s="89"/>
      <c r="BSB13" s="91"/>
      <c r="BSE13" s="89"/>
      <c r="BSG13" s="91"/>
      <c r="BSJ13" s="89"/>
      <c r="BSL13" s="91"/>
      <c r="BSO13" s="89"/>
      <c r="BSQ13" s="91"/>
      <c r="BST13" s="89"/>
      <c r="BSV13" s="91"/>
      <c r="BSY13" s="89"/>
      <c r="BTA13" s="91"/>
      <c r="BTD13" s="89"/>
      <c r="BTF13" s="91"/>
      <c r="BTI13" s="89"/>
      <c r="BTK13" s="91"/>
      <c r="BTN13" s="89"/>
      <c r="BTP13" s="91"/>
      <c r="BTS13" s="89"/>
      <c r="BTU13" s="91"/>
      <c r="BTX13" s="89"/>
      <c r="BTZ13" s="91"/>
      <c r="BUC13" s="89"/>
      <c r="BUE13" s="91"/>
      <c r="BUH13" s="89"/>
      <c r="BUJ13" s="91"/>
      <c r="BUM13" s="89"/>
      <c r="BUO13" s="91"/>
      <c r="BUR13" s="89"/>
      <c r="BUT13" s="91"/>
      <c r="BUW13" s="89"/>
      <c r="BUY13" s="91"/>
      <c r="BVB13" s="89"/>
      <c r="BVD13" s="91"/>
      <c r="BVG13" s="89"/>
      <c r="BVI13" s="91"/>
      <c r="BVL13" s="89"/>
      <c r="BVN13" s="91"/>
      <c r="BVQ13" s="89"/>
      <c r="BVS13" s="91"/>
      <c r="BVV13" s="89"/>
      <c r="BVX13" s="91"/>
      <c r="BWA13" s="89"/>
      <c r="BWC13" s="91"/>
      <c r="BWF13" s="89"/>
      <c r="BWH13" s="91"/>
      <c r="BWK13" s="89"/>
      <c r="BWM13" s="91"/>
      <c r="BWP13" s="89"/>
      <c r="BWR13" s="91"/>
      <c r="BWU13" s="89"/>
      <c r="BWW13" s="91"/>
      <c r="BWZ13" s="89"/>
      <c r="BXB13" s="91"/>
      <c r="BXE13" s="89"/>
      <c r="BXG13" s="91"/>
      <c r="BXJ13" s="89"/>
      <c r="BXL13" s="91"/>
      <c r="BXO13" s="89"/>
      <c r="BXQ13" s="91"/>
      <c r="BXT13" s="89"/>
      <c r="BXV13" s="91"/>
      <c r="BXY13" s="89"/>
      <c r="BYA13" s="91"/>
      <c r="BYD13" s="89"/>
      <c r="BYF13" s="91"/>
      <c r="BYI13" s="89"/>
      <c r="BYK13" s="91"/>
      <c r="BYN13" s="89"/>
      <c r="BYP13" s="91"/>
      <c r="BYS13" s="89"/>
      <c r="BYU13" s="91"/>
      <c r="BYX13" s="89"/>
      <c r="BYZ13" s="91"/>
      <c r="BZC13" s="89"/>
      <c r="BZE13" s="91"/>
      <c r="BZH13" s="89"/>
      <c r="BZJ13" s="91"/>
      <c r="BZM13" s="89"/>
      <c r="BZO13" s="91"/>
      <c r="BZR13" s="89"/>
      <c r="BZT13" s="91"/>
      <c r="BZW13" s="89"/>
      <c r="BZY13" s="91"/>
      <c r="CAB13" s="89"/>
      <c r="CAD13" s="91"/>
      <c r="CAG13" s="89"/>
      <c r="CAI13" s="91"/>
      <c r="CAL13" s="89"/>
      <c r="CAN13" s="91"/>
      <c r="CAQ13" s="89"/>
      <c r="CAS13" s="91"/>
      <c r="CAV13" s="89"/>
      <c r="CAX13" s="91"/>
      <c r="CBA13" s="89"/>
      <c r="CBC13" s="91"/>
      <c r="CBF13" s="89"/>
      <c r="CBH13" s="91"/>
      <c r="CBK13" s="89"/>
      <c r="CBM13" s="91"/>
      <c r="CBP13" s="89"/>
      <c r="CBR13" s="91"/>
      <c r="CBU13" s="89"/>
      <c r="CBW13" s="91"/>
      <c r="CBZ13" s="89"/>
      <c r="CCB13" s="91"/>
      <c r="CCE13" s="89"/>
      <c r="CCG13" s="91"/>
      <c r="CCJ13" s="89"/>
      <c r="CCL13" s="91"/>
      <c r="CCO13" s="89"/>
      <c r="CCQ13" s="91"/>
      <c r="CCT13" s="89"/>
      <c r="CCV13" s="91"/>
      <c r="CCY13" s="89"/>
      <c r="CDA13" s="91"/>
      <c r="CDD13" s="89"/>
      <c r="CDF13" s="91"/>
      <c r="CDI13" s="89"/>
      <c r="CDK13" s="91"/>
      <c r="CDN13" s="89"/>
      <c r="CDP13" s="91"/>
      <c r="CDS13" s="89"/>
      <c r="CDU13" s="91"/>
      <c r="CDX13" s="89"/>
      <c r="CDZ13" s="91"/>
      <c r="CEC13" s="89"/>
      <c r="CEE13" s="91"/>
      <c r="CEH13" s="89"/>
      <c r="CEJ13" s="91"/>
      <c r="CEM13" s="89"/>
      <c r="CEO13" s="91"/>
      <c r="CER13" s="89"/>
      <c r="CET13" s="91"/>
      <c r="CEW13" s="89"/>
      <c r="CEY13" s="91"/>
      <c r="CFB13" s="89"/>
      <c r="CFD13" s="91"/>
      <c r="CFG13" s="89"/>
      <c r="CFI13" s="91"/>
      <c r="CFL13" s="89"/>
      <c r="CFN13" s="91"/>
      <c r="CFQ13" s="89"/>
      <c r="CFS13" s="91"/>
      <c r="CFV13" s="89"/>
      <c r="CFX13" s="91"/>
      <c r="CGA13" s="89"/>
      <c r="CGC13" s="91"/>
      <c r="CGF13" s="89"/>
      <c r="CGH13" s="91"/>
      <c r="CGK13" s="89"/>
      <c r="CGM13" s="91"/>
      <c r="CGP13" s="89"/>
      <c r="CGR13" s="91"/>
      <c r="CGU13" s="89"/>
      <c r="CGW13" s="91"/>
      <c r="CGZ13" s="89"/>
      <c r="CHB13" s="91"/>
      <c r="CHE13" s="89"/>
      <c r="CHG13" s="91"/>
      <c r="CHJ13" s="89"/>
      <c r="CHL13" s="91"/>
      <c r="CHO13" s="89"/>
      <c r="CHQ13" s="91"/>
      <c r="CHT13" s="89"/>
      <c r="CHV13" s="91"/>
      <c r="CHY13" s="89"/>
      <c r="CIA13" s="91"/>
      <c r="CID13" s="89"/>
      <c r="CIF13" s="91"/>
      <c r="CII13" s="89"/>
      <c r="CIK13" s="91"/>
      <c r="CIN13" s="89"/>
      <c r="CIP13" s="91"/>
      <c r="CIS13" s="89"/>
      <c r="CIU13" s="91"/>
      <c r="CIX13" s="89"/>
      <c r="CIZ13" s="91"/>
      <c r="CJC13" s="89"/>
      <c r="CJE13" s="91"/>
      <c r="CJH13" s="89"/>
      <c r="CJJ13" s="91"/>
      <c r="CJM13" s="89"/>
      <c r="CJO13" s="91"/>
      <c r="CJR13" s="89"/>
      <c r="CJT13" s="91"/>
      <c r="CJW13" s="89"/>
      <c r="CJY13" s="91"/>
      <c r="CKB13" s="89"/>
      <c r="CKD13" s="91"/>
      <c r="CKG13" s="89"/>
      <c r="CKI13" s="91"/>
      <c r="CKL13" s="89"/>
      <c r="CKN13" s="91"/>
      <c r="CKQ13" s="89"/>
      <c r="CKS13" s="91"/>
      <c r="CKV13" s="89"/>
      <c r="CKX13" s="91"/>
      <c r="CLA13" s="89"/>
      <c r="CLC13" s="91"/>
      <c r="CLF13" s="89"/>
      <c r="CLH13" s="91"/>
      <c r="CLK13" s="89"/>
      <c r="CLM13" s="91"/>
      <c r="CLP13" s="89"/>
      <c r="CLR13" s="91"/>
      <c r="CLU13" s="89"/>
      <c r="CLW13" s="91"/>
      <c r="CLZ13" s="89"/>
      <c r="CMB13" s="91"/>
      <c r="CME13" s="89"/>
      <c r="CMG13" s="91"/>
      <c r="CMJ13" s="89"/>
      <c r="CML13" s="91"/>
      <c r="CMO13" s="89"/>
      <c r="CMQ13" s="91"/>
      <c r="CMT13" s="89"/>
      <c r="CMV13" s="91"/>
      <c r="CMY13" s="89"/>
      <c r="CNA13" s="91"/>
      <c r="CND13" s="89"/>
      <c r="CNF13" s="91"/>
      <c r="CNI13" s="89"/>
      <c r="CNK13" s="91"/>
      <c r="CNN13" s="89"/>
      <c r="CNP13" s="91"/>
      <c r="CNS13" s="89"/>
      <c r="CNU13" s="91"/>
      <c r="CNX13" s="89"/>
      <c r="CNZ13" s="91"/>
      <c r="COC13" s="89"/>
      <c r="COE13" s="91"/>
      <c r="COH13" s="89"/>
      <c r="COJ13" s="91"/>
      <c r="COM13" s="89"/>
      <c r="COO13" s="91"/>
      <c r="COR13" s="89"/>
      <c r="COT13" s="91"/>
      <c r="COW13" s="89"/>
      <c r="COY13" s="91"/>
      <c r="CPB13" s="89"/>
      <c r="CPD13" s="91"/>
      <c r="CPG13" s="89"/>
      <c r="CPI13" s="91"/>
      <c r="CPL13" s="89"/>
      <c r="CPN13" s="91"/>
      <c r="CPQ13" s="89"/>
      <c r="CPS13" s="91"/>
      <c r="CPV13" s="89"/>
      <c r="CPX13" s="91"/>
      <c r="CQA13" s="89"/>
      <c r="CQC13" s="91"/>
      <c r="CQF13" s="89"/>
      <c r="CQH13" s="91"/>
      <c r="CQK13" s="89"/>
      <c r="CQM13" s="91"/>
      <c r="CQP13" s="89"/>
      <c r="CQR13" s="91"/>
      <c r="CQU13" s="89"/>
      <c r="CQW13" s="91"/>
      <c r="CQZ13" s="89"/>
      <c r="CRB13" s="91"/>
      <c r="CRE13" s="89"/>
      <c r="CRG13" s="91"/>
      <c r="CRJ13" s="89"/>
      <c r="CRL13" s="91"/>
      <c r="CRO13" s="89"/>
      <c r="CRQ13" s="91"/>
      <c r="CRT13" s="89"/>
      <c r="CRV13" s="91"/>
      <c r="CRY13" s="89"/>
      <c r="CSA13" s="91"/>
      <c r="CSD13" s="89"/>
      <c r="CSF13" s="91"/>
      <c r="CSI13" s="89"/>
      <c r="CSK13" s="91"/>
      <c r="CSN13" s="89"/>
      <c r="CSP13" s="91"/>
      <c r="CSS13" s="89"/>
      <c r="CSU13" s="91"/>
      <c r="CSX13" s="89"/>
      <c r="CSZ13" s="91"/>
      <c r="CTC13" s="89"/>
      <c r="CTE13" s="91"/>
      <c r="CTH13" s="89"/>
      <c r="CTJ13" s="91"/>
      <c r="CTM13" s="89"/>
      <c r="CTO13" s="91"/>
      <c r="CTR13" s="89"/>
      <c r="CTT13" s="91"/>
      <c r="CTW13" s="89"/>
      <c r="CTY13" s="91"/>
      <c r="CUB13" s="89"/>
      <c r="CUD13" s="91"/>
      <c r="CUG13" s="89"/>
      <c r="CUI13" s="91"/>
      <c r="CUL13" s="89"/>
      <c r="CUN13" s="91"/>
      <c r="CUQ13" s="89"/>
      <c r="CUS13" s="91"/>
      <c r="CUV13" s="89"/>
      <c r="CUX13" s="91"/>
      <c r="CVA13" s="89"/>
      <c r="CVC13" s="91"/>
      <c r="CVF13" s="89"/>
      <c r="CVH13" s="91"/>
      <c r="CVK13" s="89"/>
      <c r="CVM13" s="91"/>
      <c r="CVP13" s="89"/>
      <c r="CVR13" s="91"/>
      <c r="CVU13" s="89"/>
      <c r="CVW13" s="91"/>
      <c r="CVZ13" s="89"/>
      <c r="CWB13" s="91"/>
      <c r="CWE13" s="89"/>
      <c r="CWG13" s="91"/>
      <c r="CWJ13" s="89"/>
      <c r="CWL13" s="91"/>
      <c r="CWO13" s="89"/>
      <c r="CWQ13" s="91"/>
      <c r="CWT13" s="89"/>
      <c r="CWV13" s="91"/>
      <c r="CWY13" s="89"/>
      <c r="CXA13" s="91"/>
      <c r="CXD13" s="89"/>
      <c r="CXF13" s="91"/>
      <c r="CXI13" s="89"/>
      <c r="CXK13" s="91"/>
      <c r="CXN13" s="89"/>
      <c r="CXP13" s="91"/>
      <c r="CXS13" s="89"/>
      <c r="CXU13" s="91"/>
      <c r="CXX13" s="89"/>
      <c r="CXZ13" s="91"/>
      <c r="CYC13" s="89"/>
      <c r="CYE13" s="91"/>
      <c r="CYH13" s="89"/>
      <c r="CYJ13" s="91"/>
      <c r="CYM13" s="89"/>
      <c r="CYO13" s="91"/>
      <c r="CYR13" s="89"/>
      <c r="CYT13" s="91"/>
      <c r="CYW13" s="89"/>
      <c r="CYY13" s="91"/>
      <c r="CZB13" s="89"/>
      <c r="CZD13" s="91"/>
      <c r="CZG13" s="89"/>
      <c r="CZI13" s="91"/>
      <c r="CZL13" s="89"/>
      <c r="CZN13" s="91"/>
      <c r="CZQ13" s="89"/>
      <c r="CZS13" s="91"/>
      <c r="CZV13" s="89"/>
      <c r="CZX13" s="91"/>
      <c r="DAA13" s="89"/>
      <c r="DAC13" s="91"/>
      <c r="DAF13" s="89"/>
      <c r="DAH13" s="91"/>
      <c r="DAK13" s="89"/>
      <c r="DAM13" s="91"/>
      <c r="DAP13" s="89"/>
      <c r="DAR13" s="91"/>
      <c r="DAU13" s="89"/>
      <c r="DAW13" s="91"/>
      <c r="DAZ13" s="89"/>
      <c r="DBB13" s="91"/>
      <c r="DBE13" s="89"/>
      <c r="DBG13" s="91"/>
      <c r="DBJ13" s="89"/>
      <c r="DBL13" s="91"/>
      <c r="DBO13" s="89"/>
      <c r="DBQ13" s="91"/>
      <c r="DBT13" s="89"/>
      <c r="DBV13" s="91"/>
      <c r="DBY13" s="89"/>
      <c r="DCA13" s="91"/>
      <c r="DCD13" s="89"/>
      <c r="DCF13" s="91"/>
      <c r="DCI13" s="89"/>
      <c r="DCK13" s="91"/>
      <c r="DCN13" s="89"/>
      <c r="DCP13" s="91"/>
      <c r="DCS13" s="89"/>
      <c r="DCU13" s="91"/>
      <c r="DCX13" s="89"/>
      <c r="DCZ13" s="91"/>
      <c r="DDC13" s="89"/>
      <c r="DDE13" s="91"/>
      <c r="DDH13" s="89"/>
      <c r="DDJ13" s="91"/>
      <c r="DDM13" s="89"/>
      <c r="DDO13" s="91"/>
      <c r="DDR13" s="89"/>
      <c r="DDT13" s="91"/>
      <c r="DDW13" s="89"/>
      <c r="DDY13" s="91"/>
      <c r="DEB13" s="89"/>
      <c r="DED13" s="91"/>
      <c r="DEG13" s="89"/>
      <c r="DEI13" s="91"/>
      <c r="DEL13" s="89"/>
      <c r="DEN13" s="91"/>
      <c r="DEQ13" s="89"/>
      <c r="DES13" s="91"/>
      <c r="DEV13" s="89"/>
      <c r="DEX13" s="91"/>
      <c r="DFA13" s="89"/>
      <c r="DFC13" s="91"/>
      <c r="DFF13" s="89"/>
      <c r="DFH13" s="91"/>
      <c r="DFK13" s="89"/>
      <c r="DFM13" s="91"/>
      <c r="DFP13" s="89"/>
      <c r="DFR13" s="91"/>
      <c r="DFU13" s="89"/>
      <c r="DFW13" s="91"/>
      <c r="DFZ13" s="89"/>
      <c r="DGB13" s="91"/>
      <c r="DGE13" s="89"/>
      <c r="DGG13" s="91"/>
      <c r="DGJ13" s="89"/>
      <c r="DGL13" s="91"/>
      <c r="DGO13" s="89"/>
      <c r="DGQ13" s="91"/>
      <c r="DGT13" s="89"/>
      <c r="DGV13" s="91"/>
      <c r="DGY13" s="89"/>
      <c r="DHA13" s="91"/>
      <c r="DHD13" s="89"/>
      <c r="DHF13" s="91"/>
      <c r="DHI13" s="89"/>
      <c r="DHK13" s="91"/>
      <c r="DHN13" s="89"/>
      <c r="DHP13" s="91"/>
      <c r="DHS13" s="89"/>
      <c r="DHU13" s="91"/>
      <c r="DHX13" s="89"/>
      <c r="DHZ13" s="91"/>
      <c r="DIC13" s="89"/>
      <c r="DIE13" s="91"/>
      <c r="DIH13" s="89"/>
      <c r="DIJ13" s="91"/>
      <c r="DIM13" s="89"/>
      <c r="DIO13" s="91"/>
      <c r="DIR13" s="89"/>
      <c r="DIT13" s="91"/>
      <c r="DIW13" s="89"/>
      <c r="DIY13" s="91"/>
      <c r="DJB13" s="89"/>
      <c r="DJD13" s="91"/>
      <c r="DJG13" s="89"/>
      <c r="DJI13" s="91"/>
      <c r="DJL13" s="89"/>
      <c r="DJN13" s="91"/>
      <c r="DJQ13" s="89"/>
      <c r="DJS13" s="91"/>
      <c r="DJV13" s="89"/>
      <c r="DJX13" s="91"/>
      <c r="DKA13" s="89"/>
      <c r="DKC13" s="91"/>
      <c r="DKF13" s="89"/>
      <c r="DKH13" s="91"/>
      <c r="DKK13" s="89"/>
      <c r="DKM13" s="91"/>
      <c r="DKP13" s="89"/>
      <c r="DKR13" s="91"/>
      <c r="DKU13" s="89"/>
      <c r="DKW13" s="91"/>
      <c r="DKZ13" s="89"/>
      <c r="DLB13" s="91"/>
      <c r="DLE13" s="89"/>
      <c r="DLG13" s="91"/>
      <c r="DLJ13" s="89"/>
      <c r="DLL13" s="91"/>
      <c r="DLO13" s="89"/>
      <c r="DLQ13" s="91"/>
      <c r="DLT13" s="89"/>
      <c r="DLV13" s="91"/>
      <c r="DLY13" s="89"/>
      <c r="DMA13" s="91"/>
      <c r="DMD13" s="89"/>
      <c r="DMF13" s="91"/>
      <c r="DMI13" s="89"/>
      <c r="DMK13" s="91"/>
      <c r="DMN13" s="89"/>
      <c r="DMP13" s="91"/>
      <c r="DMS13" s="89"/>
      <c r="DMU13" s="91"/>
      <c r="DMX13" s="89"/>
      <c r="DMZ13" s="91"/>
      <c r="DNC13" s="89"/>
      <c r="DNE13" s="91"/>
      <c r="DNH13" s="89"/>
      <c r="DNJ13" s="91"/>
      <c r="DNM13" s="89"/>
      <c r="DNO13" s="91"/>
      <c r="DNR13" s="89"/>
      <c r="DNT13" s="91"/>
      <c r="DNW13" s="89"/>
      <c r="DNY13" s="91"/>
      <c r="DOB13" s="89"/>
      <c r="DOD13" s="91"/>
      <c r="DOG13" s="89"/>
      <c r="DOI13" s="91"/>
      <c r="DOL13" s="89"/>
      <c r="DON13" s="91"/>
      <c r="DOQ13" s="89"/>
      <c r="DOS13" s="91"/>
      <c r="DOV13" s="89"/>
      <c r="DOX13" s="91"/>
      <c r="DPA13" s="89"/>
      <c r="DPC13" s="91"/>
      <c r="DPF13" s="89"/>
      <c r="DPH13" s="91"/>
      <c r="DPK13" s="89"/>
      <c r="DPM13" s="91"/>
      <c r="DPP13" s="89"/>
      <c r="DPR13" s="91"/>
      <c r="DPU13" s="89"/>
      <c r="DPW13" s="91"/>
      <c r="DPZ13" s="89"/>
      <c r="DQB13" s="91"/>
      <c r="DQE13" s="89"/>
      <c r="DQG13" s="91"/>
      <c r="DQJ13" s="89"/>
      <c r="DQL13" s="91"/>
      <c r="DQO13" s="89"/>
      <c r="DQQ13" s="91"/>
      <c r="DQT13" s="89"/>
      <c r="DQV13" s="91"/>
      <c r="DQY13" s="89"/>
      <c r="DRA13" s="91"/>
      <c r="DRD13" s="89"/>
      <c r="DRF13" s="91"/>
      <c r="DRI13" s="89"/>
      <c r="DRK13" s="91"/>
      <c r="DRN13" s="89"/>
      <c r="DRP13" s="91"/>
      <c r="DRS13" s="89"/>
      <c r="DRU13" s="91"/>
      <c r="DRX13" s="89"/>
      <c r="DRZ13" s="91"/>
      <c r="DSC13" s="89"/>
      <c r="DSE13" s="91"/>
      <c r="DSH13" s="89"/>
      <c r="DSJ13" s="91"/>
      <c r="DSM13" s="89"/>
      <c r="DSO13" s="91"/>
      <c r="DSR13" s="89"/>
      <c r="DST13" s="91"/>
      <c r="DSW13" s="89"/>
      <c r="DSY13" s="91"/>
      <c r="DTB13" s="89"/>
      <c r="DTD13" s="91"/>
      <c r="DTG13" s="89"/>
      <c r="DTI13" s="91"/>
      <c r="DTL13" s="89"/>
      <c r="DTN13" s="91"/>
      <c r="DTQ13" s="89"/>
      <c r="DTS13" s="91"/>
      <c r="DTV13" s="89"/>
      <c r="DTX13" s="91"/>
      <c r="DUA13" s="89"/>
      <c r="DUC13" s="91"/>
      <c r="DUF13" s="89"/>
      <c r="DUH13" s="91"/>
      <c r="DUK13" s="89"/>
      <c r="DUM13" s="91"/>
      <c r="DUP13" s="89"/>
      <c r="DUR13" s="91"/>
      <c r="DUU13" s="89"/>
      <c r="DUW13" s="91"/>
      <c r="DUZ13" s="89"/>
      <c r="DVB13" s="91"/>
      <c r="DVE13" s="89"/>
      <c r="DVG13" s="91"/>
      <c r="DVJ13" s="89"/>
      <c r="DVL13" s="91"/>
      <c r="DVO13" s="89"/>
      <c r="DVQ13" s="91"/>
      <c r="DVT13" s="89"/>
      <c r="DVV13" s="91"/>
      <c r="DVY13" s="89"/>
      <c r="DWA13" s="91"/>
      <c r="DWD13" s="89"/>
      <c r="DWF13" s="91"/>
      <c r="DWI13" s="89"/>
      <c r="DWK13" s="91"/>
      <c r="DWN13" s="89"/>
      <c r="DWP13" s="91"/>
      <c r="DWS13" s="89"/>
      <c r="DWU13" s="91"/>
      <c r="DWX13" s="89"/>
      <c r="DWZ13" s="91"/>
      <c r="DXC13" s="89"/>
      <c r="DXE13" s="91"/>
      <c r="DXH13" s="89"/>
      <c r="DXJ13" s="91"/>
      <c r="DXM13" s="89"/>
      <c r="DXO13" s="91"/>
      <c r="DXR13" s="89"/>
      <c r="DXT13" s="91"/>
      <c r="DXW13" s="89"/>
      <c r="DXY13" s="91"/>
      <c r="DYB13" s="89"/>
      <c r="DYD13" s="91"/>
      <c r="DYG13" s="89"/>
      <c r="DYI13" s="91"/>
      <c r="DYL13" s="89"/>
      <c r="DYN13" s="91"/>
      <c r="DYQ13" s="89"/>
      <c r="DYS13" s="91"/>
      <c r="DYV13" s="89"/>
      <c r="DYX13" s="91"/>
      <c r="DZA13" s="89"/>
      <c r="DZC13" s="91"/>
      <c r="DZF13" s="89"/>
      <c r="DZH13" s="91"/>
      <c r="DZK13" s="89"/>
      <c r="DZM13" s="91"/>
      <c r="DZP13" s="89"/>
      <c r="DZR13" s="91"/>
      <c r="DZU13" s="89"/>
      <c r="DZW13" s="91"/>
      <c r="DZZ13" s="89"/>
      <c r="EAB13" s="91"/>
      <c r="EAE13" s="89"/>
      <c r="EAG13" s="91"/>
      <c r="EAJ13" s="89"/>
      <c r="EAL13" s="91"/>
      <c r="EAO13" s="89"/>
      <c r="EAQ13" s="91"/>
      <c r="EAT13" s="89"/>
      <c r="EAV13" s="91"/>
      <c r="EAY13" s="89"/>
      <c r="EBA13" s="91"/>
      <c r="EBD13" s="89"/>
      <c r="EBF13" s="91"/>
      <c r="EBI13" s="89"/>
      <c r="EBK13" s="91"/>
      <c r="EBN13" s="89"/>
      <c r="EBP13" s="91"/>
      <c r="EBS13" s="89"/>
      <c r="EBU13" s="91"/>
      <c r="EBX13" s="89"/>
      <c r="EBZ13" s="91"/>
      <c r="ECC13" s="89"/>
      <c r="ECE13" s="91"/>
      <c r="ECH13" s="89"/>
      <c r="ECJ13" s="91"/>
      <c r="ECM13" s="89"/>
      <c r="ECO13" s="91"/>
      <c r="ECR13" s="89"/>
      <c r="ECT13" s="91"/>
      <c r="ECW13" s="89"/>
      <c r="ECY13" s="91"/>
      <c r="EDB13" s="89"/>
      <c r="EDD13" s="91"/>
      <c r="EDG13" s="89"/>
      <c r="EDI13" s="91"/>
      <c r="EDL13" s="89"/>
      <c r="EDN13" s="91"/>
      <c r="EDQ13" s="89"/>
      <c r="EDS13" s="91"/>
      <c r="EDV13" s="89"/>
      <c r="EDX13" s="91"/>
      <c r="EEA13" s="89"/>
      <c r="EEC13" s="91"/>
      <c r="EEF13" s="89"/>
      <c r="EEH13" s="91"/>
      <c r="EEK13" s="89"/>
      <c r="EEM13" s="91"/>
      <c r="EEP13" s="89"/>
      <c r="EER13" s="91"/>
      <c r="EEU13" s="89"/>
      <c r="EEW13" s="91"/>
      <c r="EEZ13" s="89"/>
      <c r="EFB13" s="91"/>
      <c r="EFE13" s="89"/>
      <c r="EFG13" s="91"/>
      <c r="EFJ13" s="89"/>
      <c r="EFL13" s="91"/>
      <c r="EFO13" s="89"/>
      <c r="EFQ13" s="91"/>
      <c r="EFT13" s="89"/>
      <c r="EFV13" s="91"/>
      <c r="EFY13" s="89"/>
      <c r="EGA13" s="91"/>
      <c r="EGD13" s="89"/>
      <c r="EGF13" s="91"/>
      <c r="EGI13" s="89"/>
      <c r="EGK13" s="91"/>
      <c r="EGN13" s="89"/>
      <c r="EGP13" s="91"/>
      <c r="EGS13" s="89"/>
      <c r="EGU13" s="91"/>
      <c r="EGX13" s="89"/>
      <c r="EGZ13" s="91"/>
      <c r="EHC13" s="89"/>
      <c r="EHE13" s="91"/>
      <c r="EHH13" s="89"/>
      <c r="EHJ13" s="91"/>
      <c r="EHM13" s="89"/>
      <c r="EHO13" s="91"/>
      <c r="EHR13" s="89"/>
      <c r="EHT13" s="91"/>
      <c r="EHW13" s="89"/>
      <c r="EHY13" s="91"/>
      <c r="EIB13" s="89"/>
      <c r="EID13" s="91"/>
      <c r="EIG13" s="89"/>
      <c r="EII13" s="91"/>
      <c r="EIL13" s="89"/>
      <c r="EIN13" s="91"/>
      <c r="EIQ13" s="89"/>
      <c r="EIS13" s="91"/>
      <c r="EIV13" s="89"/>
      <c r="EIX13" s="91"/>
      <c r="EJA13" s="89"/>
      <c r="EJC13" s="91"/>
      <c r="EJF13" s="89"/>
      <c r="EJH13" s="91"/>
      <c r="EJK13" s="89"/>
      <c r="EJM13" s="91"/>
      <c r="EJP13" s="89"/>
      <c r="EJR13" s="91"/>
      <c r="EJU13" s="89"/>
      <c r="EJW13" s="91"/>
      <c r="EJZ13" s="89"/>
      <c r="EKB13" s="91"/>
      <c r="EKE13" s="89"/>
      <c r="EKG13" s="91"/>
      <c r="EKJ13" s="89"/>
      <c r="EKL13" s="91"/>
      <c r="EKO13" s="89"/>
      <c r="EKQ13" s="91"/>
      <c r="EKT13" s="89"/>
      <c r="EKV13" s="91"/>
      <c r="EKY13" s="89"/>
      <c r="ELA13" s="91"/>
      <c r="ELD13" s="89"/>
      <c r="ELF13" s="91"/>
      <c r="ELI13" s="89"/>
      <c r="ELK13" s="91"/>
      <c r="ELN13" s="89"/>
      <c r="ELP13" s="91"/>
      <c r="ELS13" s="89"/>
      <c r="ELU13" s="91"/>
      <c r="ELX13" s="89"/>
      <c r="ELZ13" s="91"/>
      <c r="EMC13" s="89"/>
      <c r="EME13" s="91"/>
      <c r="EMH13" s="89"/>
      <c r="EMJ13" s="91"/>
      <c r="EMM13" s="89"/>
      <c r="EMO13" s="91"/>
      <c r="EMR13" s="89"/>
      <c r="EMT13" s="91"/>
      <c r="EMW13" s="89"/>
      <c r="EMY13" s="91"/>
      <c r="ENB13" s="89"/>
      <c r="END13" s="91"/>
      <c r="ENG13" s="89"/>
      <c r="ENI13" s="91"/>
      <c r="ENL13" s="89"/>
      <c r="ENN13" s="91"/>
      <c r="ENQ13" s="89"/>
      <c r="ENS13" s="91"/>
      <c r="ENV13" s="89"/>
      <c r="ENX13" s="91"/>
      <c r="EOA13" s="89"/>
      <c r="EOC13" s="91"/>
      <c r="EOF13" s="89"/>
      <c r="EOH13" s="91"/>
      <c r="EOK13" s="89"/>
      <c r="EOM13" s="91"/>
      <c r="EOP13" s="89"/>
      <c r="EOR13" s="91"/>
      <c r="EOU13" s="89"/>
      <c r="EOW13" s="91"/>
      <c r="EOZ13" s="89"/>
      <c r="EPB13" s="91"/>
      <c r="EPE13" s="89"/>
      <c r="EPG13" s="91"/>
      <c r="EPJ13" s="89"/>
      <c r="EPL13" s="91"/>
      <c r="EPO13" s="89"/>
      <c r="EPQ13" s="91"/>
      <c r="EPT13" s="89"/>
      <c r="EPV13" s="91"/>
      <c r="EPY13" s="89"/>
      <c r="EQA13" s="91"/>
      <c r="EQD13" s="89"/>
      <c r="EQF13" s="91"/>
      <c r="EQI13" s="89"/>
      <c r="EQK13" s="91"/>
      <c r="EQN13" s="89"/>
      <c r="EQP13" s="91"/>
      <c r="EQS13" s="89"/>
      <c r="EQU13" s="91"/>
      <c r="EQX13" s="89"/>
      <c r="EQZ13" s="91"/>
      <c r="ERC13" s="89"/>
      <c r="ERE13" s="91"/>
      <c r="ERH13" s="89"/>
      <c r="ERJ13" s="91"/>
      <c r="ERM13" s="89"/>
      <c r="ERO13" s="91"/>
      <c r="ERR13" s="89"/>
      <c r="ERT13" s="91"/>
      <c r="ERW13" s="89"/>
      <c r="ERY13" s="91"/>
      <c r="ESB13" s="89"/>
      <c r="ESD13" s="91"/>
      <c r="ESG13" s="89"/>
      <c r="ESI13" s="91"/>
      <c r="ESL13" s="89"/>
      <c r="ESN13" s="91"/>
      <c r="ESQ13" s="89"/>
      <c r="ESS13" s="91"/>
      <c r="ESV13" s="89"/>
      <c r="ESX13" s="91"/>
      <c r="ETA13" s="89"/>
      <c r="ETC13" s="91"/>
      <c r="ETF13" s="89"/>
      <c r="ETH13" s="91"/>
      <c r="ETK13" s="89"/>
      <c r="ETM13" s="91"/>
      <c r="ETP13" s="89"/>
      <c r="ETR13" s="91"/>
      <c r="ETU13" s="89"/>
      <c r="ETW13" s="91"/>
      <c r="ETZ13" s="89"/>
      <c r="EUB13" s="91"/>
      <c r="EUE13" s="89"/>
      <c r="EUG13" s="91"/>
      <c r="EUJ13" s="89"/>
      <c r="EUL13" s="91"/>
      <c r="EUO13" s="89"/>
      <c r="EUQ13" s="91"/>
      <c r="EUT13" s="89"/>
      <c r="EUV13" s="91"/>
      <c r="EUY13" s="89"/>
      <c r="EVA13" s="91"/>
      <c r="EVD13" s="89"/>
      <c r="EVF13" s="91"/>
      <c r="EVI13" s="89"/>
      <c r="EVK13" s="91"/>
      <c r="EVN13" s="89"/>
      <c r="EVP13" s="91"/>
      <c r="EVS13" s="89"/>
      <c r="EVU13" s="91"/>
      <c r="EVX13" s="89"/>
      <c r="EVZ13" s="91"/>
      <c r="EWC13" s="89"/>
      <c r="EWE13" s="91"/>
      <c r="EWH13" s="89"/>
      <c r="EWJ13" s="91"/>
      <c r="EWM13" s="89"/>
      <c r="EWO13" s="91"/>
      <c r="EWR13" s="89"/>
      <c r="EWT13" s="91"/>
      <c r="EWW13" s="89"/>
      <c r="EWY13" s="91"/>
      <c r="EXB13" s="89"/>
      <c r="EXD13" s="91"/>
      <c r="EXG13" s="89"/>
      <c r="EXI13" s="91"/>
      <c r="EXL13" s="89"/>
      <c r="EXN13" s="91"/>
      <c r="EXQ13" s="89"/>
      <c r="EXS13" s="91"/>
      <c r="EXV13" s="89"/>
      <c r="EXX13" s="91"/>
      <c r="EYA13" s="89"/>
      <c r="EYC13" s="91"/>
      <c r="EYF13" s="89"/>
      <c r="EYH13" s="91"/>
      <c r="EYK13" s="89"/>
      <c r="EYM13" s="91"/>
      <c r="EYP13" s="89"/>
      <c r="EYR13" s="91"/>
      <c r="EYU13" s="89"/>
      <c r="EYW13" s="91"/>
      <c r="EYZ13" s="89"/>
      <c r="EZB13" s="91"/>
      <c r="EZE13" s="89"/>
      <c r="EZG13" s="91"/>
      <c r="EZJ13" s="89"/>
      <c r="EZL13" s="91"/>
      <c r="EZO13" s="89"/>
      <c r="EZQ13" s="91"/>
      <c r="EZT13" s="89"/>
      <c r="EZV13" s="91"/>
      <c r="EZY13" s="89"/>
      <c r="FAA13" s="91"/>
      <c r="FAD13" s="89"/>
      <c r="FAF13" s="91"/>
      <c r="FAI13" s="89"/>
      <c r="FAK13" s="91"/>
      <c r="FAN13" s="89"/>
      <c r="FAP13" s="91"/>
      <c r="FAS13" s="89"/>
      <c r="FAU13" s="91"/>
      <c r="FAX13" s="89"/>
      <c r="FAZ13" s="91"/>
      <c r="FBC13" s="89"/>
      <c r="FBE13" s="91"/>
      <c r="FBH13" s="89"/>
      <c r="FBJ13" s="91"/>
      <c r="FBM13" s="89"/>
      <c r="FBO13" s="91"/>
      <c r="FBR13" s="89"/>
      <c r="FBT13" s="91"/>
      <c r="FBW13" s="89"/>
      <c r="FBY13" s="91"/>
      <c r="FCB13" s="89"/>
      <c r="FCD13" s="91"/>
      <c r="FCG13" s="89"/>
      <c r="FCI13" s="91"/>
      <c r="FCL13" s="89"/>
      <c r="FCN13" s="91"/>
      <c r="FCQ13" s="89"/>
      <c r="FCS13" s="91"/>
      <c r="FCV13" s="89"/>
      <c r="FCX13" s="91"/>
      <c r="FDA13" s="89"/>
      <c r="FDC13" s="91"/>
      <c r="FDF13" s="89"/>
      <c r="FDH13" s="91"/>
      <c r="FDK13" s="89"/>
      <c r="FDM13" s="91"/>
      <c r="FDP13" s="89"/>
      <c r="FDR13" s="91"/>
      <c r="FDU13" s="89"/>
      <c r="FDW13" s="91"/>
      <c r="FDZ13" s="89"/>
      <c r="FEB13" s="91"/>
      <c r="FEE13" s="89"/>
      <c r="FEG13" s="91"/>
      <c r="FEJ13" s="89"/>
      <c r="FEL13" s="91"/>
      <c r="FEO13" s="89"/>
      <c r="FEQ13" s="91"/>
      <c r="FET13" s="89"/>
      <c r="FEV13" s="91"/>
      <c r="FEY13" s="89"/>
      <c r="FFA13" s="91"/>
      <c r="FFD13" s="89"/>
      <c r="FFF13" s="91"/>
      <c r="FFI13" s="89"/>
      <c r="FFK13" s="91"/>
      <c r="FFN13" s="89"/>
      <c r="FFP13" s="91"/>
      <c r="FFS13" s="89"/>
      <c r="FFU13" s="91"/>
      <c r="FFX13" s="89"/>
      <c r="FFZ13" s="91"/>
      <c r="FGC13" s="89"/>
      <c r="FGE13" s="91"/>
      <c r="FGH13" s="89"/>
      <c r="FGJ13" s="91"/>
      <c r="FGM13" s="89"/>
      <c r="FGO13" s="91"/>
      <c r="FGR13" s="89"/>
      <c r="FGT13" s="91"/>
      <c r="FGW13" s="89"/>
      <c r="FGY13" s="91"/>
      <c r="FHB13" s="89"/>
      <c r="FHD13" s="91"/>
      <c r="FHG13" s="89"/>
      <c r="FHI13" s="91"/>
      <c r="FHL13" s="89"/>
      <c r="FHN13" s="91"/>
      <c r="FHQ13" s="89"/>
      <c r="FHS13" s="91"/>
      <c r="FHV13" s="89"/>
      <c r="FHX13" s="91"/>
      <c r="FIA13" s="89"/>
      <c r="FIC13" s="91"/>
      <c r="FIF13" s="89"/>
      <c r="FIH13" s="91"/>
      <c r="FIK13" s="89"/>
      <c r="FIM13" s="91"/>
      <c r="FIP13" s="89"/>
      <c r="FIR13" s="91"/>
      <c r="FIU13" s="89"/>
      <c r="FIW13" s="91"/>
      <c r="FIZ13" s="89"/>
      <c r="FJB13" s="91"/>
      <c r="FJE13" s="89"/>
      <c r="FJG13" s="91"/>
      <c r="FJJ13" s="89"/>
      <c r="FJL13" s="91"/>
      <c r="FJO13" s="89"/>
      <c r="FJQ13" s="91"/>
      <c r="FJT13" s="89"/>
      <c r="FJV13" s="91"/>
      <c r="FJY13" s="89"/>
      <c r="FKA13" s="91"/>
      <c r="FKD13" s="89"/>
      <c r="FKF13" s="91"/>
      <c r="FKI13" s="89"/>
      <c r="FKK13" s="91"/>
      <c r="FKN13" s="89"/>
      <c r="FKP13" s="91"/>
      <c r="FKS13" s="89"/>
      <c r="FKU13" s="91"/>
      <c r="FKX13" s="89"/>
      <c r="FKZ13" s="91"/>
      <c r="FLC13" s="89"/>
      <c r="FLE13" s="91"/>
      <c r="FLH13" s="89"/>
      <c r="FLJ13" s="91"/>
      <c r="FLM13" s="89"/>
      <c r="FLO13" s="91"/>
      <c r="FLR13" s="89"/>
      <c r="FLT13" s="91"/>
      <c r="FLW13" s="89"/>
      <c r="FLY13" s="91"/>
      <c r="FMB13" s="89"/>
      <c r="FMD13" s="91"/>
      <c r="FMG13" s="89"/>
      <c r="FMI13" s="91"/>
      <c r="FML13" s="89"/>
      <c r="FMN13" s="91"/>
      <c r="FMQ13" s="89"/>
      <c r="FMS13" s="91"/>
      <c r="FMV13" s="89"/>
      <c r="FMX13" s="91"/>
      <c r="FNA13" s="89"/>
      <c r="FNC13" s="91"/>
      <c r="FNF13" s="89"/>
      <c r="FNH13" s="91"/>
      <c r="FNK13" s="89"/>
      <c r="FNM13" s="91"/>
      <c r="FNP13" s="89"/>
      <c r="FNR13" s="91"/>
      <c r="FNU13" s="89"/>
      <c r="FNW13" s="91"/>
      <c r="FNZ13" s="89"/>
      <c r="FOB13" s="91"/>
      <c r="FOE13" s="89"/>
      <c r="FOG13" s="91"/>
      <c r="FOJ13" s="89"/>
      <c r="FOL13" s="91"/>
      <c r="FOO13" s="89"/>
      <c r="FOQ13" s="91"/>
      <c r="FOT13" s="89"/>
      <c r="FOV13" s="91"/>
      <c r="FOY13" s="89"/>
      <c r="FPA13" s="91"/>
      <c r="FPD13" s="89"/>
      <c r="FPF13" s="91"/>
      <c r="FPI13" s="89"/>
      <c r="FPK13" s="91"/>
      <c r="FPN13" s="89"/>
      <c r="FPP13" s="91"/>
      <c r="FPS13" s="89"/>
      <c r="FPU13" s="91"/>
      <c r="FPX13" s="89"/>
      <c r="FPZ13" s="91"/>
      <c r="FQC13" s="89"/>
      <c r="FQE13" s="91"/>
      <c r="FQH13" s="89"/>
      <c r="FQJ13" s="91"/>
      <c r="FQM13" s="89"/>
      <c r="FQO13" s="91"/>
      <c r="FQR13" s="89"/>
      <c r="FQT13" s="91"/>
      <c r="FQW13" s="89"/>
      <c r="FQY13" s="91"/>
      <c r="FRB13" s="89"/>
      <c r="FRD13" s="91"/>
      <c r="FRG13" s="89"/>
      <c r="FRI13" s="91"/>
      <c r="FRL13" s="89"/>
      <c r="FRN13" s="91"/>
      <c r="FRQ13" s="89"/>
      <c r="FRS13" s="91"/>
      <c r="FRV13" s="89"/>
      <c r="FRX13" s="91"/>
      <c r="FSA13" s="89"/>
      <c r="FSC13" s="91"/>
      <c r="FSF13" s="89"/>
      <c r="FSH13" s="91"/>
      <c r="FSK13" s="89"/>
      <c r="FSM13" s="91"/>
      <c r="FSP13" s="89"/>
      <c r="FSR13" s="91"/>
      <c r="FSU13" s="89"/>
      <c r="FSW13" s="91"/>
      <c r="FSZ13" s="89"/>
      <c r="FTB13" s="91"/>
      <c r="FTE13" s="89"/>
      <c r="FTG13" s="91"/>
      <c r="FTJ13" s="89"/>
      <c r="FTL13" s="91"/>
      <c r="FTO13" s="89"/>
      <c r="FTQ13" s="91"/>
      <c r="FTT13" s="89"/>
      <c r="FTV13" s="91"/>
      <c r="FTY13" s="89"/>
      <c r="FUA13" s="91"/>
      <c r="FUD13" s="89"/>
      <c r="FUF13" s="91"/>
      <c r="FUI13" s="89"/>
      <c r="FUK13" s="91"/>
      <c r="FUN13" s="89"/>
      <c r="FUP13" s="91"/>
      <c r="FUS13" s="89"/>
      <c r="FUU13" s="91"/>
      <c r="FUX13" s="89"/>
      <c r="FUZ13" s="91"/>
      <c r="FVC13" s="89"/>
      <c r="FVE13" s="91"/>
      <c r="FVH13" s="89"/>
      <c r="FVJ13" s="91"/>
      <c r="FVM13" s="89"/>
      <c r="FVO13" s="91"/>
      <c r="FVR13" s="89"/>
      <c r="FVT13" s="91"/>
      <c r="FVW13" s="89"/>
      <c r="FVY13" s="91"/>
      <c r="FWB13" s="89"/>
      <c r="FWD13" s="91"/>
      <c r="FWG13" s="89"/>
      <c r="FWI13" s="91"/>
      <c r="FWL13" s="89"/>
      <c r="FWN13" s="91"/>
      <c r="FWQ13" s="89"/>
      <c r="FWS13" s="91"/>
      <c r="FWV13" s="89"/>
      <c r="FWX13" s="91"/>
      <c r="FXA13" s="89"/>
      <c r="FXC13" s="91"/>
      <c r="FXF13" s="89"/>
      <c r="FXH13" s="91"/>
      <c r="FXK13" s="89"/>
      <c r="FXM13" s="91"/>
      <c r="FXP13" s="89"/>
      <c r="FXR13" s="91"/>
      <c r="FXU13" s="89"/>
      <c r="FXW13" s="91"/>
      <c r="FXZ13" s="89"/>
      <c r="FYB13" s="91"/>
      <c r="FYE13" s="89"/>
      <c r="FYG13" s="91"/>
      <c r="FYJ13" s="89"/>
      <c r="FYL13" s="91"/>
      <c r="FYO13" s="89"/>
      <c r="FYQ13" s="91"/>
      <c r="FYT13" s="89"/>
      <c r="FYV13" s="91"/>
      <c r="FYY13" s="89"/>
      <c r="FZA13" s="91"/>
      <c r="FZD13" s="89"/>
      <c r="FZF13" s="91"/>
      <c r="FZI13" s="89"/>
      <c r="FZK13" s="91"/>
      <c r="FZN13" s="89"/>
      <c r="FZP13" s="91"/>
      <c r="FZS13" s="89"/>
      <c r="FZU13" s="91"/>
      <c r="FZX13" s="89"/>
      <c r="FZZ13" s="91"/>
      <c r="GAC13" s="89"/>
      <c r="GAE13" s="91"/>
      <c r="GAH13" s="89"/>
      <c r="GAJ13" s="91"/>
      <c r="GAM13" s="89"/>
      <c r="GAO13" s="91"/>
      <c r="GAR13" s="89"/>
      <c r="GAT13" s="91"/>
      <c r="GAW13" s="89"/>
      <c r="GAY13" s="91"/>
      <c r="GBB13" s="89"/>
      <c r="GBD13" s="91"/>
      <c r="GBG13" s="89"/>
      <c r="GBI13" s="91"/>
      <c r="GBL13" s="89"/>
      <c r="GBN13" s="91"/>
      <c r="GBQ13" s="89"/>
      <c r="GBS13" s="91"/>
      <c r="GBV13" s="89"/>
      <c r="GBX13" s="91"/>
      <c r="GCA13" s="89"/>
      <c r="GCC13" s="91"/>
      <c r="GCF13" s="89"/>
      <c r="GCH13" s="91"/>
      <c r="GCK13" s="89"/>
      <c r="GCM13" s="91"/>
      <c r="GCP13" s="89"/>
      <c r="GCR13" s="91"/>
      <c r="GCU13" s="89"/>
      <c r="GCW13" s="91"/>
      <c r="GCZ13" s="89"/>
      <c r="GDB13" s="91"/>
      <c r="GDE13" s="89"/>
      <c r="GDG13" s="91"/>
      <c r="GDJ13" s="89"/>
      <c r="GDL13" s="91"/>
      <c r="GDO13" s="89"/>
      <c r="GDQ13" s="91"/>
      <c r="GDT13" s="89"/>
      <c r="GDV13" s="91"/>
      <c r="GDY13" s="89"/>
      <c r="GEA13" s="91"/>
      <c r="GED13" s="89"/>
      <c r="GEF13" s="91"/>
      <c r="GEI13" s="89"/>
      <c r="GEK13" s="91"/>
      <c r="GEN13" s="89"/>
      <c r="GEP13" s="91"/>
      <c r="GES13" s="89"/>
      <c r="GEU13" s="91"/>
      <c r="GEX13" s="89"/>
      <c r="GEZ13" s="91"/>
      <c r="GFC13" s="89"/>
      <c r="GFE13" s="91"/>
      <c r="GFH13" s="89"/>
      <c r="GFJ13" s="91"/>
      <c r="GFM13" s="89"/>
      <c r="GFO13" s="91"/>
      <c r="GFR13" s="89"/>
      <c r="GFT13" s="91"/>
      <c r="GFW13" s="89"/>
      <c r="GFY13" s="91"/>
      <c r="GGB13" s="89"/>
      <c r="GGD13" s="91"/>
      <c r="GGG13" s="89"/>
      <c r="GGI13" s="91"/>
      <c r="GGL13" s="89"/>
      <c r="GGN13" s="91"/>
      <c r="GGQ13" s="89"/>
      <c r="GGS13" s="91"/>
      <c r="GGV13" s="89"/>
      <c r="GGX13" s="91"/>
      <c r="GHA13" s="89"/>
      <c r="GHC13" s="91"/>
      <c r="GHF13" s="89"/>
      <c r="GHH13" s="91"/>
      <c r="GHK13" s="89"/>
      <c r="GHM13" s="91"/>
      <c r="GHP13" s="89"/>
      <c r="GHR13" s="91"/>
      <c r="GHU13" s="89"/>
      <c r="GHW13" s="91"/>
      <c r="GHZ13" s="89"/>
      <c r="GIB13" s="91"/>
      <c r="GIE13" s="89"/>
      <c r="GIG13" s="91"/>
      <c r="GIJ13" s="89"/>
      <c r="GIL13" s="91"/>
      <c r="GIO13" s="89"/>
      <c r="GIQ13" s="91"/>
      <c r="GIT13" s="89"/>
      <c r="GIV13" s="91"/>
      <c r="GIY13" s="89"/>
      <c r="GJA13" s="91"/>
      <c r="GJD13" s="89"/>
      <c r="GJF13" s="91"/>
      <c r="GJI13" s="89"/>
      <c r="GJK13" s="91"/>
      <c r="GJN13" s="89"/>
      <c r="GJP13" s="91"/>
      <c r="GJS13" s="89"/>
      <c r="GJU13" s="91"/>
      <c r="GJX13" s="89"/>
      <c r="GJZ13" s="91"/>
      <c r="GKC13" s="89"/>
      <c r="GKE13" s="91"/>
      <c r="GKH13" s="89"/>
      <c r="GKJ13" s="91"/>
      <c r="GKM13" s="89"/>
      <c r="GKO13" s="91"/>
      <c r="GKR13" s="89"/>
      <c r="GKT13" s="91"/>
      <c r="GKW13" s="89"/>
      <c r="GKY13" s="91"/>
      <c r="GLB13" s="89"/>
      <c r="GLD13" s="91"/>
      <c r="GLG13" s="89"/>
      <c r="GLI13" s="91"/>
      <c r="GLL13" s="89"/>
      <c r="GLN13" s="91"/>
      <c r="GLQ13" s="89"/>
      <c r="GLS13" s="91"/>
      <c r="GLV13" s="89"/>
      <c r="GLX13" s="91"/>
      <c r="GMA13" s="89"/>
      <c r="GMC13" s="91"/>
      <c r="GMF13" s="89"/>
      <c r="GMH13" s="91"/>
      <c r="GMK13" s="89"/>
      <c r="GMM13" s="91"/>
      <c r="GMP13" s="89"/>
      <c r="GMR13" s="91"/>
      <c r="GMU13" s="89"/>
      <c r="GMW13" s="91"/>
      <c r="GMZ13" s="89"/>
      <c r="GNB13" s="91"/>
      <c r="GNE13" s="89"/>
      <c r="GNG13" s="91"/>
      <c r="GNJ13" s="89"/>
      <c r="GNL13" s="91"/>
      <c r="GNO13" s="89"/>
      <c r="GNQ13" s="91"/>
      <c r="GNT13" s="89"/>
      <c r="GNV13" s="91"/>
      <c r="GNY13" s="89"/>
      <c r="GOA13" s="91"/>
      <c r="GOD13" s="89"/>
      <c r="GOF13" s="91"/>
      <c r="GOI13" s="89"/>
      <c r="GOK13" s="91"/>
      <c r="GON13" s="89"/>
      <c r="GOP13" s="91"/>
      <c r="GOS13" s="89"/>
      <c r="GOU13" s="91"/>
      <c r="GOX13" s="89"/>
      <c r="GOZ13" s="91"/>
      <c r="GPC13" s="89"/>
      <c r="GPE13" s="91"/>
      <c r="GPH13" s="89"/>
      <c r="GPJ13" s="91"/>
      <c r="GPM13" s="89"/>
      <c r="GPO13" s="91"/>
      <c r="GPR13" s="89"/>
      <c r="GPT13" s="91"/>
      <c r="GPW13" s="89"/>
      <c r="GPY13" s="91"/>
      <c r="GQB13" s="89"/>
      <c r="GQD13" s="91"/>
      <c r="GQG13" s="89"/>
      <c r="GQI13" s="91"/>
      <c r="GQL13" s="89"/>
      <c r="GQN13" s="91"/>
      <c r="GQQ13" s="89"/>
      <c r="GQS13" s="91"/>
      <c r="GQV13" s="89"/>
      <c r="GQX13" s="91"/>
      <c r="GRA13" s="89"/>
      <c r="GRC13" s="91"/>
      <c r="GRF13" s="89"/>
      <c r="GRH13" s="91"/>
      <c r="GRK13" s="89"/>
      <c r="GRM13" s="91"/>
      <c r="GRP13" s="89"/>
      <c r="GRR13" s="91"/>
      <c r="GRU13" s="89"/>
      <c r="GRW13" s="91"/>
      <c r="GRZ13" s="89"/>
      <c r="GSB13" s="91"/>
      <c r="GSE13" s="89"/>
      <c r="GSG13" s="91"/>
      <c r="GSJ13" s="89"/>
      <c r="GSL13" s="91"/>
      <c r="GSO13" s="89"/>
      <c r="GSQ13" s="91"/>
      <c r="GST13" s="89"/>
      <c r="GSV13" s="91"/>
      <c r="GSY13" s="89"/>
      <c r="GTA13" s="91"/>
      <c r="GTD13" s="89"/>
      <c r="GTF13" s="91"/>
      <c r="GTI13" s="89"/>
      <c r="GTK13" s="91"/>
      <c r="GTN13" s="89"/>
      <c r="GTP13" s="91"/>
      <c r="GTS13" s="89"/>
      <c r="GTU13" s="91"/>
      <c r="GTX13" s="89"/>
      <c r="GTZ13" s="91"/>
      <c r="GUC13" s="89"/>
      <c r="GUE13" s="91"/>
      <c r="GUH13" s="89"/>
      <c r="GUJ13" s="91"/>
      <c r="GUM13" s="89"/>
      <c r="GUO13" s="91"/>
      <c r="GUR13" s="89"/>
      <c r="GUT13" s="91"/>
      <c r="GUW13" s="89"/>
      <c r="GUY13" s="91"/>
      <c r="GVB13" s="89"/>
      <c r="GVD13" s="91"/>
      <c r="GVG13" s="89"/>
      <c r="GVI13" s="91"/>
      <c r="GVL13" s="89"/>
      <c r="GVN13" s="91"/>
      <c r="GVQ13" s="89"/>
      <c r="GVS13" s="91"/>
      <c r="GVV13" s="89"/>
      <c r="GVX13" s="91"/>
      <c r="GWA13" s="89"/>
      <c r="GWC13" s="91"/>
      <c r="GWF13" s="89"/>
      <c r="GWH13" s="91"/>
      <c r="GWK13" s="89"/>
      <c r="GWM13" s="91"/>
      <c r="GWP13" s="89"/>
      <c r="GWR13" s="91"/>
      <c r="GWU13" s="89"/>
      <c r="GWW13" s="91"/>
      <c r="GWZ13" s="89"/>
      <c r="GXB13" s="91"/>
      <c r="GXE13" s="89"/>
      <c r="GXG13" s="91"/>
      <c r="GXJ13" s="89"/>
      <c r="GXL13" s="91"/>
      <c r="GXO13" s="89"/>
      <c r="GXQ13" s="91"/>
      <c r="GXT13" s="89"/>
      <c r="GXV13" s="91"/>
      <c r="GXY13" s="89"/>
      <c r="GYA13" s="91"/>
      <c r="GYD13" s="89"/>
      <c r="GYF13" s="91"/>
      <c r="GYI13" s="89"/>
      <c r="GYK13" s="91"/>
      <c r="GYN13" s="89"/>
      <c r="GYP13" s="91"/>
      <c r="GYS13" s="89"/>
      <c r="GYU13" s="91"/>
      <c r="GYX13" s="89"/>
      <c r="GYZ13" s="91"/>
      <c r="GZC13" s="89"/>
      <c r="GZE13" s="91"/>
      <c r="GZH13" s="89"/>
      <c r="GZJ13" s="91"/>
      <c r="GZM13" s="89"/>
      <c r="GZO13" s="91"/>
      <c r="GZR13" s="89"/>
      <c r="GZT13" s="91"/>
      <c r="GZW13" s="89"/>
      <c r="GZY13" s="91"/>
      <c r="HAB13" s="89"/>
      <c r="HAD13" s="91"/>
      <c r="HAG13" s="89"/>
      <c r="HAI13" s="91"/>
      <c r="HAL13" s="89"/>
      <c r="HAN13" s="91"/>
      <c r="HAQ13" s="89"/>
      <c r="HAS13" s="91"/>
      <c r="HAV13" s="89"/>
      <c r="HAX13" s="91"/>
      <c r="HBA13" s="89"/>
      <c r="HBC13" s="91"/>
      <c r="HBF13" s="89"/>
      <c r="HBH13" s="91"/>
      <c r="HBK13" s="89"/>
      <c r="HBM13" s="91"/>
      <c r="HBP13" s="89"/>
      <c r="HBR13" s="91"/>
      <c r="HBU13" s="89"/>
      <c r="HBW13" s="91"/>
      <c r="HBZ13" s="89"/>
      <c r="HCB13" s="91"/>
      <c r="HCE13" s="89"/>
      <c r="HCG13" s="91"/>
      <c r="HCJ13" s="89"/>
      <c r="HCL13" s="91"/>
      <c r="HCO13" s="89"/>
      <c r="HCQ13" s="91"/>
      <c r="HCT13" s="89"/>
      <c r="HCV13" s="91"/>
      <c r="HCY13" s="89"/>
      <c r="HDA13" s="91"/>
      <c r="HDD13" s="89"/>
      <c r="HDF13" s="91"/>
      <c r="HDI13" s="89"/>
      <c r="HDK13" s="91"/>
      <c r="HDN13" s="89"/>
      <c r="HDP13" s="91"/>
      <c r="HDS13" s="89"/>
      <c r="HDU13" s="91"/>
      <c r="HDX13" s="89"/>
      <c r="HDZ13" s="91"/>
      <c r="HEC13" s="89"/>
      <c r="HEE13" s="91"/>
      <c r="HEH13" s="89"/>
      <c r="HEJ13" s="91"/>
      <c r="HEM13" s="89"/>
      <c r="HEO13" s="91"/>
      <c r="HER13" s="89"/>
      <c r="HET13" s="91"/>
      <c r="HEW13" s="89"/>
      <c r="HEY13" s="91"/>
      <c r="HFB13" s="89"/>
      <c r="HFD13" s="91"/>
      <c r="HFG13" s="89"/>
      <c r="HFI13" s="91"/>
      <c r="HFL13" s="89"/>
      <c r="HFN13" s="91"/>
      <c r="HFQ13" s="89"/>
      <c r="HFS13" s="91"/>
      <c r="HFV13" s="89"/>
      <c r="HFX13" s="91"/>
      <c r="HGA13" s="89"/>
      <c r="HGC13" s="91"/>
      <c r="HGF13" s="89"/>
      <c r="HGH13" s="91"/>
      <c r="HGK13" s="89"/>
      <c r="HGM13" s="91"/>
      <c r="HGP13" s="89"/>
      <c r="HGR13" s="91"/>
      <c r="HGU13" s="89"/>
      <c r="HGW13" s="91"/>
      <c r="HGZ13" s="89"/>
      <c r="HHB13" s="91"/>
      <c r="HHE13" s="89"/>
      <c r="HHG13" s="91"/>
      <c r="HHJ13" s="89"/>
      <c r="HHL13" s="91"/>
      <c r="HHO13" s="89"/>
      <c r="HHQ13" s="91"/>
      <c r="HHT13" s="89"/>
      <c r="HHV13" s="91"/>
      <c r="HHY13" s="89"/>
      <c r="HIA13" s="91"/>
      <c r="HID13" s="89"/>
      <c r="HIF13" s="91"/>
      <c r="HII13" s="89"/>
      <c r="HIK13" s="91"/>
      <c r="HIN13" s="89"/>
      <c r="HIP13" s="91"/>
      <c r="HIS13" s="89"/>
      <c r="HIU13" s="91"/>
      <c r="HIX13" s="89"/>
      <c r="HIZ13" s="91"/>
      <c r="HJC13" s="89"/>
      <c r="HJE13" s="91"/>
      <c r="HJH13" s="89"/>
      <c r="HJJ13" s="91"/>
      <c r="HJM13" s="89"/>
      <c r="HJO13" s="91"/>
      <c r="HJR13" s="89"/>
      <c r="HJT13" s="91"/>
      <c r="HJW13" s="89"/>
      <c r="HJY13" s="91"/>
      <c r="HKB13" s="89"/>
      <c r="HKD13" s="91"/>
      <c r="HKG13" s="89"/>
      <c r="HKI13" s="91"/>
      <c r="HKL13" s="89"/>
      <c r="HKN13" s="91"/>
      <c r="HKQ13" s="89"/>
      <c r="HKS13" s="91"/>
      <c r="HKV13" s="89"/>
      <c r="HKX13" s="91"/>
      <c r="HLA13" s="89"/>
      <c r="HLC13" s="91"/>
      <c r="HLF13" s="89"/>
      <c r="HLH13" s="91"/>
      <c r="HLK13" s="89"/>
      <c r="HLM13" s="91"/>
      <c r="HLP13" s="89"/>
      <c r="HLR13" s="91"/>
      <c r="HLU13" s="89"/>
      <c r="HLW13" s="91"/>
      <c r="HLZ13" s="89"/>
      <c r="HMB13" s="91"/>
      <c r="HME13" s="89"/>
      <c r="HMG13" s="91"/>
      <c r="HMJ13" s="89"/>
      <c r="HML13" s="91"/>
      <c r="HMO13" s="89"/>
      <c r="HMQ13" s="91"/>
      <c r="HMT13" s="89"/>
      <c r="HMV13" s="91"/>
      <c r="HMY13" s="89"/>
      <c r="HNA13" s="91"/>
      <c r="HND13" s="89"/>
      <c r="HNF13" s="91"/>
      <c r="HNI13" s="89"/>
      <c r="HNK13" s="91"/>
      <c r="HNN13" s="89"/>
      <c r="HNP13" s="91"/>
      <c r="HNS13" s="89"/>
      <c r="HNU13" s="91"/>
      <c r="HNX13" s="89"/>
      <c r="HNZ13" s="91"/>
      <c r="HOC13" s="89"/>
      <c r="HOE13" s="91"/>
      <c r="HOH13" s="89"/>
      <c r="HOJ13" s="91"/>
      <c r="HOM13" s="89"/>
      <c r="HOO13" s="91"/>
      <c r="HOR13" s="89"/>
      <c r="HOT13" s="91"/>
      <c r="HOW13" s="89"/>
      <c r="HOY13" s="91"/>
      <c r="HPB13" s="89"/>
      <c r="HPD13" s="91"/>
      <c r="HPG13" s="89"/>
      <c r="HPI13" s="91"/>
      <c r="HPL13" s="89"/>
      <c r="HPN13" s="91"/>
      <c r="HPQ13" s="89"/>
      <c r="HPS13" s="91"/>
      <c r="HPV13" s="89"/>
      <c r="HPX13" s="91"/>
      <c r="HQA13" s="89"/>
      <c r="HQC13" s="91"/>
      <c r="HQF13" s="89"/>
      <c r="HQH13" s="91"/>
      <c r="HQK13" s="89"/>
      <c r="HQM13" s="91"/>
      <c r="HQP13" s="89"/>
      <c r="HQR13" s="91"/>
      <c r="HQU13" s="89"/>
      <c r="HQW13" s="91"/>
      <c r="HQZ13" s="89"/>
      <c r="HRB13" s="91"/>
      <c r="HRE13" s="89"/>
      <c r="HRG13" s="91"/>
      <c r="HRJ13" s="89"/>
      <c r="HRL13" s="91"/>
      <c r="HRO13" s="89"/>
      <c r="HRQ13" s="91"/>
      <c r="HRT13" s="89"/>
      <c r="HRV13" s="91"/>
      <c r="HRY13" s="89"/>
      <c r="HSA13" s="91"/>
      <c r="HSD13" s="89"/>
      <c r="HSF13" s="91"/>
      <c r="HSI13" s="89"/>
      <c r="HSK13" s="91"/>
      <c r="HSN13" s="89"/>
      <c r="HSP13" s="91"/>
      <c r="HSS13" s="89"/>
      <c r="HSU13" s="91"/>
      <c r="HSX13" s="89"/>
      <c r="HSZ13" s="91"/>
      <c r="HTC13" s="89"/>
      <c r="HTE13" s="91"/>
      <c r="HTH13" s="89"/>
      <c r="HTJ13" s="91"/>
      <c r="HTM13" s="89"/>
      <c r="HTO13" s="91"/>
      <c r="HTR13" s="89"/>
      <c r="HTT13" s="91"/>
      <c r="HTW13" s="89"/>
      <c r="HTY13" s="91"/>
      <c r="HUB13" s="89"/>
      <c r="HUD13" s="91"/>
      <c r="HUG13" s="89"/>
      <c r="HUI13" s="91"/>
      <c r="HUL13" s="89"/>
      <c r="HUN13" s="91"/>
      <c r="HUQ13" s="89"/>
      <c r="HUS13" s="91"/>
      <c r="HUV13" s="89"/>
      <c r="HUX13" s="91"/>
      <c r="HVA13" s="89"/>
      <c r="HVC13" s="91"/>
      <c r="HVF13" s="89"/>
      <c r="HVH13" s="91"/>
      <c r="HVK13" s="89"/>
      <c r="HVM13" s="91"/>
      <c r="HVP13" s="89"/>
      <c r="HVR13" s="91"/>
      <c r="HVU13" s="89"/>
      <c r="HVW13" s="91"/>
      <c r="HVZ13" s="89"/>
      <c r="HWB13" s="91"/>
      <c r="HWE13" s="89"/>
      <c r="HWG13" s="91"/>
      <c r="HWJ13" s="89"/>
      <c r="HWL13" s="91"/>
      <c r="HWO13" s="89"/>
      <c r="HWQ13" s="91"/>
      <c r="HWT13" s="89"/>
      <c r="HWV13" s="91"/>
      <c r="HWY13" s="89"/>
      <c r="HXA13" s="91"/>
      <c r="HXD13" s="89"/>
      <c r="HXF13" s="91"/>
      <c r="HXI13" s="89"/>
      <c r="HXK13" s="91"/>
      <c r="HXN13" s="89"/>
      <c r="HXP13" s="91"/>
      <c r="HXS13" s="89"/>
      <c r="HXU13" s="91"/>
      <c r="HXX13" s="89"/>
      <c r="HXZ13" s="91"/>
      <c r="HYC13" s="89"/>
      <c r="HYE13" s="91"/>
      <c r="HYH13" s="89"/>
      <c r="HYJ13" s="91"/>
      <c r="HYM13" s="89"/>
      <c r="HYO13" s="91"/>
      <c r="HYR13" s="89"/>
      <c r="HYT13" s="91"/>
      <c r="HYW13" s="89"/>
      <c r="HYY13" s="91"/>
      <c r="HZB13" s="89"/>
      <c r="HZD13" s="91"/>
      <c r="HZG13" s="89"/>
      <c r="HZI13" s="91"/>
      <c r="HZL13" s="89"/>
      <c r="HZN13" s="91"/>
      <c r="HZQ13" s="89"/>
      <c r="HZS13" s="91"/>
      <c r="HZV13" s="89"/>
      <c r="HZX13" s="91"/>
      <c r="IAA13" s="89"/>
      <c r="IAC13" s="91"/>
      <c r="IAF13" s="89"/>
      <c r="IAH13" s="91"/>
      <c r="IAK13" s="89"/>
      <c r="IAM13" s="91"/>
      <c r="IAP13" s="89"/>
      <c r="IAR13" s="91"/>
      <c r="IAU13" s="89"/>
      <c r="IAW13" s="91"/>
      <c r="IAZ13" s="89"/>
      <c r="IBB13" s="91"/>
      <c r="IBE13" s="89"/>
      <c r="IBG13" s="91"/>
      <c r="IBJ13" s="89"/>
      <c r="IBL13" s="91"/>
      <c r="IBO13" s="89"/>
      <c r="IBQ13" s="91"/>
      <c r="IBT13" s="89"/>
      <c r="IBV13" s="91"/>
      <c r="IBY13" s="89"/>
      <c r="ICA13" s="91"/>
      <c r="ICD13" s="89"/>
      <c r="ICF13" s="91"/>
      <c r="ICI13" s="89"/>
      <c r="ICK13" s="91"/>
      <c r="ICN13" s="89"/>
      <c r="ICP13" s="91"/>
      <c r="ICS13" s="89"/>
      <c r="ICU13" s="91"/>
      <c r="ICX13" s="89"/>
      <c r="ICZ13" s="91"/>
      <c r="IDC13" s="89"/>
      <c r="IDE13" s="91"/>
      <c r="IDH13" s="89"/>
      <c r="IDJ13" s="91"/>
      <c r="IDM13" s="89"/>
      <c r="IDO13" s="91"/>
      <c r="IDR13" s="89"/>
      <c r="IDT13" s="91"/>
      <c r="IDW13" s="89"/>
      <c r="IDY13" s="91"/>
      <c r="IEB13" s="89"/>
      <c r="IED13" s="91"/>
      <c r="IEG13" s="89"/>
      <c r="IEI13" s="91"/>
      <c r="IEL13" s="89"/>
      <c r="IEN13" s="91"/>
      <c r="IEQ13" s="89"/>
      <c r="IES13" s="91"/>
      <c r="IEV13" s="89"/>
      <c r="IEX13" s="91"/>
      <c r="IFA13" s="89"/>
      <c r="IFC13" s="91"/>
      <c r="IFF13" s="89"/>
      <c r="IFH13" s="91"/>
      <c r="IFK13" s="89"/>
      <c r="IFM13" s="91"/>
      <c r="IFP13" s="89"/>
      <c r="IFR13" s="91"/>
      <c r="IFU13" s="89"/>
      <c r="IFW13" s="91"/>
      <c r="IFZ13" s="89"/>
      <c r="IGB13" s="91"/>
      <c r="IGE13" s="89"/>
      <c r="IGG13" s="91"/>
      <c r="IGJ13" s="89"/>
      <c r="IGL13" s="91"/>
      <c r="IGO13" s="89"/>
      <c r="IGQ13" s="91"/>
      <c r="IGT13" s="89"/>
      <c r="IGV13" s="91"/>
      <c r="IGY13" s="89"/>
      <c r="IHA13" s="91"/>
      <c r="IHD13" s="89"/>
      <c r="IHF13" s="91"/>
      <c r="IHI13" s="89"/>
      <c r="IHK13" s="91"/>
      <c r="IHN13" s="89"/>
      <c r="IHP13" s="91"/>
      <c r="IHS13" s="89"/>
      <c r="IHU13" s="91"/>
      <c r="IHX13" s="89"/>
      <c r="IHZ13" s="91"/>
      <c r="IIC13" s="89"/>
      <c r="IIE13" s="91"/>
      <c r="IIH13" s="89"/>
      <c r="IIJ13" s="91"/>
      <c r="IIM13" s="89"/>
      <c r="IIO13" s="91"/>
      <c r="IIR13" s="89"/>
      <c r="IIT13" s="91"/>
      <c r="IIW13" s="89"/>
      <c r="IIY13" s="91"/>
      <c r="IJB13" s="89"/>
      <c r="IJD13" s="91"/>
      <c r="IJG13" s="89"/>
      <c r="IJI13" s="91"/>
      <c r="IJL13" s="89"/>
      <c r="IJN13" s="91"/>
      <c r="IJQ13" s="89"/>
      <c r="IJS13" s="91"/>
      <c r="IJV13" s="89"/>
      <c r="IJX13" s="91"/>
      <c r="IKA13" s="89"/>
      <c r="IKC13" s="91"/>
      <c r="IKF13" s="89"/>
      <c r="IKH13" s="91"/>
      <c r="IKK13" s="89"/>
      <c r="IKM13" s="91"/>
      <c r="IKP13" s="89"/>
      <c r="IKR13" s="91"/>
      <c r="IKU13" s="89"/>
      <c r="IKW13" s="91"/>
      <c r="IKZ13" s="89"/>
      <c r="ILB13" s="91"/>
      <c r="ILE13" s="89"/>
      <c r="ILG13" s="91"/>
      <c r="ILJ13" s="89"/>
      <c r="ILL13" s="91"/>
      <c r="ILO13" s="89"/>
      <c r="ILQ13" s="91"/>
      <c r="ILT13" s="89"/>
      <c r="ILV13" s="91"/>
      <c r="ILY13" s="89"/>
      <c r="IMA13" s="91"/>
      <c r="IMD13" s="89"/>
      <c r="IMF13" s="91"/>
      <c r="IMI13" s="89"/>
      <c r="IMK13" s="91"/>
      <c r="IMN13" s="89"/>
      <c r="IMP13" s="91"/>
      <c r="IMS13" s="89"/>
      <c r="IMU13" s="91"/>
      <c r="IMX13" s="89"/>
      <c r="IMZ13" s="91"/>
      <c r="INC13" s="89"/>
      <c r="INE13" s="91"/>
      <c r="INH13" s="89"/>
      <c r="INJ13" s="91"/>
      <c r="INM13" s="89"/>
      <c r="INO13" s="91"/>
      <c r="INR13" s="89"/>
      <c r="INT13" s="91"/>
      <c r="INW13" s="89"/>
      <c r="INY13" s="91"/>
      <c r="IOB13" s="89"/>
      <c r="IOD13" s="91"/>
      <c r="IOG13" s="89"/>
      <c r="IOI13" s="91"/>
      <c r="IOL13" s="89"/>
      <c r="ION13" s="91"/>
      <c r="IOQ13" s="89"/>
      <c r="IOS13" s="91"/>
      <c r="IOV13" s="89"/>
      <c r="IOX13" s="91"/>
      <c r="IPA13" s="89"/>
      <c r="IPC13" s="91"/>
      <c r="IPF13" s="89"/>
      <c r="IPH13" s="91"/>
      <c r="IPK13" s="89"/>
      <c r="IPM13" s="91"/>
      <c r="IPP13" s="89"/>
      <c r="IPR13" s="91"/>
      <c r="IPU13" s="89"/>
      <c r="IPW13" s="91"/>
      <c r="IPZ13" s="89"/>
      <c r="IQB13" s="91"/>
      <c r="IQE13" s="89"/>
      <c r="IQG13" s="91"/>
      <c r="IQJ13" s="89"/>
      <c r="IQL13" s="91"/>
      <c r="IQO13" s="89"/>
      <c r="IQQ13" s="91"/>
      <c r="IQT13" s="89"/>
      <c r="IQV13" s="91"/>
      <c r="IQY13" s="89"/>
      <c r="IRA13" s="91"/>
      <c r="IRD13" s="89"/>
      <c r="IRF13" s="91"/>
      <c r="IRI13" s="89"/>
      <c r="IRK13" s="91"/>
      <c r="IRN13" s="89"/>
      <c r="IRP13" s="91"/>
      <c r="IRS13" s="89"/>
      <c r="IRU13" s="91"/>
      <c r="IRX13" s="89"/>
      <c r="IRZ13" s="91"/>
      <c r="ISC13" s="89"/>
      <c r="ISE13" s="91"/>
      <c r="ISH13" s="89"/>
      <c r="ISJ13" s="91"/>
      <c r="ISM13" s="89"/>
      <c r="ISO13" s="91"/>
      <c r="ISR13" s="89"/>
      <c r="IST13" s="91"/>
      <c r="ISW13" s="89"/>
      <c r="ISY13" s="91"/>
      <c r="ITB13" s="89"/>
      <c r="ITD13" s="91"/>
      <c r="ITG13" s="89"/>
      <c r="ITI13" s="91"/>
      <c r="ITL13" s="89"/>
      <c r="ITN13" s="91"/>
      <c r="ITQ13" s="89"/>
      <c r="ITS13" s="91"/>
      <c r="ITV13" s="89"/>
      <c r="ITX13" s="91"/>
      <c r="IUA13" s="89"/>
      <c r="IUC13" s="91"/>
      <c r="IUF13" s="89"/>
      <c r="IUH13" s="91"/>
      <c r="IUK13" s="89"/>
      <c r="IUM13" s="91"/>
      <c r="IUP13" s="89"/>
      <c r="IUR13" s="91"/>
      <c r="IUU13" s="89"/>
      <c r="IUW13" s="91"/>
      <c r="IUZ13" s="89"/>
      <c r="IVB13" s="91"/>
      <c r="IVE13" s="89"/>
      <c r="IVG13" s="91"/>
      <c r="IVJ13" s="89"/>
      <c r="IVL13" s="91"/>
      <c r="IVO13" s="89"/>
      <c r="IVQ13" s="91"/>
      <c r="IVT13" s="89"/>
      <c r="IVV13" s="91"/>
      <c r="IVY13" s="89"/>
      <c r="IWA13" s="91"/>
      <c r="IWD13" s="89"/>
      <c r="IWF13" s="91"/>
      <c r="IWI13" s="89"/>
      <c r="IWK13" s="91"/>
      <c r="IWN13" s="89"/>
      <c r="IWP13" s="91"/>
      <c r="IWS13" s="89"/>
      <c r="IWU13" s="91"/>
      <c r="IWX13" s="89"/>
      <c r="IWZ13" s="91"/>
      <c r="IXC13" s="89"/>
      <c r="IXE13" s="91"/>
      <c r="IXH13" s="89"/>
      <c r="IXJ13" s="91"/>
      <c r="IXM13" s="89"/>
      <c r="IXO13" s="91"/>
      <c r="IXR13" s="89"/>
      <c r="IXT13" s="91"/>
      <c r="IXW13" s="89"/>
      <c r="IXY13" s="91"/>
      <c r="IYB13" s="89"/>
      <c r="IYD13" s="91"/>
      <c r="IYG13" s="89"/>
      <c r="IYI13" s="91"/>
      <c r="IYL13" s="89"/>
      <c r="IYN13" s="91"/>
      <c r="IYQ13" s="89"/>
      <c r="IYS13" s="91"/>
      <c r="IYV13" s="89"/>
      <c r="IYX13" s="91"/>
      <c r="IZA13" s="89"/>
      <c r="IZC13" s="91"/>
      <c r="IZF13" s="89"/>
      <c r="IZH13" s="91"/>
      <c r="IZK13" s="89"/>
      <c r="IZM13" s="91"/>
      <c r="IZP13" s="89"/>
      <c r="IZR13" s="91"/>
      <c r="IZU13" s="89"/>
      <c r="IZW13" s="91"/>
      <c r="IZZ13" s="89"/>
      <c r="JAB13" s="91"/>
      <c r="JAE13" s="89"/>
      <c r="JAG13" s="91"/>
      <c r="JAJ13" s="89"/>
      <c r="JAL13" s="91"/>
      <c r="JAO13" s="89"/>
      <c r="JAQ13" s="91"/>
      <c r="JAT13" s="89"/>
      <c r="JAV13" s="91"/>
      <c r="JAY13" s="89"/>
      <c r="JBA13" s="91"/>
      <c r="JBD13" s="89"/>
      <c r="JBF13" s="91"/>
      <c r="JBI13" s="89"/>
      <c r="JBK13" s="91"/>
      <c r="JBN13" s="89"/>
      <c r="JBP13" s="91"/>
      <c r="JBS13" s="89"/>
      <c r="JBU13" s="91"/>
      <c r="JBX13" s="89"/>
      <c r="JBZ13" s="91"/>
      <c r="JCC13" s="89"/>
      <c r="JCE13" s="91"/>
      <c r="JCH13" s="89"/>
      <c r="JCJ13" s="91"/>
      <c r="JCM13" s="89"/>
      <c r="JCO13" s="91"/>
      <c r="JCR13" s="89"/>
      <c r="JCT13" s="91"/>
      <c r="JCW13" s="89"/>
      <c r="JCY13" s="91"/>
      <c r="JDB13" s="89"/>
      <c r="JDD13" s="91"/>
      <c r="JDG13" s="89"/>
      <c r="JDI13" s="91"/>
      <c r="JDL13" s="89"/>
      <c r="JDN13" s="91"/>
      <c r="JDQ13" s="89"/>
      <c r="JDS13" s="91"/>
      <c r="JDV13" s="89"/>
      <c r="JDX13" s="91"/>
      <c r="JEA13" s="89"/>
      <c r="JEC13" s="91"/>
      <c r="JEF13" s="89"/>
      <c r="JEH13" s="91"/>
      <c r="JEK13" s="89"/>
      <c r="JEM13" s="91"/>
      <c r="JEP13" s="89"/>
      <c r="JER13" s="91"/>
      <c r="JEU13" s="89"/>
      <c r="JEW13" s="91"/>
      <c r="JEZ13" s="89"/>
      <c r="JFB13" s="91"/>
      <c r="JFE13" s="89"/>
      <c r="JFG13" s="91"/>
      <c r="JFJ13" s="89"/>
      <c r="JFL13" s="91"/>
      <c r="JFO13" s="89"/>
      <c r="JFQ13" s="91"/>
      <c r="JFT13" s="89"/>
      <c r="JFV13" s="91"/>
      <c r="JFY13" s="89"/>
      <c r="JGA13" s="91"/>
      <c r="JGD13" s="89"/>
      <c r="JGF13" s="91"/>
      <c r="JGI13" s="89"/>
      <c r="JGK13" s="91"/>
      <c r="JGN13" s="89"/>
      <c r="JGP13" s="91"/>
      <c r="JGS13" s="89"/>
      <c r="JGU13" s="91"/>
      <c r="JGX13" s="89"/>
      <c r="JGZ13" s="91"/>
      <c r="JHC13" s="89"/>
      <c r="JHE13" s="91"/>
      <c r="JHH13" s="89"/>
      <c r="JHJ13" s="91"/>
      <c r="JHM13" s="89"/>
      <c r="JHO13" s="91"/>
      <c r="JHR13" s="89"/>
      <c r="JHT13" s="91"/>
      <c r="JHW13" s="89"/>
      <c r="JHY13" s="91"/>
      <c r="JIB13" s="89"/>
      <c r="JID13" s="91"/>
      <c r="JIG13" s="89"/>
      <c r="JII13" s="91"/>
      <c r="JIL13" s="89"/>
      <c r="JIN13" s="91"/>
      <c r="JIQ13" s="89"/>
      <c r="JIS13" s="91"/>
      <c r="JIV13" s="89"/>
      <c r="JIX13" s="91"/>
      <c r="JJA13" s="89"/>
      <c r="JJC13" s="91"/>
      <c r="JJF13" s="89"/>
      <c r="JJH13" s="91"/>
      <c r="JJK13" s="89"/>
      <c r="JJM13" s="91"/>
      <c r="JJP13" s="89"/>
      <c r="JJR13" s="91"/>
      <c r="JJU13" s="89"/>
      <c r="JJW13" s="91"/>
      <c r="JJZ13" s="89"/>
      <c r="JKB13" s="91"/>
      <c r="JKE13" s="89"/>
      <c r="JKG13" s="91"/>
      <c r="JKJ13" s="89"/>
      <c r="JKL13" s="91"/>
      <c r="JKO13" s="89"/>
      <c r="JKQ13" s="91"/>
      <c r="JKT13" s="89"/>
      <c r="JKV13" s="91"/>
      <c r="JKY13" s="89"/>
      <c r="JLA13" s="91"/>
      <c r="JLD13" s="89"/>
      <c r="JLF13" s="91"/>
      <c r="JLI13" s="89"/>
      <c r="JLK13" s="91"/>
      <c r="JLN13" s="89"/>
      <c r="JLP13" s="91"/>
      <c r="JLS13" s="89"/>
      <c r="JLU13" s="91"/>
      <c r="JLX13" s="89"/>
      <c r="JLZ13" s="91"/>
      <c r="JMC13" s="89"/>
      <c r="JME13" s="91"/>
      <c r="JMH13" s="89"/>
      <c r="JMJ13" s="91"/>
      <c r="JMM13" s="89"/>
      <c r="JMO13" s="91"/>
      <c r="JMR13" s="89"/>
      <c r="JMT13" s="91"/>
      <c r="JMW13" s="89"/>
      <c r="JMY13" s="91"/>
      <c r="JNB13" s="89"/>
      <c r="JND13" s="91"/>
      <c r="JNG13" s="89"/>
      <c r="JNI13" s="91"/>
      <c r="JNL13" s="89"/>
      <c r="JNN13" s="91"/>
      <c r="JNQ13" s="89"/>
      <c r="JNS13" s="91"/>
      <c r="JNV13" s="89"/>
      <c r="JNX13" s="91"/>
      <c r="JOA13" s="89"/>
      <c r="JOC13" s="91"/>
      <c r="JOF13" s="89"/>
      <c r="JOH13" s="91"/>
      <c r="JOK13" s="89"/>
      <c r="JOM13" s="91"/>
      <c r="JOP13" s="89"/>
      <c r="JOR13" s="91"/>
      <c r="JOU13" s="89"/>
      <c r="JOW13" s="91"/>
      <c r="JOZ13" s="89"/>
      <c r="JPB13" s="91"/>
      <c r="JPE13" s="89"/>
      <c r="JPG13" s="91"/>
      <c r="JPJ13" s="89"/>
      <c r="JPL13" s="91"/>
      <c r="JPO13" s="89"/>
      <c r="JPQ13" s="91"/>
      <c r="JPT13" s="89"/>
      <c r="JPV13" s="91"/>
      <c r="JPY13" s="89"/>
      <c r="JQA13" s="91"/>
      <c r="JQD13" s="89"/>
      <c r="JQF13" s="91"/>
      <c r="JQI13" s="89"/>
      <c r="JQK13" s="91"/>
      <c r="JQN13" s="89"/>
      <c r="JQP13" s="91"/>
      <c r="JQS13" s="89"/>
      <c r="JQU13" s="91"/>
      <c r="JQX13" s="89"/>
      <c r="JQZ13" s="91"/>
      <c r="JRC13" s="89"/>
      <c r="JRE13" s="91"/>
      <c r="JRH13" s="89"/>
      <c r="JRJ13" s="91"/>
      <c r="JRM13" s="89"/>
      <c r="JRO13" s="91"/>
      <c r="JRR13" s="89"/>
      <c r="JRT13" s="91"/>
      <c r="JRW13" s="89"/>
      <c r="JRY13" s="91"/>
      <c r="JSB13" s="89"/>
      <c r="JSD13" s="91"/>
      <c r="JSG13" s="89"/>
      <c r="JSI13" s="91"/>
      <c r="JSL13" s="89"/>
      <c r="JSN13" s="91"/>
      <c r="JSQ13" s="89"/>
      <c r="JSS13" s="91"/>
      <c r="JSV13" s="89"/>
      <c r="JSX13" s="91"/>
      <c r="JTA13" s="89"/>
      <c r="JTC13" s="91"/>
      <c r="JTF13" s="89"/>
      <c r="JTH13" s="91"/>
      <c r="JTK13" s="89"/>
      <c r="JTM13" s="91"/>
      <c r="JTP13" s="89"/>
      <c r="JTR13" s="91"/>
      <c r="JTU13" s="89"/>
      <c r="JTW13" s="91"/>
      <c r="JTZ13" s="89"/>
      <c r="JUB13" s="91"/>
      <c r="JUE13" s="89"/>
      <c r="JUG13" s="91"/>
      <c r="JUJ13" s="89"/>
      <c r="JUL13" s="91"/>
      <c r="JUO13" s="89"/>
      <c r="JUQ13" s="91"/>
      <c r="JUT13" s="89"/>
      <c r="JUV13" s="91"/>
      <c r="JUY13" s="89"/>
      <c r="JVA13" s="91"/>
      <c r="JVD13" s="89"/>
      <c r="JVF13" s="91"/>
      <c r="JVI13" s="89"/>
      <c r="JVK13" s="91"/>
      <c r="JVN13" s="89"/>
      <c r="JVP13" s="91"/>
      <c r="JVS13" s="89"/>
      <c r="JVU13" s="91"/>
      <c r="JVX13" s="89"/>
      <c r="JVZ13" s="91"/>
      <c r="JWC13" s="89"/>
      <c r="JWE13" s="91"/>
      <c r="JWH13" s="89"/>
      <c r="JWJ13" s="91"/>
      <c r="JWM13" s="89"/>
      <c r="JWO13" s="91"/>
      <c r="JWR13" s="89"/>
      <c r="JWT13" s="91"/>
      <c r="JWW13" s="89"/>
      <c r="JWY13" s="91"/>
      <c r="JXB13" s="89"/>
      <c r="JXD13" s="91"/>
      <c r="JXG13" s="89"/>
      <c r="JXI13" s="91"/>
      <c r="JXL13" s="89"/>
      <c r="JXN13" s="91"/>
      <c r="JXQ13" s="89"/>
      <c r="JXS13" s="91"/>
      <c r="JXV13" s="89"/>
      <c r="JXX13" s="91"/>
      <c r="JYA13" s="89"/>
      <c r="JYC13" s="91"/>
      <c r="JYF13" s="89"/>
      <c r="JYH13" s="91"/>
      <c r="JYK13" s="89"/>
      <c r="JYM13" s="91"/>
      <c r="JYP13" s="89"/>
      <c r="JYR13" s="91"/>
      <c r="JYU13" s="89"/>
      <c r="JYW13" s="91"/>
      <c r="JYZ13" s="89"/>
      <c r="JZB13" s="91"/>
      <c r="JZE13" s="89"/>
      <c r="JZG13" s="91"/>
      <c r="JZJ13" s="89"/>
      <c r="JZL13" s="91"/>
      <c r="JZO13" s="89"/>
      <c r="JZQ13" s="91"/>
      <c r="JZT13" s="89"/>
      <c r="JZV13" s="91"/>
      <c r="JZY13" s="89"/>
      <c r="KAA13" s="91"/>
      <c r="KAD13" s="89"/>
      <c r="KAF13" s="91"/>
      <c r="KAI13" s="89"/>
      <c r="KAK13" s="91"/>
      <c r="KAN13" s="89"/>
      <c r="KAP13" s="91"/>
      <c r="KAS13" s="89"/>
      <c r="KAU13" s="91"/>
      <c r="KAX13" s="89"/>
      <c r="KAZ13" s="91"/>
      <c r="KBC13" s="89"/>
      <c r="KBE13" s="91"/>
      <c r="KBH13" s="89"/>
      <c r="KBJ13" s="91"/>
      <c r="KBM13" s="89"/>
      <c r="KBO13" s="91"/>
      <c r="KBR13" s="89"/>
      <c r="KBT13" s="91"/>
      <c r="KBW13" s="89"/>
      <c r="KBY13" s="91"/>
      <c r="KCB13" s="89"/>
      <c r="KCD13" s="91"/>
      <c r="KCG13" s="89"/>
      <c r="KCI13" s="91"/>
      <c r="KCL13" s="89"/>
      <c r="KCN13" s="91"/>
      <c r="KCQ13" s="89"/>
      <c r="KCS13" s="91"/>
      <c r="KCV13" s="89"/>
      <c r="KCX13" s="91"/>
      <c r="KDA13" s="89"/>
      <c r="KDC13" s="91"/>
      <c r="KDF13" s="89"/>
      <c r="KDH13" s="91"/>
      <c r="KDK13" s="89"/>
      <c r="KDM13" s="91"/>
      <c r="KDP13" s="89"/>
      <c r="KDR13" s="91"/>
      <c r="KDU13" s="89"/>
      <c r="KDW13" s="91"/>
      <c r="KDZ13" s="89"/>
      <c r="KEB13" s="91"/>
      <c r="KEE13" s="89"/>
      <c r="KEG13" s="91"/>
      <c r="KEJ13" s="89"/>
      <c r="KEL13" s="91"/>
      <c r="KEO13" s="89"/>
      <c r="KEQ13" s="91"/>
      <c r="KET13" s="89"/>
      <c r="KEV13" s="91"/>
      <c r="KEY13" s="89"/>
      <c r="KFA13" s="91"/>
      <c r="KFD13" s="89"/>
      <c r="KFF13" s="91"/>
      <c r="KFI13" s="89"/>
      <c r="KFK13" s="91"/>
      <c r="KFN13" s="89"/>
      <c r="KFP13" s="91"/>
      <c r="KFS13" s="89"/>
      <c r="KFU13" s="91"/>
      <c r="KFX13" s="89"/>
      <c r="KFZ13" s="91"/>
      <c r="KGC13" s="89"/>
      <c r="KGE13" s="91"/>
      <c r="KGH13" s="89"/>
      <c r="KGJ13" s="91"/>
      <c r="KGM13" s="89"/>
      <c r="KGO13" s="91"/>
      <c r="KGR13" s="89"/>
      <c r="KGT13" s="91"/>
      <c r="KGW13" s="89"/>
      <c r="KGY13" s="91"/>
      <c r="KHB13" s="89"/>
      <c r="KHD13" s="91"/>
      <c r="KHG13" s="89"/>
      <c r="KHI13" s="91"/>
      <c r="KHL13" s="89"/>
      <c r="KHN13" s="91"/>
      <c r="KHQ13" s="89"/>
      <c r="KHS13" s="91"/>
      <c r="KHV13" s="89"/>
      <c r="KHX13" s="91"/>
      <c r="KIA13" s="89"/>
      <c r="KIC13" s="91"/>
      <c r="KIF13" s="89"/>
      <c r="KIH13" s="91"/>
      <c r="KIK13" s="89"/>
      <c r="KIM13" s="91"/>
      <c r="KIP13" s="89"/>
      <c r="KIR13" s="91"/>
      <c r="KIU13" s="89"/>
      <c r="KIW13" s="91"/>
      <c r="KIZ13" s="89"/>
      <c r="KJB13" s="91"/>
      <c r="KJE13" s="89"/>
      <c r="KJG13" s="91"/>
      <c r="KJJ13" s="89"/>
      <c r="KJL13" s="91"/>
      <c r="KJO13" s="89"/>
      <c r="KJQ13" s="91"/>
      <c r="KJT13" s="89"/>
      <c r="KJV13" s="91"/>
      <c r="KJY13" s="89"/>
      <c r="KKA13" s="91"/>
      <c r="KKD13" s="89"/>
      <c r="KKF13" s="91"/>
      <c r="KKI13" s="89"/>
      <c r="KKK13" s="91"/>
      <c r="KKN13" s="89"/>
      <c r="KKP13" s="91"/>
      <c r="KKS13" s="89"/>
      <c r="KKU13" s="91"/>
      <c r="KKX13" s="89"/>
      <c r="KKZ13" s="91"/>
      <c r="KLC13" s="89"/>
      <c r="KLE13" s="91"/>
      <c r="KLH13" s="89"/>
      <c r="KLJ13" s="91"/>
      <c r="KLM13" s="89"/>
      <c r="KLO13" s="91"/>
      <c r="KLR13" s="89"/>
      <c r="KLT13" s="91"/>
      <c r="KLW13" s="89"/>
      <c r="KLY13" s="91"/>
      <c r="KMB13" s="89"/>
      <c r="KMD13" s="91"/>
      <c r="KMG13" s="89"/>
      <c r="KMI13" s="91"/>
      <c r="KML13" s="89"/>
      <c r="KMN13" s="91"/>
      <c r="KMQ13" s="89"/>
      <c r="KMS13" s="91"/>
      <c r="KMV13" s="89"/>
      <c r="KMX13" s="91"/>
      <c r="KNA13" s="89"/>
      <c r="KNC13" s="91"/>
      <c r="KNF13" s="89"/>
      <c r="KNH13" s="91"/>
      <c r="KNK13" s="89"/>
      <c r="KNM13" s="91"/>
      <c r="KNP13" s="89"/>
      <c r="KNR13" s="91"/>
      <c r="KNU13" s="89"/>
      <c r="KNW13" s="91"/>
      <c r="KNZ13" s="89"/>
      <c r="KOB13" s="91"/>
      <c r="KOE13" s="89"/>
      <c r="KOG13" s="91"/>
      <c r="KOJ13" s="89"/>
      <c r="KOL13" s="91"/>
      <c r="KOO13" s="89"/>
      <c r="KOQ13" s="91"/>
      <c r="KOT13" s="89"/>
      <c r="KOV13" s="91"/>
      <c r="KOY13" s="89"/>
      <c r="KPA13" s="91"/>
      <c r="KPD13" s="89"/>
      <c r="KPF13" s="91"/>
      <c r="KPI13" s="89"/>
      <c r="KPK13" s="91"/>
      <c r="KPN13" s="89"/>
      <c r="KPP13" s="91"/>
      <c r="KPS13" s="89"/>
      <c r="KPU13" s="91"/>
      <c r="KPX13" s="89"/>
      <c r="KPZ13" s="91"/>
      <c r="KQC13" s="89"/>
      <c r="KQE13" s="91"/>
      <c r="KQH13" s="89"/>
      <c r="KQJ13" s="91"/>
      <c r="KQM13" s="89"/>
      <c r="KQO13" s="91"/>
      <c r="KQR13" s="89"/>
      <c r="KQT13" s="91"/>
      <c r="KQW13" s="89"/>
      <c r="KQY13" s="91"/>
      <c r="KRB13" s="89"/>
      <c r="KRD13" s="91"/>
      <c r="KRG13" s="89"/>
      <c r="KRI13" s="91"/>
      <c r="KRL13" s="89"/>
      <c r="KRN13" s="91"/>
      <c r="KRQ13" s="89"/>
      <c r="KRS13" s="91"/>
      <c r="KRV13" s="89"/>
      <c r="KRX13" s="91"/>
      <c r="KSA13" s="89"/>
      <c r="KSC13" s="91"/>
      <c r="KSF13" s="89"/>
      <c r="KSH13" s="91"/>
      <c r="KSK13" s="89"/>
      <c r="KSM13" s="91"/>
      <c r="KSP13" s="89"/>
      <c r="KSR13" s="91"/>
      <c r="KSU13" s="89"/>
      <c r="KSW13" s="91"/>
      <c r="KSZ13" s="89"/>
      <c r="KTB13" s="91"/>
      <c r="KTE13" s="89"/>
      <c r="KTG13" s="91"/>
      <c r="KTJ13" s="89"/>
      <c r="KTL13" s="91"/>
      <c r="KTO13" s="89"/>
      <c r="KTQ13" s="91"/>
      <c r="KTT13" s="89"/>
      <c r="KTV13" s="91"/>
      <c r="KTY13" s="89"/>
      <c r="KUA13" s="91"/>
      <c r="KUD13" s="89"/>
      <c r="KUF13" s="91"/>
      <c r="KUI13" s="89"/>
      <c r="KUK13" s="91"/>
      <c r="KUN13" s="89"/>
      <c r="KUP13" s="91"/>
      <c r="KUS13" s="89"/>
      <c r="KUU13" s="91"/>
      <c r="KUX13" s="89"/>
      <c r="KUZ13" s="91"/>
      <c r="KVC13" s="89"/>
      <c r="KVE13" s="91"/>
      <c r="KVH13" s="89"/>
      <c r="KVJ13" s="91"/>
      <c r="KVM13" s="89"/>
      <c r="KVO13" s="91"/>
      <c r="KVR13" s="89"/>
      <c r="KVT13" s="91"/>
      <c r="KVW13" s="89"/>
      <c r="KVY13" s="91"/>
      <c r="KWB13" s="89"/>
      <c r="KWD13" s="91"/>
      <c r="KWG13" s="89"/>
      <c r="KWI13" s="91"/>
      <c r="KWL13" s="89"/>
      <c r="KWN13" s="91"/>
      <c r="KWQ13" s="89"/>
      <c r="KWS13" s="91"/>
      <c r="KWV13" s="89"/>
      <c r="KWX13" s="91"/>
      <c r="KXA13" s="89"/>
      <c r="KXC13" s="91"/>
      <c r="KXF13" s="89"/>
      <c r="KXH13" s="91"/>
      <c r="KXK13" s="89"/>
      <c r="KXM13" s="91"/>
      <c r="KXP13" s="89"/>
      <c r="KXR13" s="91"/>
      <c r="KXU13" s="89"/>
      <c r="KXW13" s="91"/>
      <c r="KXZ13" s="89"/>
      <c r="KYB13" s="91"/>
      <c r="KYE13" s="89"/>
      <c r="KYG13" s="91"/>
      <c r="KYJ13" s="89"/>
      <c r="KYL13" s="91"/>
      <c r="KYO13" s="89"/>
      <c r="KYQ13" s="91"/>
      <c r="KYT13" s="89"/>
      <c r="KYV13" s="91"/>
      <c r="KYY13" s="89"/>
      <c r="KZA13" s="91"/>
      <c r="KZD13" s="89"/>
      <c r="KZF13" s="91"/>
      <c r="KZI13" s="89"/>
      <c r="KZK13" s="91"/>
      <c r="KZN13" s="89"/>
      <c r="KZP13" s="91"/>
      <c r="KZS13" s="89"/>
      <c r="KZU13" s="91"/>
      <c r="KZX13" s="89"/>
      <c r="KZZ13" s="91"/>
      <c r="LAC13" s="89"/>
      <c r="LAE13" s="91"/>
      <c r="LAH13" s="89"/>
      <c r="LAJ13" s="91"/>
      <c r="LAM13" s="89"/>
      <c r="LAO13" s="91"/>
      <c r="LAR13" s="89"/>
      <c r="LAT13" s="91"/>
      <c r="LAW13" s="89"/>
      <c r="LAY13" s="91"/>
      <c r="LBB13" s="89"/>
      <c r="LBD13" s="91"/>
      <c r="LBG13" s="89"/>
      <c r="LBI13" s="91"/>
      <c r="LBL13" s="89"/>
      <c r="LBN13" s="91"/>
      <c r="LBQ13" s="89"/>
      <c r="LBS13" s="91"/>
      <c r="LBV13" s="89"/>
      <c r="LBX13" s="91"/>
      <c r="LCA13" s="89"/>
      <c r="LCC13" s="91"/>
      <c r="LCF13" s="89"/>
      <c r="LCH13" s="91"/>
      <c r="LCK13" s="89"/>
      <c r="LCM13" s="91"/>
      <c r="LCP13" s="89"/>
      <c r="LCR13" s="91"/>
      <c r="LCU13" s="89"/>
      <c r="LCW13" s="91"/>
      <c r="LCZ13" s="89"/>
      <c r="LDB13" s="91"/>
      <c r="LDE13" s="89"/>
      <c r="LDG13" s="91"/>
      <c r="LDJ13" s="89"/>
      <c r="LDL13" s="91"/>
      <c r="LDO13" s="89"/>
      <c r="LDQ13" s="91"/>
      <c r="LDT13" s="89"/>
      <c r="LDV13" s="91"/>
      <c r="LDY13" s="89"/>
      <c r="LEA13" s="91"/>
      <c r="LED13" s="89"/>
      <c r="LEF13" s="91"/>
      <c r="LEI13" s="89"/>
      <c r="LEK13" s="91"/>
      <c r="LEN13" s="89"/>
      <c r="LEP13" s="91"/>
      <c r="LES13" s="89"/>
      <c r="LEU13" s="91"/>
      <c r="LEX13" s="89"/>
      <c r="LEZ13" s="91"/>
      <c r="LFC13" s="89"/>
      <c r="LFE13" s="91"/>
      <c r="LFH13" s="89"/>
      <c r="LFJ13" s="91"/>
      <c r="LFM13" s="89"/>
      <c r="LFO13" s="91"/>
      <c r="LFR13" s="89"/>
      <c r="LFT13" s="91"/>
      <c r="LFW13" s="89"/>
      <c r="LFY13" s="91"/>
      <c r="LGB13" s="89"/>
      <c r="LGD13" s="91"/>
      <c r="LGG13" s="89"/>
      <c r="LGI13" s="91"/>
      <c r="LGL13" s="89"/>
      <c r="LGN13" s="91"/>
      <c r="LGQ13" s="89"/>
      <c r="LGS13" s="91"/>
      <c r="LGV13" s="89"/>
      <c r="LGX13" s="91"/>
      <c r="LHA13" s="89"/>
      <c r="LHC13" s="91"/>
      <c r="LHF13" s="89"/>
      <c r="LHH13" s="91"/>
      <c r="LHK13" s="89"/>
      <c r="LHM13" s="91"/>
      <c r="LHP13" s="89"/>
      <c r="LHR13" s="91"/>
      <c r="LHU13" s="89"/>
      <c r="LHW13" s="91"/>
      <c r="LHZ13" s="89"/>
      <c r="LIB13" s="91"/>
      <c r="LIE13" s="89"/>
      <c r="LIG13" s="91"/>
      <c r="LIJ13" s="89"/>
      <c r="LIL13" s="91"/>
      <c r="LIO13" s="89"/>
      <c r="LIQ13" s="91"/>
      <c r="LIT13" s="89"/>
      <c r="LIV13" s="91"/>
      <c r="LIY13" s="89"/>
      <c r="LJA13" s="91"/>
      <c r="LJD13" s="89"/>
      <c r="LJF13" s="91"/>
      <c r="LJI13" s="89"/>
      <c r="LJK13" s="91"/>
      <c r="LJN13" s="89"/>
      <c r="LJP13" s="91"/>
      <c r="LJS13" s="89"/>
      <c r="LJU13" s="91"/>
      <c r="LJX13" s="89"/>
      <c r="LJZ13" s="91"/>
      <c r="LKC13" s="89"/>
      <c r="LKE13" s="91"/>
      <c r="LKH13" s="89"/>
      <c r="LKJ13" s="91"/>
      <c r="LKM13" s="89"/>
      <c r="LKO13" s="91"/>
      <c r="LKR13" s="89"/>
      <c r="LKT13" s="91"/>
      <c r="LKW13" s="89"/>
      <c r="LKY13" s="91"/>
      <c r="LLB13" s="89"/>
      <c r="LLD13" s="91"/>
      <c r="LLG13" s="89"/>
      <c r="LLI13" s="91"/>
      <c r="LLL13" s="89"/>
      <c r="LLN13" s="91"/>
      <c r="LLQ13" s="89"/>
      <c r="LLS13" s="91"/>
      <c r="LLV13" s="89"/>
      <c r="LLX13" s="91"/>
      <c r="LMA13" s="89"/>
      <c r="LMC13" s="91"/>
      <c r="LMF13" s="89"/>
      <c r="LMH13" s="91"/>
      <c r="LMK13" s="89"/>
      <c r="LMM13" s="91"/>
      <c r="LMP13" s="89"/>
      <c r="LMR13" s="91"/>
      <c r="LMU13" s="89"/>
      <c r="LMW13" s="91"/>
      <c r="LMZ13" s="89"/>
      <c r="LNB13" s="91"/>
      <c r="LNE13" s="89"/>
      <c r="LNG13" s="91"/>
      <c r="LNJ13" s="89"/>
      <c r="LNL13" s="91"/>
      <c r="LNO13" s="89"/>
      <c r="LNQ13" s="91"/>
      <c r="LNT13" s="89"/>
      <c r="LNV13" s="91"/>
      <c r="LNY13" s="89"/>
      <c r="LOA13" s="91"/>
      <c r="LOD13" s="89"/>
      <c r="LOF13" s="91"/>
      <c r="LOI13" s="89"/>
      <c r="LOK13" s="91"/>
      <c r="LON13" s="89"/>
      <c r="LOP13" s="91"/>
      <c r="LOS13" s="89"/>
      <c r="LOU13" s="91"/>
      <c r="LOX13" s="89"/>
      <c r="LOZ13" s="91"/>
      <c r="LPC13" s="89"/>
      <c r="LPE13" s="91"/>
      <c r="LPH13" s="89"/>
      <c r="LPJ13" s="91"/>
      <c r="LPM13" s="89"/>
      <c r="LPO13" s="91"/>
      <c r="LPR13" s="89"/>
      <c r="LPT13" s="91"/>
      <c r="LPW13" s="89"/>
      <c r="LPY13" s="91"/>
      <c r="LQB13" s="89"/>
      <c r="LQD13" s="91"/>
      <c r="LQG13" s="89"/>
      <c r="LQI13" s="91"/>
      <c r="LQL13" s="89"/>
      <c r="LQN13" s="91"/>
      <c r="LQQ13" s="89"/>
      <c r="LQS13" s="91"/>
      <c r="LQV13" s="89"/>
      <c r="LQX13" s="91"/>
      <c r="LRA13" s="89"/>
      <c r="LRC13" s="91"/>
      <c r="LRF13" s="89"/>
      <c r="LRH13" s="91"/>
      <c r="LRK13" s="89"/>
      <c r="LRM13" s="91"/>
      <c r="LRP13" s="89"/>
      <c r="LRR13" s="91"/>
      <c r="LRU13" s="89"/>
      <c r="LRW13" s="91"/>
      <c r="LRZ13" s="89"/>
      <c r="LSB13" s="91"/>
      <c r="LSE13" s="89"/>
      <c r="LSG13" s="91"/>
      <c r="LSJ13" s="89"/>
      <c r="LSL13" s="91"/>
      <c r="LSO13" s="89"/>
      <c r="LSQ13" s="91"/>
      <c r="LST13" s="89"/>
      <c r="LSV13" s="91"/>
      <c r="LSY13" s="89"/>
      <c r="LTA13" s="91"/>
      <c r="LTD13" s="89"/>
      <c r="LTF13" s="91"/>
      <c r="LTI13" s="89"/>
      <c r="LTK13" s="91"/>
      <c r="LTN13" s="89"/>
      <c r="LTP13" s="91"/>
      <c r="LTS13" s="89"/>
      <c r="LTU13" s="91"/>
      <c r="LTX13" s="89"/>
      <c r="LTZ13" s="91"/>
      <c r="LUC13" s="89"/>
      <c r="LUE13" s="91"/>
      <c r="LUH13" s="89"/>
      <c r="LUJ13" s="91"/>
      <c r="LUM13" s="89"/>
      <c r="LUO13" s="91"/>
      <c r="LUR13" s="89"/>
      <c r="LUT13" s="91"/>
      <c r="LUW13" s="89"/>
      <c r="LUY13" s="91"/>
      <c r="LVB13" s="89"/>
      <c r="LVD13" s="91"/>
      <c r="LVG13" s="89"/>
      <c r="LVI13" s="91"/>
      <c r="LVL13" s="89"/>
      <c r="LVN13" s="91"/>
      <c r="LVQ13" s="89"/>
      <c r="LVS13" s="91"/>
      <c r="LVV13" s="89"/>
      <c r="LVX13" s="91"/>
      <c r="LWA13" s="89"/>
      <c r="LWC13" s="91"/>
      <c r="LWF13" s="89"/>
      <c r="LWH13" s="91"/>
      <c r="LWK13" s="89"/>
      <c r="LWM13" s="91"/>
      <c r="LWP13" s="89"/>
      <c r="LWR13" s="91"/>
      <c r="LWU13" s="89"/>
      <c r="LWW13" s="91"/>
      <c r="LWZ13" s="89"/>
      <c r="LXB13" s="91"/>
      <c r="LXE13" s="89"/>
      <c r="LXG13" s="91"/>
      <c r="LXJ13" s="89"/>
      <c r="LXL13" s="91"/>
      <c r="LXO13" s="89"/>
      <c r="LXQ13" s="91"/>
      <c r="LXT13" s="89"/>
      <c r="LXV13" s="91"/>
      <c r="LXY13" s="89"/>
      <c r="LYA13" s="91"/>
      <c r="LYD13" s="89"/>
      <c r="LYF13" s="91"/>
      <c r="LYI13" s="89"/>
      <c r="LYK13" s="91"/>
      <c r="LYN13" s="89"/>
      <c r="LYP13" s="91"/>
      <c r="LYS13" s="89"/>
      <c r="LYU13" s="91"/>
      <c r="LYX13" s="89"/>
      <c r="LYZ13" s="91"/>
      <c r="LZC13" s="89"/>
      <c r="LZE13" s="91"/>
      <c r="LZH13" s="89"/>
      <c r="LZJ13" s="91"/>
      <c r="LZM13" s="89"/>
      <c r="LZO13" s="91"/>
      <c r="LZR13" s="89"/>
      <c r="LZT13" s="91"/>
      <c r="LZW13" s="89"/>
      <c r="LZY13" s="91"/>
      <c r="MAB13" s="89"/>
      <c r="MAD13" s="91"/>
      <c r="MAG13" s="89"/>
      <c r="MAI13" s="91"/>
      <c r="MAL13" s="89"/>
      <c r="MAN13" s="91"/>
      <c r="MAQ13" s="89"/>
      <c r="MAS13" s="91"/>
      <c r="MAV13" s="89"/>
      <c r="MAX13" s="91"/>
      <c r="MBA13" s="89"/>
      <c r="MBC13" s="91"/>
      <c r="MBF13" s="89"/>
      <c r="MBH13" s="91"/>
      <c r="MBK13" s="89"/>
      <c r="MBM13" s="91"/>
      <c r="MBP13" s="89"/>
      <c r="MBR13" s="91"/>
      <c r="MBU13" s="89"/>
      <c r="MBW13" s="91"/>
      <c r="MBZ13" s="89"/>
      <c r="MCB13" s="91"/>
      <c r="MCE13" s="89"/>
      <c r="MCG13" s="91"/>
      <c r="MCJ13" s="89"/>
      <c r="MCL13" s="91"/>
      <c r="MCO13" s="89"/>
      <c r="MCQ13" s="91"/>
      <c r="MCT13" s="89"/>
      <c r="MCV13" s="91"/>
      <c r="MCY13" s="89"/>
      <c r="MDA13" s="91"/>
      <c r="MDD13" s="89"/>
      <c r="MDF13" s="91"/>
      <c r="MDI13" s="89"/>
      <c r="MDK13" s="91"/>
      <c r="MDN13" s="89"/>
      <c r="MDP13" s="91"/>
      <c r="MDS13" s="89"/>
      <c r="MDU13" s="91"/>
      <c r="MDX13" s="89"/>
      <c r="MDZ13" s="91"/>
      <c r="MEC13" s="89"/>
      <c r="MEE13" s="91"/>
      <c r="MEH13" s="89"/>
      <c r="MEJ13" s="91"/>
      <c r="MEM13" s="89"/>
      <c r="MEO13" s="91"/>
      <c r="MER13" s="89"/>
      <c r="MET13" s="91"/>
      <c r="MEW13" s="89"/>
      <c r="MEY13" s="91"/>
      <c r="MFB13" s="89"/>
      <c r="MFD13" s="91"/>
      <c r="MFG13" s="89"/>
      <c r="MFI13" s="91"/>
      <c r="MFL13" s="89"/>
      <c r="MFN13" s="91"/>
      <c r="MFQ13" s="89"/>
      <c r="MFS13" s="91"/>
      <c r="MFV13" s="89"/>
      <c r="MFX13" s="91"/>
      <c r="MGA13" s="89"/>
      <c r="MGC13" s="91"/>
      <c r="MGF13" s="89"/>
      <c r="MGH13" s="91"/>
      <c r="MGK13" s="89"/>
      <c r="MGM13" s="91"/>
      <c r="MGP13" s="89"/>
      <c r="MGR13" s="91"/>
      <c r="MGU13" s="89"/>
      <c r="MGW13" s="91"/>
      <c r="MGZ13" s="89"/>
      <c r="MHB13" s="91"/>
      <c r="MHE13" s="89"/>
      <c r="MHG13" s="91"/>
      <c r="MHJ13" s="89"/>
      <c r="MHL13" s="91"/>
      <c r="MHO13" s="89"/>
      <c r="MHQ13" s="91"/>
      <c r="MHT13" s="89"/>
      <c r="MHV13" s="91"/>
      <c r="MHY13" s="89"/>
      <c r="MIA13" s="91"/>
      <c r="MID13" s="89"/>
      <c r="MIF13" s="91"/>
      <c r="MII13" s="89"/>
      <c r="MIK13" s="91"/>
      <c r="MIN13" s="89"/>
      <c r="MIP13" s="91"/>
      <c r="MIS13" s="89"/>
      <c r="MIU13" s="91"/>
      <c r="MIX13" s="89"/>
      <c r="MIZ13" s="91"/>
      <c r="MJC13" s="89"/>
      <c r="MJE13" s="91"/>
      <c r="MJH13" s="89"/>
      <c r="MJJ13" s="91"/>
      <c r="MJM13" s="89"/>
      <c r="MJO13" s="91"/>
      <c r="MJR13" s="89"/>
      <c r="MJT13" s="91"/>
      <c r="MJW13" s="89"/>
      <c r="MJY13" s="91"/>
      <c r="MKB13" s="89"/>
      <c r="MKD13" s="91"/>
      <c r="MKG13" s="89"/>
      <c r="MKI13" s="91"/>
      <c r="MKL13" s="89"/>
      <c r="MKN13" s="91"/>
      <c r="MKQ13" s="89"/>
      <c r="MKS13" s="91"/>
      <c r="MKV13" s="89"/>
      <c r="MKX13" s="91"/>
      <c r="MLA13" s="89"/>
      <c r="MLC13" s="91"/>
      <c r="MLF13" s="89"/>
      <c r="MLH13" s="91"/>
      <c r="MLK13" s="89"/>
      <c r="MLM13" s="91"/>
      <c r="MLP13" s="89"/>
      <c r="MLR13" s="91"/>
      <c r="MLU13" s="89"/>
      <c r="MLW13" s="91"/>
      <c r="MLZ13" s="89"/>
      <c r="MMB13" s="91"/>
      <c r="MME13" s="89"/>
      <c r="MMG13" s="91"/>
      <c r="MMJ13" s="89"/>
      <c r="MML13" s="91"/>
      <c r="MMO13" s="89"/>
      <c r="MMQ13" s="91"/>
      <c r="MMT13" s="89"/>
      <c r="MMV13" s="91"/>
      <c r="MMY13" s="89"/>
      <c r="MNA13" s="91"/>
      <c r="MND13" s="89"/>
      <c r="MNF13" s="91"/>
      <c r="MNI13" s="89"/>
      <c r="MNK13" s="91"/>
      <c r="MNN13" s="89"/>
      <c r="MNP13" s="91"/>
      <c r="MNS13" s="89"/>
      <c r="MNU13" s="91"/>
      <c r="MNX13" s="89"/>
      <c r="MNZ13" s="91"/>
      <c r="MOC13" s="89"/>
      <c r="MOE13" s="91"/>
      <c r="MOH13" s="89"/>
      <c r="MOJ13" s="91"/>
      <c r="MOM13" s="89"/>
      <c r="MOO13" s="91"/>
      <c r="MOR13" s="89"/>
      <c r="MOT13" s="91"/>
      <c r="MOW13" s="89"/>
      <c r="MOY13" s="91"/>
      <c r="MPB13" s="89"/>
      <c r="MPD13" s="91"/>
      <c r="MPG13" s="89"/>
      <c r="MPI13" s="91"/>
      <c r="MPL13" s="89"/>
      <c r="MPN13" s="91"/>
      <c r="MPQ13" s="89"/>
      <c r="MPS13" s="91"/>
      <c r="MPV13" s="89"/>
      <c r="MPX13" s="91"/>
      <c r="MQA13" s="89"/>
      <c r="MQC13" s="91"/>
      <c r="MQF13" s="89"/>
      <c r="MQH13" s="91"/>
      <c r="MQK13" s="89"/>
      <c r="MQM13" s="91"/>
      <c r="MQP13" s="89"/>
      <c r="MQR13" s="91"/>
      <c r="MQU13" s="89"/>
      <c r="MQW13" s="91"/>
      <c r="MQZ13" s="89"/>
      <c r="MRB13" s="91"/>
      <c r="MRE13" s="89"/>
      <c r="MRG13" s="91"/>
      <c r="MRJ13" s="89"/>
      <c r="MRL13" s="91"/>
      <c r="MRO13" s="89"/>
      <c r="MRQ13" s="91"/>
      <c r="MRT13" s="89"/>
      <c r="MRV13" s="91"/>
      <c r="MRY13" s="89"/>
      <c r="MSA13" s="91"/>
      <c r="MSD13" s="89"/>
      <c r="MSF13" s="91"/>
      <c r="MSI13" s="89"/>
      <c r="MSK13" s="91"/>
      <c r="MSN13" s="89"/>
      <c r="MSP13" s="91"/>
      <c r="MSS13" s="89"/>
      <c r="MSU13" s="91"/>
      <c r="MSX13" s="89"/>
      <c r="MSZ13" s="91"/>
      <c r="MTC13" s="89"/>
      <c r="MTE13" s="91"/>
      <c r="MTH13" s="89"/>
      <c r="MTJ13" s="91"/>
      <c r="MTM13" s="89"/>
      <c r="MTO13" s="91"/>
      <c r="MTR13" s="89"/>
      <c r="MTT13" s="91"/>
      <c r="MTW13" s="89"/>
      <c r="MTY13" s="91"/>
      <c r="MUB13" s="89"/>
      <c r="MUD13" s="91"/>
      <c r="MUG13" s="89"/>
      <c r="MUI13" s="91"/>
      <c r="MUL13" s="89"/>
      <c r="MUN13" s="91"/>
      <c r="MUQ13" s="89"/>
      <c r="MUS13" s="91"/>
      <c r="MUV13" s="89"/>
      <c r="MUX13" s="91"/>
      <c r="MVA13" s="89"/>
      <c r="MVC13" s="91"/>
      <c r="MVF13" s="89"/>
      <c r="MVH13" s="91"/>
      <c r="MVK13" s="89"/>
      <c r="MVM13" s="91"/>
      <c r="MVP13" s="89"/>
      <c r="MVR13" s="91"/>
      <c r="MVU13" s="89"/>
      <c r="MVW13" s="91"/>
      <c r="MVZ13" s="89"/>
      <c r="MWB13" s="91"/>
      <c r="MWE13" s="89"/>
      <c r="MWG13" s="91"/>
      <c r="MWJ13" s="89"/>
      <c r="MWL13" s="91"/>
      <c r="MWO13" s="89"/>
      <c r="MWQ13" s="91"/>
      <c r="MWT13" s="89"/>
      <c r="MWV13" s="91"/>
      <c r="MWY13" s="89"/>
      <c r="MXA13" s="91"/>
      <c r="MXD13" s="89"/>
      <c r="MXF13" s="91"/>
      <c r="MXI13" s="89"/>
      <c r="MXK13" s="91"/>
      <c r="MXN13" s="89"/>
      <c r="MXP13" s="91"/>
      <c r="MXS13" s="89"/>
      <c r="MXU13" s="91"/>
      <c r="MXX13" s="89"/>
      <c r="MXZ13" s="91"/>
      <c r="MYC13" s="89"/>
      <c r="MYE13" s="91"/>
      <c r="MYH13" s="89"/>
      <c r="MYJ13" s="91"/>
      <c r="MYM13" s="89"/>
      <c r="MYO13" s="91"/>
      <c r="MYR13" s="89"/>
      <c r="MYT13" s="91"/>
      <c r="MYW13" s="89"/>
      <c r="MYY13" s="91"/>
      <c r="MZB13" s="89"/>
      <c r="MZD13" s="91"/>
      <c r="MZG13" s="89"/>
      <c r="MZI13" s="91"/>
      <c r="MZL13" s="89"/>
      <c r="MZN13" s="91"/>
      <c r="MZQ13" s="89"/>
      <c r="MZS13" s="91"/>
      <c r="MZV13" s="89"/>
      <c r="MZX13" s="91"/>
      <c r="NAA13" s="89"/>
      <c r="NAC13" s="91"/>
      <c r="NAF13" s="89"/>
      <c r="NAH13" s="91"/>
      <c r="NAK13" s="89"/>
      <c r="NAM13" s="91"/>
      <c r="NAP13" s="89"/>
      <c r="NAR13" s="91"/>
      <c r="NAU13" s="89"/>
      <c r="NAW13" s="91"/>
      <c r="NAZ13" s="89"/>
      <c r="NBB13" s="91"/>
      <c r="NBE13" s="89"/>
      <c r="NBG13" s="91"/>
      <c r="NBJ13" s="89"/>
      <c r="NBL13" s="91"/>
      <c r="NBO13" s="89"/>
      <c r="NBQ13" s="91"/>
      <c r="NBT13" s="89"/>
      <c r="NBV13" s="91"/>
      <c r="NBY13" s="89"/>
      <c r="NCA13" s="91"/>
      <c r="NCD13" s="89"/>
      <c r="NCF13" s="91"/>
      <c r="NCI13" s="89"/>
      <c r="NCK13" s="91"/>
      <c r="NCN13" s="89"/>
      <c r="NCP13" s="91"/>
      <c r="NCS13" s="89"/>
      <c r="NCU13" s="91"/>
      <c r="NCX13" s="89"/>
      <c r="NCZ13" s="91"/>
      <c r="NDC13" s="89"/>
      <c r="NDE13" s="91"/>
      <c r="NDH13" s="89"/>
      <c r="NDJ13" s="91"/>
      <c r="NDM13" s="89"/>
      <c r="NDO13" s="91"/>
      <c r="NDR13" s="89"/>
      <c r="NDT13" s="91"/>
      <c r="NDW13" s="89"/>
      <c r="NDY13" s="91"/>
      <c r="NEB13" s="89"/>
      <c r="NED13" s="91"/>
      <c r="NEG13" s="89"/>
      <c r="NEI13" s="91"/>
      <c r="NEL13" s="89"/>
      <c r="NEN13" s="91"/>
      <c r="NEQ13" s="89"/>
      <c r="NES13" s="91"/>
      <c r="NEV13" s="89"/>
      <c r="NEX13" s="91"/>
      <c r="NFA13" s="89"/>
      <c r="NFC13" s="91"/>
      <c r="NFF13" s="89"/>
      <c r="NFH13" s="91"/>
      <c r="NFK13" s="89"/>
      <c r="NFM13" s="91"/>
      <c r="NFP13" s="89"/>
      <c r="NFR13" s="91"/>
      <c r="NFU13" s="89"/>
      <c r="NFW13" s="91"/>
      <c r="NFZ13" s="89"/>
      <c r="NGB13" s="91"/>
      <c r="NGE13" s="89"/>
      <c r="NGG13" s="91"/>
      <c r="NGJ13" s="89"/>
      <c r="NGL13" s="91"/>
      <c r="NGO13" s="89"/>
      <c r="NGQ13" s="91"/>
      <c r="NGT13" s="89"/>
      <c r="NGV13" s="91"/>
      <c r="NGY13" s="89"/>
      <c r="NHA13" s="91"/>
      <c r="NHD13" s="89"/>
      <c r="NHF13" s="91"/>
      <c r="NHI13" s="89"/>
      <c r="NHK13" s="91"/>
      <c r="NHN13" s="89"/>
      <c r="NHP13" s="91"/>
      <c r="NHS13" s="89"/>
      <c r="NHU13" s="91"/>
      <c r="NHX13" s="89"/>
      <c r="NHZ13" s="91"/>
      <c r="NIC13" s="89"/>
      <c r="NIE13" s="91"/>
      <c r="NIH13" s="89"/>
      <c r="NIJ13" s="91"/>
      <c r="NIM13" s="89"/>
      <c r="NIO13" s="91"/>
      <c r="NIR13" s="89"/>
      <c r="NIT13" s="91"/>
      <c r="NIW13" s="89"/>
      <c r="NIY13" s="91"/>
      <c r="NJB13" s="89"/>
      <c r="NJD13" s="91"/>
      <c r="NJG13" s="89"/>
      <c r="NJI13" s="91"/>
      <c r="NJL13" s="89"/>
      <c r="NJN13" s="91"/>
      <c r="NJQ13" s="89"/>
      <c r="NJS13" s="91"/>
      <c r="NJV13" s="89"/>
      <c r="NJX13" s="91"/>
      <c r="NKA13" s="89"/>
      <c r="NKC13" s="91"/>
      <c r="NKF13" s="89"/>
      <c r="NKH13" s="91"/>
      <c r="NKK13" s="89"/>
      <c r="NKM13" s="91"/>
      <c r="NKP13" s="89"/>
      <c r="NKR13" s="91"/>
      <c r="NKU13" s="89"/>
      <c r="NKW13" s="91"/>
      <c r="NKZ13" s="89"/>
      <c r="NLB13" s="91"/>
      <c r="NLE13" s="89"/>
      <c r="NLG13" s="91"/>
      <c r="NLJ13" s="89"/>
      <c r="NLL13" s="91"/>
      <c r="NLO13" s="89"/>
      <c r="NLQ13" s="91"/>
      <c r="NLT13" s="89"/>
      <c r="NLV13" s="91"/>
      <c r="NLY13" s="89"/>
      <c r="NMA13" s="91"/>
      <c r="NMD13" s="89"/>
      <c r="NMF13" s="91"/>
      <c r="NMI13" s="89"/>
      <c r="NMK13" s="91"/>
      <c r="NMN13" s="89"/>
      <c r="NMP13" s="91"/>
      <c r="NMS13" s="89"/>
      <c r="NMU13" s="91"/>
      <c r="NMX13" s="89"/>
      <c r="NMZ13" s="91"/>
      <c r="NNC13" s="89"/>
      <c r="NNE13" s="91"/>
      <c r="NNH13" s="89"/>
      <c r="NNJ13" s="91"/>
      <c r="NNM13" s="89"/>
      <c r="NNO13" s="91"/>
      <c r="NNR13" s="89"/>
      <c r="NNT13" s="91"/>
      <c r="NNW13" s="89"/>
      <c r="NNY13" s="91"/>
      <c r="NOB13" s="89"/>
      <c r="NOD13" s="91"/>
      <c r="NOG13" s="89"/>
      <c r="NOI13" s="91"/>
      <c r="NOL13" s="89"/>
      <c r="NON13" s="91"/>
      <c r="NOQ13" s="89"/>
      <c r="NOS13" s="91"/>
      <c r="NOV13" s="89"/>
      <c r="NOX13" s="91"/>
      <c r="NPA13" s="89"/>
      <c r="NPC13" s="91"/>
      <c r="NPF13" s="89"/>
      <c r="NPH13" s="91"/>
      <c r="NPK13" s="89"/>
      <c r="NPM13" s="91"/>
      <c r="NPP13" s="89"/>
      <c r="NPR13" s="91"/>
      <c r="NPU13" s="89"/>
      <c r="NPW13" s="91"/>
      <c r="NPZ13" s="89"/>
      <c r="NQB13" s="91"/>
      <c r="NQE13" s="89"/>
      <c r="NQG13" s="91"/>
      <c r="NQJ13" s="89"/>
      <c r="NQL13" s="91"/>
      <c r="NQO13" s="89"/>
      <c r="NQQ13" s="91"/>
      <c r="NQT13" s="89"/>
      <c r="NQV13" s="91"/>
      <c r="NQY13" s="89"/>
      <c r="NRA13" s="91"/>
      <c r="NRD13" s="89"/>
      <c r="NRF13" s="91"/>
      <c r="NRI13" s="89"/>
      <c r="NRK13" s="91"/>
      <c r="NRN13" s="89"/>
      <c r="NRP13" s="91"/>
      <c r="NRS13" s="89"/>
      <c r="NRU13" s="91"/>
      <c r="NRX13" s="89"/>
      <c r="NRZ13" s="91"/>
      <c r="NSC13" s="89"/>
      <c r="NSE13" s="91"/>
      <c r="NSH13" s="89"/>
      <c r="NSJ13" s="91"/>
      <c r="NSM13" s="89"/>
      <c r="NSO13" s="91"/>
      <c r="NSR13" s="89"/>
      <c r="NST13" s="91"/>
      <c r="NSW13" s="89"/>
      <c r="NSY13" s="91"/>
      <c r="NTB13" s="89"/>
      <c r="NTD13" s="91"/>
      <c r="NTG13" s="89"/>
      <c r="NTI13" s="91"/>
      <c r="NTL13" s="89"/>
      <c r="NTN13" s="91"/>
      <c r="NTQ13" s="89"/>
      <c r="NTS13" s="91"/>
      <c r="NTV13" s="89"/>
      <c r="NTX13" s="91"/>
      <c r="NUA13" s="89"/>
      <c r="NUC13" s="91"/>
      <c r="NUF13" s="89"/>
      <c r="NUH13" s="91"/>
      <c r="NUK13" s="89"/>
      <c r="NUM13" s="91"/>
      <c r="NUP13" s="89"/>
      <c r="NUR13" s="91"/>
      <c r="NUU13" s="89"/>
      <c r="NUW13" s="91"/>
      <c r="NUZ13" s="89"/>
      <c r="NVB13" s="91"/>
      <c r="NVE13" s="89"/>
      <c r="NVG13" s="91"/>
      <c r="NVJ13" s="89"/>
      <c r="NVL13" s="91"/>
      <c r="NVO13" s="89"/>
      <c r="NVQ13" s="91"/>
      <c r="NVT13" s="89"/>
      <c r="NVV13" s="91"/>
      <c r="NVY13" s="89"/>
      <c r="NWA13" s="91"/>
      <c r="NWD13" s="89"/>
      <c r="NWF13" s="91"/>
      <c r="NWI13" s="89"/>
      <c r="NWK13" s="91"/>
      <c r="NWN13" s="89"/>
      <c r="NWP13" s="91"/>
      <c r="NWS13" s="89"/>
      <c r="NWU13" s="91"/>
      <c r="NWX13" s="89"/>
      <c r="NWZ13" s="91"/>
      <c r="NXC13" s="89"/>
      <c r="NXE13" s="91"/>
      <c r="NXH13" s="89"/>
      <c r="NXJ13" s="91"/>
      <c r="NXM13" s="89"/>
      <c r="NXO13" s="91"/>
      <c r="NXR13" s="89"/>
      <c r="NXT13" s="91"/>
      <c r="NXW13" s="89"/>
      <c r="NXY13" s="91"/>
      <c r="NYB13" s="89"/>
      <c r="NYD13" s="91"/>
      <c r="NYG13" s="89"/>
      <c r="NYI13" s="91"/>
      <c r="NYL13" s="89"/>
      <c r="NYN13" s="91"/>
      <c r="NYQ13" s="89"/>
      <c r="NYS13" s="91"/>
      <c r="NYV13" s="89"/>
      <c r="NYX13" s="91"/>
      <c r="NZA13" s="89"/>
      <c r="NZC13" s="91"/>
      <c r="NZF13" s="89"/>
      <c r="NZH13" s="91"/>
      <c r="NZK13" s="89"/>
      <c r="NZM13" s="91"/>
      <c r="NZP13" s="89"/>
      <c r="NZR13" s="91"/>
      <c r="NZU13" s="89"/>
      <c r="NZW13" s="91"/>
      <c r="NZZ13" s="89"/>
      <c r="OAB13" s="91"/>
      <c r="OAE13" s="89"/>
      <c r="OAG13" s="91"/>
      <c r="OAJ13" s="89"/>
      <c r="OAL13" s="91"/>
      <c r="OAO13" s="89"/>
      <c r="OAQ13" s="91"/>
      <c r="OAT13" s="89"/>
      <c r="OAV13" s="91"/>
      <c r="OAY13" s="89"/>
      <c r="OBA13" s="91"/>
      <c r="OBD13" s="89"/>
      <c r="OBF13" s="91"/>
      <c r="OBI13" s="89"/>
      <c r="OBK13" s="91"/>
      <c r="OBN13" s="89"/>
      <c r="OBP13" s="91"/>
      <c r="OBS13" s="89"/>
      <c r="OBU13" s="91"/>
      <c r="OBX13" s="89"/>
      <c r="OBZ13" s="91"/>
      <c r="OCC13" s="89"/>
      <c r="OCE13" s="91"/>
      <c r="OCH13" s="89"/>
      <c r="OCJ13" s="91"/>
      <c r="OCM13" s="89"/>
      <c r="OCO13" s="91"/>
      <c r="OCR13" s="89"/>
      <c r="OCT13" s="91"/>
      <c r="OCW13" s="89"/>
      <c r="OCY13" s="91"/>
      <c r="ODB13" s="89"/>
      <c r="ODD13" s="91"/>
      <c r="ODG13" s="89"/>
      <c r="ODI13" s="91"/>
      <c r="ODL13" s="89"/>
      <c r="ODN13" s="91"/>
      <c r="ODQ13" s="89"/>
      <c r="ODS13" s="91"/>
      <c r="ODV13" s="89"/>
      <c r="ODX13" s="91"/>
      <c r="OEA13" s="89"/>
      <c r="OEC13" s="91"/>
      <c r="OEF13" s="89"/>
      <c r="OEH13" s="91"/>
      <c r="OEK13" s="89"/>
      <c r="OEM13" s="91"/>
      <c r="OEP13" s="89"/>
      <c r="OER13" s="91"/>
      <c r="OEU13" s="89"/>
      <c r="OEW13" s="91"/>
      <c r="OEZ13" s="89"/>
      <c r="OFB13" s="91"/>
      <c r="OFE13" s="89"/>
      <c r="OFG13" s="91"/>
      <c r="OFJ13" s="89"/>
      <c r="OFL13" s="91"/>
      <c r="OFO13" s="89"/>
      <c r="OFQ13" s="91"/>
      <c r="OFT13" s="89"/>
      <c r="OFV13" s="91"/>
      <c r="OFY13" s="89"/>
      <c r="OGA13" s="91"/>
      <c r="OGD13" s="89"/>
      <c r="OGF13" s="91"/>
      <c r="OGI13" s="89"/>
      <c r="OGK13" s="91"/>
      <c r="OGN13" s="89"/>
      <c r="OGP13" s="91"/>
      <c r="OGS13" s="89"/>
      <c r="OGU13" s="91"/>
      <c r="OGX13" s="89"/>
      <c r="OGZ13" s="91"/>
      <c r="OHC13" s="89"/>
      <c r="OHE13" s="91"/>
      <c r="OHH13" s="89"/>
      <c r="OHJ13" s="91"/>
      <c r="OHM13" s="89"/>
      <c r="OHO13" s="91"/>
      <c r="OHR13" s="89"/>
      <c r="OHT13" s="91"/>
      <c r="OHW13" s="89"/>
      <c r="OHY13" s="91"/>
      <c r="OIB13" s="89"/>
      <c r="OID13" s="91"/>
      <c r="OIG13" s="89"/>
      <c r="OII13" s="91"/>
      <c r="OIL13" s="89"/>
      <c r="OIN13" s="91"/>
      <c r="OIQ13" s="89"/>
      <c r="OIS13" s="91"/>
      <c r="OIV13" s="89"/>
      <c r="OIX13" s="91"/>
      <c r="OJA13" s="89"/>
      <c r="OJC13" s="91"/>
      <c r="OJF13" s="89"/>
      <c r="OJH13" s="91"/>
      <c r="OJK13" s="89"/>
      <c r="OJM13" s="91"/>
      <c r="OJP13" s="89"/>
      <c r="OJR13" s="91"/>
      <c r="OJU13" s="89"/>
      <c r="OJW13" s="91"/>
      <c r="OJZ13" s="89"/>
      <c r="OKB13" s="91"/>
      <c r="OKE13" s="89"/>
      <c r="OKG13" s="91"/>
      <c r="OKJ13" s="89"/>
      <c r="OKL13" s="91"/>
      <c r="OKO13" s="89"/>
      <c r="OKQ13" s="91"/>
      <c r="OKT13" s="89"/>
      <c r="OKV13" s="91"/>
      <c r="OKY13" s="89"/>
      <c r="OLA13" s="91"/>
      <c r="OLD13" s="89"/>
      <c r="OLF13" s="91"/>
      <c r="OLI13" s="89"/>
      <c r="OLK13" s="91"/>
      <c r="OLN13" s="89"/>
      <c r="OLP13" s="91"/>
      <c r="OLS13" s="89"/>
      <c r="OLU13" s="91"/>
      <c r="OLX13" s="89"/>
      <c r="OLZ13" s="91"/>
      <c r="OMC13" s="89"/>
      <c r="OME13" s="91"/>
      <c r="OMH13" s="89"/>
      <c r="OMJ13" s="91"/>
      <c r="OMM13" s="89"/>
      <c r="OMO13" s="91"/>
      <c r="OMR13" s="89"/>
      <c r="OMT13" s="91"/>
      <c r="OMW13" s="89"/>
      <c r="OMY13" s="91"/>
      <c r="ONB13" s="89"/>
      <c r="OND13" s="91"/>
      <c r="ONG13" s="89"/>
      <c r="ONI13" s="91"/>
      <c r="ONL13" s="89"/>
      <c r="ONN13" s="91"/>
      <c r="ONQ13" s="89"/>
      <c r="ONS13" s="91"/>
      <c r="ONV13" s="89"/>
      <c r="ONX13" s="91"/>
      <c r="OOA13" s="89"/>
      <c r="OOC13" s="91"/>
      <c r="OOF13" s="89"/>
      <c r="OOH13" s="91"/>
      <c r="OOK13" s="89"/>
      <c r="OOM13" s="91"/>
      <c r="OOP13" s="89"/>
      <c r="OOR13" s="91"/>
      <c r="OOU13" s="89"/>
      <c r="OOW13" s="91"/>
      <c r="OOZ13" s="89"/>
      <c r="OPB13" s="91"/>
      <c r="OPE13" s="89"/>
      <c r="OPG13" s="91"/>
      <c r="OPJ13" s="89"/>
      <c r="OPL13" s="91"/>
      <c r="OPO13" s="89"/>
      <c r="OPQ13" s="91"/>
      <c r="OPT13" s="89"/>
      <c r="OPV13" s="91"/>
      <c r="OPY13" s="89"/>
      <c r="OQA13" s="91"/>
      <c r="OQD13" s="89"/>
      <c r="OQF13" s="91"/>
      <c r="OQI13" s="89"/>
      <c r="OQK13" s="91"/>
      <c r="OQN13" s="89"/>
      <c r="OQP13" s="91"/>
      <c r="OQS13" s="89"/>
      <c r="OQU13" s="91"/>
      <c r="OQX13" s="89"/>
      <c r="OQZ13" s="91"/>
      <c r="ORC13" s="89"/>
      <c r="ORE13" s="91"/>
      <c r="ORH13" s="89"/>
      <c r="ORJ13" s="91"/>
      <c r="ORM13" s="89"/>
      <c r="ORO13" s="91"/>
      <c r="ORR13" s="89"/>
      <c r="ORT13" s="91"/>
      <c r="ORW13" s="89"/>
      <c r="ORY13" s="91"/>
      <c r="OSB13" s="89"/>
      <c r="OSD13" s="91"/>
      <c r="OSG13" s="89"/>
      <c r="OSI13" s="91"/>
      <c r="OSL13" s="89"/>
      <c r="OSN13" s="91"/>
      <c r="OSQ13" s="89"/>
      <c r="OSS13" s="91"/>
      <c r="OSV13" s="89"/>
      <c r="OSX13" s="91"/>
      <c r="OTA13" s="89"/>
      <c r="OTC13" s="91"/>
      <c r="OTF13" s="89"/>
      <c r="OTH13" s="91"/>
      <c r="OTK13" s="89"/>
      <c r="OTM13" s="91"/>
      <c r="OTP13" s="89"/>
      <c r="OTR13" s="91"/>
      <c r="OTU13" s="89"/>
      <c r="OTW13" s="91"/>
      <c r="OTZ13" s="89"/>
      <c r="OUB13" s="91"/>
      <c r="OUE13" s="89"/>
      <c r="OUG13" s="91"/>
      <c r="OUJ13" s="89"/>
      <c r="OUL13" s="91"/>
      <c r="OUO13" s="89"/>
      <c r="OUQ13" s="91"/>
      <c r="OUT13" s="89"/>
      <c r="OUV13" s="91"/>
      <c r="OUY13" s="89"/>
      <c r="OVA13" s="91"/>
      <c r="OVD13" s="89"/>
      <c r="OVF13" s="91"/>
      <c r="OVI13" s="89"/>
      <c r="OVK13" s="91"/>
      <c r="OVN13" s="89"/>
      <c r="OVP13" s="91"/>
      <c r="OVS13" s="89"/>
      <c r="OVU13" s="91"/>
      <c r="OVX13" s="89"/>
      <c r="OVZ13" s="91"/>
      <c r="OWC13" s="89"/>
      <c r="OWE13" s="91"/>
      <c r="OWH13" s="89"/>
      <c r="OWJ13" s="91"/>
      <c r="OWM13" s="89"/>
      <c r="OWO13" s="91"/>
      <c r="OWR13" s="89"/>
      <c r="OWT13" s="91"/>
      <c r="OWW13" s="89"/>
      <c r="OWY13" s="91"/>
      <c r="OXB13" s="89"/>
      <c r="OXD13" s="91"/>
      <c r="OXG13" s="89"/>
      <c r="OXI13" s="91"/>
      <c r="OXL13" s="89"/>
      <c r="OXN13" s="91"/>
      <c r="OXQ13" s="89"/>
      <c r="OXS13" s="91"/>
      <c r="OXV13" s="89"/>
      <c r="OXX13" s="91"/>
      <c r="OYA13" s="89"/>
      <c r="OYC13" s="91"/>
      <c r="OYF13" s="89"/>
      <c r="OYH13" s="91"/>
      <c r="OYK13" s="89"/>
      <c r="OYM13" s="91"/>
      <c r="OYP13" s="89"/>
      <c r="OYR13" s="91"/>
      <c r="OYU13" s="89"/>
      <c r="OYW13" s="91"/>
      <c r="OYZ13" s="89"/>
      <c r="OZB13" s="91"/>
      <c r="OZE13" s="89"/>
      <c r="OZG13" s="91"/>
      <c r="OZJ13" s="89"/>
      <c r="OZL13" s="91"/>
      <c r="OZO13" s="89"/>
      <c r="OZQ13" s="91"/>
      <c r="OZT13" s="89"/>
      <c r="OZV13" s="91"/>
      <c r="OZY13" s="89"/>
      <c r="PAA13" s="91"/>
      <c r="PAD13" s="89"/>
      <c r="PAF13" s="91"/>
      <c r="PAI13" s="89"/>
      <c r="PAK13" s="91"/>
      <c r="PAN13" s="89"/>
      <c r="PAP13" s="91"/>
      <c r="PAS13" s="89"/>
      <c r="PAU13" s="91"/>
      <c r="PAX13" s="89"/>
      <c r="PAZ13" s="91"/>
      <c r="PBC13" s="89"/>
      <c r="PBE13" s="91"/>
      <c r="PBH13" s="89"/>
      <c r="PBJ13" s="91"/>
      <c r="PBM13" s="89"/>
      <c r="PBO13" s="91"/>
      <c r="PBR13" s="89"/>
      <c r="PBT13" s="91"/>
      <c r="PBW13" s="89"/>
      <c r="PBY13" s="91"/>
      <c r="PCB13" s="89"/>
      <c r="PCD13" s="91"/>
      <c r="PCG13" s="89"/>
      <c r="PCI13" s="91"/>
      <c r="PCL13" s="89"/>
      <c r="PCN13" s="91"/>
      <c r="PCQ13" s="89"/>
      <c r="PCS13" s="91"/>
      <c r="PCV13" s="89"/>
      <c r="PCX13" s="91"/>
      <c r="PDA13" s="89"/>
      <c r="PDC13" s="91"/>
      <c r="PDF13" s="89"/>
      <c r="PDH13" s="91"/>
      <c r="PDK13" s="89"/>
      <c r="PDM13" s="91"/>
      <c r="PDP13" s="89"/>
      <c r="PDR13" s="91"/>
      <c r="PDU13" s="89"/>
      <c r="PDW13" s="91"/>
      <c r="PDZ13" s="89"/>
      <c r="PEB13" s="91"/>
      <c r="PEE13" s="89"/>
      <c r="PEG13" s="91"/>
      <c r="PEJ13" s="89"/>
      <c r="PEL13" s="91"/>
      <c r="PEO13" s="89"/>
      <c r="PEQ13" s="91"/>
      <c r="PET13" s="89"/>
      <c r="PEV13" s="91"/>
      <c r="PEY13" s="89"/>
      <c r="PFA13" s="91"/>
      <c r="PFD13" s="89"/>
      <c r="PFF13" s="91"/>
      <c r="PFI13" s="89"/>
      <c r="PFK13" s="91"/>
      <c r="PFN13" s="89"/>
      <c r="PFP13" s="91"/>
      <c r="PFS13" s="89"/>
      <c r="PFU13" s="91"/>
      <c r="PFX13" s="89"/>
      <c r="PFZ13" s="91"/>
      <c r="PGC13" s="89"/>
      <c r="PGE13" s="91"/>
      <c r="PGH13" s="89"/>
      <c r="PGJ13" s="91"/>
      <c r="PGM13" s="89"/>
      <c r="PGO13" s="91"/>
      <c r="PGR13" s="89"/>
      <c r="PGT13" s="91"/>
      <c r="PGW13" s="89"/>
      <c r="PGY13" s="91"/>
      <c r="PHB13" s="89"/>
      <c r="PHD13" s="91"/>
      <c r="PHG13" s="89"/>
      <c r="PHI13" s="91"/>
      <c r="PHL13" s="89"/>
      <c r="PHN13" s="91"/>
      <c r="PHQ13" s="89"/>
      <c r="PHS13" s="91"/>
      <c r="PHV13" s="89"/>
      <c r="PHX13" s="91"/>
      <c r="PIA13" s="89"/>
      <c r="PIC13" s="91"/>
      <c r="PIF13" s="89"/>
      <c r="PIH13" s="91"/>
      <c r="PIK13" s="89"/>
      <c r="PIM13" s="91"/>
      <c r="PIP13" s="89"/>
      <c r="PIR13" s="91"/>
      <c r="PIU13" s="89"/>
      <c r="PIW13" s="91"/>
      <c r="PIZ13" s="89"/>
      <c r="PJB13" s="91"/>
      <c r="PJE13" s="89"/>
      <c r="PJG13" s="91"/>
      <c r="PJJ13" s="89"/>
      <c r="PJL13" s="91"/>
      <c r="PJO13" s="89"/>
      <c r="PJQ13" s="91"/>
      <c r="PJT13" s="89"/>
      <c r="PJV13" s="91"/>
      <c r="PJY13" s="89"/>
      <c r="PKA13" s="91"/>
      <c r="PKD13" s="89"/>
      <c r="PKF13" s="91"/>
      <c r="PKI13" s="89"/>
      <c r="PKK13" s="91"/>
      <c r="PKN13" s="89"/>
      <c r="PKP13" s="91"/>
      <c r="PKS13" s="89"/>
      <c r="PKU13" s="91"/>
      <c r="PKX13" s="89"/>
      <c r="PKZ13" s="91"/>
      <c r="PLC13" s="89"/>
      <c r="PLE13" s="91"/>
      <c r="PLH13" s="89"/>
      <c r="PLJ13" s="91"/>
      <c r="PLM13" s="89"/>
      <c r="PLO13" s="91"/>
      <c r="PLR13" s="89"/>
      <c r="PLT13" s="91"/>
      <c r="PLW13" s="89"/>
      <c r="PLY13" s="91"/>
      <c r="PMB13" s="89"/>
      <c r="PMD13" s="91"/>
      <c r="PMG13" s="89"/>
      <c r="PMI13" s="91"/>
      <c r="PML13" s="89"/>
      <c r="PMN13" s="91"/>
      <c r="PMQ13" s="89"/>
      <c r="PMS13" s="91"/>
      <c r="PMV13" s="89"/>
      <c r="PMX13" s="91"/>
      <c r="PNA13" s="89"/>
      <c r="PNC13" s="91"/>
      <c r="PNF13" s="89"/>
      <c r="PNH13" s="91"/>
      <c r="PNK13" s="89"/>
      <c r="PNM13" s="91"/>
      <c r="PNP13" s="89"/>
      <c r="PNR13" s="91"/>
      <c r="PNU13" s="89"/>
      <c r="PNW13" s="91"/>
      <c r="PNZ13" s="89"/>
      <c r="POB13" s="91"/>
      <c r="POE13" s="89"/>
      <c r="POG13" s="91"/>
      <c r="POJ13" s="89"/>
      <c r="POL13" s="91"/>
      <c r="POO13" s="89"/>
      <c r="POQ13" s="91"/>
      <c r="POT13" s="89"/>
      <c r="POV13" s="91"/>
      <c r="POY13" s="89"/>
      <c r="PPA13" s="91"/>
      <c r="PPD13" s="89"/>
      <c r="PPF13" s="91"/>
      <c r="PPI13" s="89"/>
      <c r="PPK13" s="91"/>
      <c r="PPN13" s="89"/>
      <c r="PPP13" s="91"/>
      <c r="PPS13" s="89"/>
      <c r="PPU13" s="91"/>
      <c r="PPX13" s="89"/>
      <c r="PPZ13" s="91"/>
      <c r="PQC13" s="89"/>
      <c r="PQE13" s="91"/>
      <c r="PQH13" s="89"/>
      <c r="PQJ13" s="91"/>
      <c r="PQM13" s="89"/>
      <c r="PQO13" s="91"/>
      <c r="PQR13" s="89"/>
      <c r="PQT13" s="91"/>
      <c r="PQW13" s="89"/>
      <c r="PQY13" s="91"/>
      <c r="PRB13" s="89"/>
      <c r="PRD13" s="91"/>
      <c r="PRG13" s="89"/>
      <c r="PRI13" s="91"/>
      <c r="PRL13" s="89"/>
      <c r="PRN13" s="91"/>
      <c r="PRQ13" s="89"/>
      <c r="PRS13" s="91"/>
      <c r="PRV13" s="89"/>
      <c r="PRX13" s="91"/>
      <c r="PSA13" s="89"/>
      <c r="PSC13" s="91"/>
      <c r="PSF13" s="89"/>
      <c r="PSH13" s="91"/>
      <c r="PSK13" s="89"/>
      <c r="PSM13" s="91"/>
      <c r="PSP13" s="89"/>
      <c r="PSR13" s="91"/>
      <c r="PSU13" s="89"/>
      <c r="PSW13" s="91"/>
      <c r="PSZ13" s="89"/>
      <c r="PTB13" s="91"/>
      <c r="PTE13" s="89"/>
      <c r="PTG13" s="91"/>
      <c r="PTJ13" s="89"/>
      <c r="PTL13" s="91"/>
      <c r="PTO13" s="89"/>
      <c r="PTQ13" s="91"/>
      <c r="PTT13" s="89"/>
      <c r="PTV13" s="91"/>
      <c r="PTY13" s="89"/>
      <c r="PUA13" s="91"/>
      <c r="PUD13" s="89"/>
      <c r="PUF13" s="91"/>
      <c r="PUI13" s="89"/>
      <c r="PUK13" s="91"/>
      <c r="PUN13" s="89"/>
      <c r="PUP13" s="91"/>
      <c r="PUS13" s="89"/>
      <c r="PUU13" s="91"/>
      <c r="PUX13" s="89"/>
      <c r="PUZ13" s="91"/>
      <c r="PVC13" s="89"/>
      <c r="PVE13" s="91"/>
      <c r="PVH13" s="89"/>
      <c r="PVJ13" s="91"/>
      <c r="PVM13" s="89"/>
      <c r="PVO13" s="91"/>
      <c r="PVR13" s="89"/>
      <c r="PVT13" s="91"/>
      <c r="PVW13" s="89"/>
      <c r="PVY13" s="91"/>
      <c r="PWB13" s="89"/>
      <c r="PWD13" s="91"/>
      <c r="PWG13" s="89"/>
      <c r="PWI13" s="91"/>
      <c r="PWL13" s="89"/>
      <c r="PWN13" s="91"/>
      <c r="PWQ13" s="89"/>
      <c r="PWS13" s="91"/>
      <c r="PWV13" s="89"/>
      <c r="PWX13" s="91"/>
      <c r="PXA13" s="89"/>
      <c r="PXC13" s="91"/>
      <c r="PXF13" s="89"/>
      <c r="PXH13" s="91"/>
      <c r="PXK13" s="89"/>
      <c r="PXM13" s="91"/>
      <c r="PXP13" s="89"/>
      <c r="PXR13" s="91"/>
      <c r="PXU13" s="89"/>
      <c r="PXW13" s="91"/>
      <c r="PXZ13" s="89"/>
      <c r="PYB13" s="91"/>
      <c r="PYE13" s="89"/>
      <c r="PYG13" s="91"/>
      <c r="PYJ13" s="89"/>
      <c r="PYL13" s="91"/>
      <c r="PYO13" s="89"/>
      <c r="PYQ13" s="91"/>
      <c r="PYT13" s="89"/>
      <c r="PYV13" s="91"/>
      <c r="PYY13" s="89"/>
      <c r="PZA13" s="91"/>
      <c r="PZD13" s="89"/>
      <c r="PZF13" s="91"/>
      <c r="PZI13" s="89"/>
      <c r="PZK13" s="91"/>
      <c r="PZN13" s="89"/>
      <c r="PZP13" s="91"/>
      <c r="PZS13" s="89"/>
      <c r="PZU13" s="91"/>
      <c r="PZX13" s="89"/>
      <c r="PZZ13" s="91"/>
      <c r="QAC13" s="89"/>
      <c r="QAE13" s="91"/>
      <c r="QAH13" s="89"/>
      <c r="QAJ13" s="91"/>
      <c r="QAM13" s="89"/>
      <c r="QAO13" s="91"/>
      <c r="QAR13" s="89"/>
      <c r="QAT13" s="91"/>
      <c r="QAW13" s="89"/>
      <c r="QAY13" s="91"/>
      <c r="QBB13" s="89"/>
      <c r="QBD13" s="91"/>
      <c r="QBG13" s="89"/>
      <c r="QBI13" s="91"/>
      <c r="QBL13" s="89"/>
      <c r="QBN13" s="91"/>
      <c r="QBQ13" s="89"/>
      <c r="QBS13" s="91"/>
      <c r="QBV13" s="89"/>
      <c r="QBX13" s="91"/>
      <c r="QCA13" s="89"/>
      <c r="QCC13" s="91"/>
      <c r="QCF13" s="89"/>
      <c r="QCH13" s="91"/>
      <c r="QCK13" s="89"/>
      <c r="QCM13" s="91"/>
      <c r="QCP13" s="89"/>
      <c r="QCR13" s="91"/>
      <c r="QCU13" s="89"/>
      <c r="QCW13" s="91"/>
      <c r="QCZ13" s="89"/>
      <c r="QDB13" s="91"/>
      <c r="QDE13" s="89"/>
      <c r="QDG13" s="91"/>
      <c r="QDJ13" s="89"/>
      <c r="QDL13" s="91"/>
      <c r="QDO13" s="89"/>
      <c r="QDQ13" s="91"/>
      <c r="QDT13" s="89"/>
      <c r="QDV13" s="91"/>
      <c r="QDY13" s="89"/>
      <c r="QEA13" s="91"/>
      <c r="QED13" s="89"/>
      <c r="QEF13" s="91"/>
      <c r="QEI13" s="89"/>
      <c r="QEK13" s="91"/>
      <c r="QEN13" s="89"/>
      <c r="QEP13" s="91"/>
      <c r="QES13" s="89"/>
      <c r="QEU13" s="91"/>
      <c r="QEX13" s="89"/>
      <c r="QEZ13" s="91"/>
      <c r="QFC13" s="89"/>
      <c r="QFE13" s="91"/>
      <c r="QFH13" s="89"/>
      <c r="QFJ13" s="91"/>
      <c r="QFM13" s="89"/>
      <c r="QFO13" s="91"/>
      <c r="QFR13" s="89"/>
      <c r="QFT13" s="91"/>
      <c r="QFW13" s="89"/>
      <c r="QFY13" s="91"/>
      <c r="QGB13" s="89"/>
      <c r="QGD13" s="91"/>
      <c r="QGG13" s="89"/>
      <c r="QGI13" s="91"/>
      <c r="QGL13" s="89"/>
      <c r="QGN13" s="91"/>
      <c r="QGQ13" s="89"/>
      <c r="QGS13" s="91"/>
      <c r="QGV13" s="89"/>
      <c r="QGX13" s="91"/>
      <c r="QHA13" s="89"/>
      <c r="QHC13" s="91"/>
      <c r="QHF13" s="89"/>
      <c r="QHH13" s="91"/>
      <c r="QHK13" s="89"/>
      <c r="QHM13" s="91"/>
      <c r="QHP13" s="89"/>
      <c r="QHR13" s="91"/>
      <c r="QHU13" s="89"/>
      <c r="QHW13" s="91"/>
      <c r="QHZ13" s="89"/>
      <c r="QIB13" s="91"/>
      <c r="QIE13" s="89"/>
      <c r="QIG13" s="91"/>
      <c r="QIJ13" s="89"/>
      <c r="QIL13" s="91"/>
      <c r="QIO13" s="89"/>
      <c r="QIQ13" s="91"/>
      <c r="QIT13" s="89"/>
      <c r="QIV13" s="91"/>
      <c r="QIY13" s="89"/>
      <c r="QJA13" s="91"/>
      <c r="QJD13" s="89"/>
      <c r="QJF13" s="91"/>
      <c r="QJI13" s="89"/>
      <c r="QJK13" s="91"/>
      <c r="QJN13" s="89"/>
      <c r="QJP13" s="91"/>
      <c r="QJS13" s="89"/>
      <c r="QJU13" s="91"/>
      <c r="QJX13" s="89"/>
      <c r="QJZ13" s="91"/>
      <c r="QKC13" s="89"/>
      <c r="QKE13" s="91"/>
      <c r="QKH13" s="89"/>
      <c r="QKJ13" s="91"/>
      <c r="QKM13" s="89"/>
      <c r="QKO13" s="91"/>
      <c r="QKR13" s="89"/>
      <c r="QKT13" s="91"/>
      <c r="QKW13" s="89"/>
      <c r="QKY13" s="91"/>
      <c r="QLB13" s="89"/>
      <c r="QLD13" s="91"/>
      <c r="QLG13" s="89"/>
      <c r="QLI13" s="91"/>
      <c r="QLL13" s="89"/>
      <c r="QLN13" s="91"/>
      <c r="QLQ13" s="89"/>
      <c r="QLS13" s="91"/>
      <c r="QLV13" s="89"/>
      <c r="QLX13" s="91"/>
      <c r="QMA13" s="89"/>
      <c r="QMC13" s="91"/>
      <c r="QMF13" s="89"/>
      <c r="QMH13" s="91"/>
      <c r="QMK13" s="89"/>
      <c r="QMM13" s="91"/>
      <c r="QMP13" s="89"/>
      <c r="QMR13" s="91"/>
      <c r="QMU13" s="89"/>
      <c r="QMW13" s="91"/>
      <c r="QMZ13" s="89"/>
      <c r="QNB13" s="91"/>
      <c r="QNE13" s="89"/>
      <c r="QNG13" s="91"/>
      <c r="QNJ13" s="89"/>
      <c r="QNL13" s="91"/>
      <c r="QNO13" s="89"/>
      <c r="QNQ13" s="91"/>
      <c r="QNT13" s="89"/>
      <c r="QNV13" s="91"/>
      <c r="QNY13" s="89"/>
      <c r="QOA13" s="91"/>
      <c r="QOD13" s="89"/>
      <c r="QOF13" s="91"/>
      <c r="QOI13" s="89"/>
      <c r="QOK13" s="91"/>
      <c r="QON13" s="89"/>
      <c r="QOP13" s="91"/>
      <c r="QOS13" s="89"/>
      <c r="QOU13" s="91"/>
      <c r="QOX13" s="89"/>
      <c r="QOZ13" s="91"/>
      <c r="QPC13" s="89"/>
      <c r="QPE13" s="91"/>
      <c r="QPH13" s="89"/>
      <c r="QPJ13" s="91"/>
      <c r="QPM13" s="89"/>
      <c r="QPO13" s="91"/>
      <c r="QPR13" s="89"/>
      <c r="QPT13" s="91"/>
      <c r="QPW13" s="89"/>
      <c r="QPY13" s="91"/>
      <c r="QQB13" s="89"/>
      <c r="QQD13" s="91"/>
      <c r="QQG13" s="89"/>
      <c r="QQI13" s="91"/>
      <c r="QQL13" s="89"/>
      <c r="QQN13" s="91"/>
      <c r="QQQ13" s="89"/>
      <c r="QQS13" s="91"/>
      <c r="QQV13" s="89"/>
      <c r="QQX13" s="91"/>
      <c r="QRA13" s="89"/>
      <c r="QRC13" s="91"/>
      <c r="QRF13" s="89"/>
      <c r="QRH13" s="91"/>
      <c r="QRK13" s="89"/>
      <c r="QRM13" s="91"/>
      <c r="QRP13" s="89"/>
      <c r="QRR13" s="91"/>
      <c r="QRU13" s="89"/>
      <c r="QRW13" s="91"/>
      <c r="QRZ13" s="89"/>
      <c r="QSB13" s="91"/>
      <c r="QSE13" s="89"/>
      <c r="QSG13" s="91"/>
      <c r="QSJ13" s="89"/>
      <c r="QSL13" s="91"/>
      <c r="QSO13" s="89"/>
      <c r="QSQ13" s="91"/>
      <c r="QST13" s="89"/>
      <c r="QSV13" s="91"/>
      <c r="QSY13" s="89"/>
      <c r="QTA13" s="91"/>
      <c r="QTD13" s="89"/>
      <c r="QTF13" s="91"/>
      <c r="QTI13" s="89"/>
      <c r="QTK13" s="91"/>
      <c r="QTN13" s="89"/>
      <c r="QTP13" s="91"/>
      <c r="QTS13" s="89"/>
      <c r="QTU13" s="91"/>
      <c r="QTX13" s="89"/>
      <c r="QTZ13" s="91"/>
      <c r="QUC13" s="89"/>
      <c r="QUE13" s="91"/>
      <c r="QUH13" s="89"/>
      <c r="QUJ13" s="91"/>
      <c r="QUM13" s="89"/>
      <c r="QUO13" s="91"/>
      <c r="QUR13" s="89"/>
      <c r="QUT13" s="91"/>
      <c r="QUW13" s="89"/>
      <c r="QUY13" s="91"/>
      <c r="QVB13" s="89"/>
      <c r="QVD13" s="91"/>
      <c r="QVG13" s="89"/>
      <c r="QVI13" s="91"/>
      <c r="QVL13" s="89"/>
      <c r="QVN13" s="91"/>
      <c r="QVQ13" s="89"/>
      <c r="QVS13" s="91"/>
      <c r="QVV13" s="89"/>
      <c r="QVX13" s="91"/>
      <c r="QWA13" s="89"/>
      <c r="QWC13" s="91"/>
      <c r="QWF13" s="89"/>
      <c r="QWH13" s="91"/>
      <c r="QWK13" s="89"/>
      <c r="QWM13" s="91"/>
      <c r="QWP13" s="89"/>
      <c r="QWR13" s="91"/>
      <c r="QWU13" s="89"/>
      <c r="QWW13" s="91"/>
      <c r="QWZ13" s="89"/>
      <c r="QXB13" s="91"/>
      <c r="QXE13" s="89"/>
      <c r="QXG13" s="91"/>
      <c r="QXJ13" s="89"/>
      <c r="QXL13" s="91"/>
      <c r="QXO13" s="89"/>
      <c r="QXQ13" s="91"/>
      <c r="QXT13" s="89"/>
      <c r="QXV13" s="91"/>
      <c r="QXY13" s="89"/>
      <c r="QYA13" s="91"/>
      <c r="QYD13" s="89"/>
      <c r="QYF13" s="91"/>
      <c r="QYI13" s="89"/>
      <c r="QYK13" s="91"/>
      <c r="QYN13" s="89"/>
      <c r="QYP13" s="91"/>
      <c r="QYS13" s="89"/>
      <c r="QYU13" s="91"/>
      <c r="QYX13" s="89"/>
      <c r="QYZ13" s="91"/>
      <c r="QZC13" s="89"/>
      <c r="QZE13" s="91"/>
      <c r="QZH13" s="89"/>
      <c r="QZJ13" s="91"/>
      <c r="QZM13" s="89"/>
      <c r="QZO13" s="91"/>
      <c r="QZR13" s="89"/>
      <c r="QZT13" s="91"/>
      <c r="QZW13" s="89"/>
      <c r="QZY13" s="91"/>
      <c r="RAB13" s="89"/>
      <c r="RAD13" s="91"/>
      <c r="RAG13" s="89"/>
      <c r="RAI13" s="91"/>
      <c r="RAL13" s="89"/>
      <c r="RAN13" s="91"/>
      <c r="RAQ13" s="89"/>
      <c r="RAS13" s="91"/>
      <c r="RAV13" s="89"/>
      <c r="RAX13" s="91"/>
      <c r="RBA13" s="89"/>
      <c r="RBC13" s="91"/>
      <c r="RBF13" s="89"/>
      <c r="RBH13" s="91"/>
      <c r="RBK13" s="89"/>
      <c r="RBM13" s="91"/>
      <c r="RBP13" s="89"/>
      <c r="RBR13" s="91"/>
      <c r="RBU13" s="89"/>
      <c r="RBW13" s="91"/>
      <c r="RBZ13" s="89"/>
      <c r="RCB13" s="91"/>
      <c r="RCE13" s="89"/>
      <c r="RCG13" s="91"/>
      <c r="RCJ13" s="89"/>
      <c r="RCL13" s="91"/>
      <c r="RCO13" s="89"/>
      <c r="RCQ13" s="91"/>
      <c r="RCT13" s="89"/>
      <c r="RCV13" s="91"/>
      <c r="RCY13" s="89"/>
      <c r="RDA13" s="91"/>
      <c r="RDD13" s="89"/>
      <c r="RDF13" s="91"/>
      <c r="RDI13" s="89"/>
      <c r="RDK13" s="91"/>
      <c r="RDN13" s="89"/>
      <c r="RDP13" s="91"/>
      <c r="RDS13" s="89"/>
      <c r="RDU13" s="91"/>
      <c r="RDX13" s="89"/>
      <c r="RDZ13" s="91"/>
      <c r="REC13" s="89"/>
      <c r="REE13" s="91"/>
      <c r="REH13" s="89"/>
      <c r="REJ13" s="91"/>
      <c r="REM13" s="89"/>
      <c r="REO13" s="91"/>
      <c r="RER13" s="89"/>
      <c r="RET13" s="91"/>
      <c r="REW13" s="89"/>
      <c r="REY13" s="91"/>
      <c r="RFB13" s="89"/>
      <c r="RFD13" s="91"/>
      <c r="RFG13" s="89"/>
      <c r="RFI13" s="91"/>
      <c r="RFL13" s="89"/>
      <c r="RFN13" s="91"/>
      <c r="RFQ13" s="89"/>
      <c r="RFS13" s="91"/>
      <c r="RFV13" s="89"/>
      <c r="RFX13" s="91"/>
      <c r="RGA13" s="89"/>
      <c r="RGC13" s="91"/>
      <c r="RGF13" s="89"/>
      <c r="RGH13" s="91"/>
      <c r="RGK13" s="89"/>
      <c r="RGM13" s="91"/>
      <c r="RGP13" s="89"/>
      <c r="RGR13" s="91"/>
      <c r="RGU13" s="89"/>
      <c r="RGW13" s="91"/>
      <c r="RGZ13" s="89"/>
      <c r="RHB13" s="91"/>
      <c r="RHE13" s="89"/>
      <c r="RHG13" s="91"/>
      <c r="RHJ13" s="89"/>
      <c r="RHL13" s="91"/>
      <c r="RHO13" s="89"/>
      <c r="RHQ13" s="91"/>
      <c r="RHT13" s="89"/>
      <c r="RHV13" s="91"/>
      <c r="RHY13" s="89"/>
      <c r="RIA13" s="91"/>
      <c r="RID13" s="89"/>
      <c r="RIF13" s="91"/>
      <c r="RII13" s="89"/>
      <c r="RIK13" s="91"/>
      <c r="RIN13" s="89"/>
      <c r="RIP13" s="91"/>
      <c r="RIS13" s="89"/>
      <c r="RIU13" s="91"/>
      <c r="RIX13" s="89"/>
      <c r="RIZ13" s="91"/>
      <c r="RJC13" s="89"/>
      <c r="RJE13" s="91"/>
      <c r="RJH13" s="89"/>
      <c r="RJJ13" s="91"/>
      <c r="RJM13" s="89"/>
      <c r="RJO13" s="91"/>
      <c r="RJR13" s="89"/>
      <c r="RJT13" s="91"/>
      <c r="RJW13" s="89"/>
      <c r="RJY13" s="91"/>
      <c r="RKB13" s="89"/>
      <c r="RKD13" s="91"/>
      <c r="RKG13" s="89"/>
      <c r="RKI13" s="91"/>
      <c r="RKL13" s="89"/>
      <c r="RKN13" s="91"/>
      <c r="RKQ13" s="89"/>
      <c r="RKS13" s="91"/>
      <c r="RKV13" s="89"/>
      <c r="RKX13" s="91"/>
      <c r="RLA13" s="89"/>
      <c r="RLC13" s="91"/>
      <c r="RLF13" s="89"/>
      <c r="RLH13" s="91"/>
      <c r="RLK13" s="89"/>
      <c r="RLM13" s="91"/>
      <c r="RLP13" s="89"/>
      <c r="RLR13" s="91"/>
      <c r="RLU13" s="89"/>
      <c r="RLW13" s="91"/>
      <c r="RLZ13" s="89"/>
      <c r="RMB13" s="91"/>
      <c r="RME13" s="89"/>
      <c r="RMG13" s="91"/>
      <c r="RMJ13" s="89"/>
      <c r="RML13" s="91"/>
      <c r="RMO13" s="89"/>
      <c r="RMQ13" s="91"/>
      <c r="RMT13" s="89"/>
      <c r="RMV13" s="91"/>
      <c r="RMY13" s="89"/>
      <c r="RNA13" s="91"/>
      <c r="RND13" s="89"/>
      <c r="RNF13" s="91"/>
      <c r="RNI13" s="89"/>
      <c r="RNK13" s="91"/>
      <c r="RNN13" s="89"/>
      <c r="RNP13" s="91"/>
      <c r="RNS13" s="89"/>
      <c r="RNU13" s="91"/>
      <c r="RNX13" s="89"/>
      <c r="RNZ13" s="91"/>
      <c r="ROC13" s="89"/>
      <c r="ROE13" s="91"/>
      <c r="ROH13" s="89"/>
      <c r="ROJ13" s="91"/>
      <c r="ROM13" s="89"/>
      <c r="ROO13" s="91"/>
      <c r="ROR13" s="89"/>
      <c r="ROT13" s="91"/>
      <c r="ROW13" s="89"/>
      <c r="ROY13" s="91"/>
      <c r="RPB13" s="89"/>
      <c r="RPD13" s="91"/>
      <c r="RPG13" s="89"/>
      <c r="RPI13" s="91"/>
      <c r="RPL13" s="89"/>
      <c r="RPN13" s="91"/>
      <c r="RPQ13" s="89"/>
      <c r="RPS13" s="91"/>
      <c r="RPV13" s="89"/>
      <c r="RPX13" s="91"/>
      <c r="RQA13" s="89"/>
      <c r="RQC13" s="91"/>
      <c r="RQF13" s="89"/>
      <c r="RQH13" s="91"/>
      <c r="RQK13" s="89"/>
      <c r="RQM13" s="91"/>
      <c r="RQP13" s="89"/>
      <c r="RQR13" s="91"/>
      <c r="RQU13" s="89"/>
      <c r="RQW13" s="91"/>
      <c r="RQZ13" s="89"/>
      <c r="RRB13" s="91"/>
      <c r="RRE13" s="89"/>
      <c r="RRG13" s="91"/>
      <c r="RRJ13" s="89"/>
      <c r="RRL13" s="91"/>
      <c r="RRO13" s="89"/>
      <c r="RRQ13" s="91"/>
      <c r="RRT13" s="89"/>
      <c r="RRV13" s="91"/>
      <c r="RRY13" s="89"/>
      <c r="RSA13" s="91"/>
      <c r="RSD13" s="89"/>
      <c r="RSF13" s="91"/>
      <c r="RSI13" s="89"/>
      <c r="RSK13" s="91"/>
      <c r="RSN13" s="89"/>
      <c r="RSP13" s="91"/>
      <c r="RSS13" s="89"/>
      <c r="RSU13" s="91"/>
      <c r="RSX13" s="89"/>
      <c r="RSZ13" s="91"/>
      <c r="RTC13" s="89"/>
      <c r="RTE13" s="91"/>
      <c r="RTH13" s="89"/>
      <c r="RTJ13" s="91"/>
      <c r="RTM13" s="89"/>
      <c r="RTO13" s="91"/>
      <c r="RTR13" s="89"/>
      <c r="RTT13" s="91"/>
      <c r="RTW13" s="89"/>
      <c r="RTY13" s="91"/>
      <c r="RUB13" s="89"/>
      <c r="RUD13" s="91"/>
      <c r="RUG13" s="89"/>
      <c r="RUI13" s="91"/>
      <c r="RUL13" s="89"/>
      <c r="RUN13" s="91"/>
      <c r="RUQ13" s="89"/>
      <c r="RUS13" s="91"/>
      <c r="RUV13" s="89"/>
      <c r="RUX13" s="91"/>
      <c r="RVA13" s="89"/>
      <c r="RVC13" s="91"/>
      <c r="RVF13" s="89"/>
      <c r="RVH13" s="91"/>
      <c r="RVK13" s="89"/>
      <c r="RVM13" s="91"/>
      <c r="RVP13" s="89"/>
      <c r="RVR13" s="91"/>
      <c r="RVU13" s="89"/>
      <c r="RVW13" s="91"/>
      <c r="RVZ13" s="89"/>
      <c r="RWB13" s="91"/>
      <c r="RWE13" s="89"/>
      <c r="RWG13" s="91"/>
      <c r="RWJ13" s="89"/>
      <c r="RWL13" s="91"/>
      <c r="RWO13" s="89"/>
      <c r="RWQ13" s="91"/>
      <c r="RWT13" s="89"/>
      <c r="RWV13" s="91"/>
      <c r="RWY13" s="89"/>
      <c r="RXA13" s="91"/>
      <c r="RXD13" s="89"/>
      <c r="RXF13" s="91"/>
      <c r="RXI13" s="89"/>
      <c r="RXK13" s="91"/>
      <c r="RXN13" s="89"/>
      <c r="RXP13" s="91"/>
      <c r="RXS13" s="89"/>
      <c r="RXU13" s="91"/>
      <c r="RXX13" s="89"/>
      <c r="RXZ13" s="91"/>
      <c r="RYC13" s="89"/>
      <c r="RYE13" s="91"/>
      <c r="RYH13" s="89"/>
      <c r="RYJ13" s="91"/>
      <c r="RYM13" s="89"/>
      <c r="RYO13" s="91"/>
      <c r="RYR13" s="89"/>
      <c r="RYT13" s="91"/>
      <c r="RYW13" s="89"/>
      <c r="RYY13" s="91"/>
      <c r="RZB13" s="89"/>
      <c r="RZD13" s="91"/>
      <c r="RZG13" s="89"/>
      <c r="RZI13" s="91"/>
      <c r="RZL13" s="89"/>
      <c r="RZN13" s="91"/>
      <c r="RZQ13" s="89"/>
      <c r="RZS13" s="91"/>
      <c r="RZV13" s="89"/>
      <c r="RZX13" s="91"/>
      <c r="SAA13" s="89"/>
      <c r="SAC13" s="91"/>
      <c r="SAF13" s="89"/>
      <c r="SAH13" s="91"/>
      <c r="SAK13" s="89"/>
      <c r="SAM13" s="91"/>
      <c r="SAP13" s="89"/>
      <c r="SAR13" s="91"/>
      <c r="SAU13" s="89"/>
      <c r="SAW13" s="91"/>
      <c r="SAZ13" s="89"/>
      <c r="SBB13" s="91"/>
      <c r="SBE13" s="89"/>
      <c r="SBG13" s="91"/>
      <c r="SBJ13" s="89"/>
      <c r="SBL13" s="91"/>
      <c r="SBO13" s="89"/>
      <c r="SBQ13" s="91"/>
      <c r="SBT13" s="89"/>
      <c r="SBV13" s="91"/>
      <c r="SBY13" s="89"/>
      <c r="SCA13" s="91"/>
      <c r="SCD13" s="89"/>
      <c r="SCF13" s="91"/>
      <c r="SCI13" s="89"/>
      <c r="SCK13" s="91"/>
      <c r="SCN13" s="89"/>
      <c r="SCP13" s="91"/>
      <c r="SCS13" s="89"/>
      <c r="SCU13" s="91"/>
      <c r="SCX13" s="89"/>
      <c r="SCZ13" s="91"/>
      <c r="SDC13" s="89"/>
      <c r="SDE13" s="91"/>
      <c r="SDH13" s="89"/>
      <c r="SDJ13" s="91"/>
      <c r="SDM13" s="89"/>
      <c r="SDO13" s="91"/>
      <c r="SDR13" s="89"/>
      <c r="SDT13" s="91"/>
      <c r="SDW13" s="89"/>
      <c r="SDY13" s="91"/>
      <c r="SEB13" s="89"/>
      <c r="SED13" s="91"/>
      <c r="SEG13" s="89"/>
      <c r="SEI13" s="91"/>
      <c r="SEL13" s="89"/>
      <c r="SEN13" s="91"/>
      <c r="SEQ13" s="89"/>
      <c r="SES13" s="91"/>
      <c r="SEV13" s="89"/>
      <c r="SEX13" s="91"/>
      <c r="SFA13" s="89"/>
      <c r="SFC13" s="91"/>
      <c r="SFF13" s="89"/>
      <c r="SFH13" s="91"/>
      <c r="SFK13" s="89"/>
      <c r="SFM13" s="91"/>
      <c r="SFP13" s="89"/>
      <c r="SFR13" s="91"/>
      <c r="SFU13" s="89"/>
      <c r="SFW13" s="91"/>
      <c r="SFZ13" s="89"/>
      <c r="SGB13" s="91"/>
      <c r="SGE13" s="89"/>
      <c r="SGG13" s="91"/>
      <c r="SGJ13" s="89"/>
      <c r="SGL13" s="91"/>
      <c r="SGO13" s="89"/>
      <c r="SGQ13" s="91"/>
      <c r="SGT13" s="89"/>
      <c r="SGV13" s="91"/>
      <c r="SGY13" s="89"/>
      <c r="SHA13" s="91"/>
      <c r="SHD13" s="89"/>
      <c r="SHF13" s="91"/>
      <c r="SHI13" s="89"/>
      <c r="SHK13" s="91"/>
      <c r="SHN13" s="89"/>
      <c r="SHP13" s="91"/>
      <c r="SHS13" s="89"/>
      <c r="SHU13" s="91"/>
      <c r="SHX13" s="89"/>
      <c r="SHZ13" s="91"/>
      <c r="SIC13" s="89"/>
      <c r="SIE13" s="91"/>
      <c r="SIH13" s="89"/>
      <c r="SIJ13" s="91"/>
      <c r="SIM13" s="89"/>
      <c r="SIO13" s="91"/>
      <c r="SIR13" s="89"/>
      <c r="SIT13" s="91"/>
      <c r="SIW13" s="89"/>
      <c r="SIY13" s="91"/>
      <c r="SJB13" s="89"/>
      <c r="SJD13" s="91"/>
      <c r="SJG13" s="89"/>
      <c r="SJI13" s="91"/>
      <c r="SJL13" s="89"/>
      <c r="SJN13" s="91"/>
      <c r="SJQ13" s="89"/>
      <c r="SJS13" s="91"/>
      <c r="SJV13" s="89"/>
      <c r="SJX13" s="91"/>
      <c r="SKA13" s="89"/>
      <c r="SKC13" s="91"/>
      <c r="SKF13" s="89"/>
      <c r="SKH13" s="91"/>
      <c r="SKK13" s="89"/>
      <c r="SKM13" s="91"/>
      <c r="SKP13" s="89"/>
      <c r="SKR13" s="91"/>
      <c r="SKU13" s="89"/>
      <c r="SKW13" s="91"/>
      <c r="SKZ13" s="89"/>
      <c r="SLB13" s="91"/>
      <c r="SLE13" s="89"/>
      <c r="SLG13" s="91"/>
      <c r="SLJ13" s="89"/>
      <c r="SLL13" s="91"/>
      <c r="SLO13" s="89"/>
      <c r="SLQ13" s="91"/>
      <c r="SLT13" s="89"/>
      <c r="SLV13" s="91"/>
      <c r="SLY13" s="89"/>
      <c r="SMA13" s="91"/>
      <c r="SMD13" s="89"/>
      <c r="SMF13" s="91"/>
      <c r="SMI13" s="89"/>
      <c r="SMK13" s="91"/>
      <c r="SMN13" s="89"/>
      <c r="SMP13" s="91"/>
      <c r="SMS13" s="89"/>
      <c r="SMU13" s="91"/>
      <c r="SMX13" s="89"/>
      <c r="SMZ13" s="91"/>
      <c r="SNC13" s="89"/>
      <c r="SNE13" s="91"/>
      <c r="SNH13" s="89"/>
      <c r="SNJ13" s="91"/>
      <c r="SNM13" s="89"/>
      <c r="SNO13" s="91"/>
      <c r="SNR13" s="89"/>
      <c r="SNT13" s="91"/>
      <c r="SNW13" s="89"/>
      <c r="SNY13" s="91"/>
      <c r="SOB13" s="89"/>
      <c r="SOD13" s="91"/>
      <c r="SOG13" s="89"/>
      <c r="SOI13" s="91"/>
      <c r="SOL13" s="89"/>
      <c r="SON13" s="91"/>
      <c r="SOQ13" s="89"/>
      <c r="SOS13" s="91"/>
      <c r="SOV13" s="89"/>
      <c r="SOX13" s="91"/>
      <c r="SPA13" s="89"/>
      <c r="SPC13" s="91"/>
      <c r="SPF13" s="89"/>
      <c r="SPH13" s="91"/>
      <c r="SPK13" s="89"/>
      <c r="SPM13" s="91"/>
      <c r="SPP13" s="89"/>
      <c r="SPR13" s="91"/>
      <c r="SPU13" s="89"/>
      <c r="SPW13" s="91"/>
      <c r="SPZ13" s="89"/>
      <c r="SQB13" s="91"/>
      <c r="SQE13" s="89"/>
      <c r="SQG13" s="91"/>
      <c r="SQJ13" s="89"/>
      <c r="SQL13" s="91"/>
      <c r="SQO13" s="89"/>
      <c r="SQQ13" s="91"/>
      <c r="SQT13" s="89"/>
      <c r="SQV13" s="91"/>
      <c r="SQY13" s="89"/>
      <c r="SRA13" s="91"/>
      <c r="SRD13" s="89"/>
      <c r="SRF13" s="91"/>
      <c r="SRI13" s="89"/>
      <c r="SRK13" s="91"/>
      <c r="SRN13" s="89"/>
      <c r="SRP13" s="91"/>
      <c r="SRS13" s="89"/>
      <c r="SRU13" s="91"/>
      <c r="SRX13" s="89"/>
      <c r="SRZ13" s="91"/>
      <c r="SSC13" s="89"/>
      <c r="SSE13" s="91"/>
      <c r="SSH13" s="89"/>
      <c r="SSJ13" s="91"/>
      <c r="SSM13" s="89"/>
      <c r="SSO13" s="91"/>
      <c r="SSR13" s="89"/>
      <c r="SST13" s="91"/>
      <c r="SSW13" s="89"/>
      <c r="SSY13" s="91"/>
      <c r="STB13" s="89"/>
      <c r="STD13" s="91"/>
      <c r="STG13" s="89"/>
      <c r="STI13" s="91"/>
      <c r="STL13" s="89"/>
      <c r="STN13" s="91"/>
      <c r="STQ13" s="89"/>
      <c r="STS13" s="91"/>
      <c r="STV13" s="89"/>
      <c r="STX13" s="91"/>
      <c r="SUA13" s="89"/>
      <c r="SUC13" s="91"/>
      <c r="SUF13" s="89"/>
      <c r="SUH13" s="91"/>
      <c r="SUK13" s="89"/>
      <c r="SUM13" s="91"/>
      <c r="SUP13" s="89"/>
      <c r="SUR13" s="91"/>
      <c r="SUU13" s="89"/>
      <c r="SUW13" s="91"/>
      <c r="SUZ13" s="89"/>
      <c r="SVB13" s="91"/>
      <c r="SVE13" s="89"/>
      <c r="SVG13" s="91"/>
      <c r="SVJ13" s="89"/>
      <c r="SVL13" s="91"/>
      <c r="SVO13" s="89"/>
      <c r="SVQ13" s="91"/>
      <c r="SVT13" s="89"/>
      <c r="SVV13" s="91"/>
      <c r="SVY13" s="89"/>
      <c r="SWA13" s="91"/>
      <c r="SWD13" s="89"/>
      <c r="SWF13" s="91"/>
      <c r="SWI13" s="89"/>
      <c r="SWK13" s="91"/>
      <c r="SWN13" s="89"/>
      <c r="SWP13" s="91"/>
      <c r="SWS13" s="89"/>
      <c r="SWU13" s="91"/>
      <c r="SWX13" s="89"/>
      <c r="SWZ13" s="91"/>
      <c r="SXC13" s="89"/>
      <c r="SXE13" s="91"/>
      <c r="SXH13" s="89"/>
      <c r="SXJ13" s="91"/>
      <c r="SXM13" s="89"/>
      <c r="SXO13" s="91"/>
      <c r="SXR13" s="89"/>
      <c r="SXT13" s="91"/>
      <c r="SXW13" s="89"/>
      <c r="SXY13" s="91"/>
      <c r="SYB13" s="89"/>
      <c r="SYD13" s="91"/>
      <c r="SYG13" s="89"/>
      <c r="SYI13" s="91"/>
      <c r="SYL13" s="89"/>
      <c r="SYN13" s="91"/>
      <c r="SYQ13" s="89"/>
      <c r="SYS13" s="91"/>
      <c r="SYV13" s="89"/>
      <c r="SYX13" s="91"/>
      <c r="SZA13" s="89"/>
      <c r="SZC13" s="91"/>
      <c r="SZF13" s="89"/>
      <c r="SZH13" s="91"/>
      <c r="SZK13" s="89"/>
      <c r="SZM13" s="91"/>
      <c r="SZP13" s="89"/>
      <c r="SZR13" s="91"/>
      <c r="SZU13" s="89"/>
      <c r="SZW13" s="91"/>
      <c r="SZZ13" s="89"/>
      <c r="TAB13" s="91"/>
      <c r="TAE13" s="89"/>
      <c r="TAG13" s="91"/>
      <c r="TAJ13" s="89"/>
      <c r="TAL13" s="91"/>
      <c r="TAO13" s="89"/>
      <c r="TAQ13" s="91"/>
      <c r="TAT13" s="89"/>
      <c r="TAV13" s="91"/>
      <c r="TAY13" s="89"/>
      <c r="TBA13" s="91"/>
      <c r="TBD13" s="89"/>
      <c r="TBF13" s="91"/>
      <c r="TBI13" s="89"/>
      <c r="TBK13" s="91"/>
      <c r="TBN13" s="89"/>
      <c r="TBP13" s="91"/>
      <c r="TBS13" s="89"/>
      <c r="TBU13" s="91"/>
      <c r="TBX13" s="89"/>
      <c r="TBZ13" s="91"/>
      <c r="TCC13" s="89"/>
      <c r="TCE13" s="91"/>
      <c r="TCH13" s="89"/>
      <c r="TCJ13" s="91"/>
      <c r="TCM13" s="89"/>
      <c r="TCO13" s="91"/>
      <c r="TCR13" s="89"/>
      <c r="TCT13" s="91"/>
      <c r="TCW13" s="89"/>
      <c r="TCY13" s="91"/>
      <c r="TDB13" s="89"/>
      <c r="TDD13" s="91"/>
      <c r="TDG13" s="89"/>
      <c r="TDI13" s="91"/>
      <c r="TDL13" s="89"/>
      <c r="TDN13" s="91"/>
      <c r="TDQ13" s="89"/>
      <c r="TDS13" s="91"/>
      <c r="TDV13" s="89"/>
      <c r="TDX13" s="91"/>
      <c r="TEA13" s="89"/>
      <c r="TEC13" s="91"/>
      <c r="TEF13" s="89"/>
      <c r="TEH13" s="91"/>
      <c r="TEK13" s="89"/>
      <c r="TEM13" s="91"/>
      <c r="TEP13" s="89"/>
      <c r="TER13" s="91"/>
      <c r="TEU13" s="89"/>
      <c r="TEW13" s="91"/>
      <c r="TEZ13" s="89"/>
      <c r="TFB13" s="91"/>
      <c r="TFE13" s="89"/>
      <c r="TFG13" s="91"/>
      <c r="TFJ13" s="89"/>
      <c r="TFL13" s="91"/>
      <c r="TFO13" s="89"/>
      <c r="TFQ13" s="91"/>
      <c r="TFT13" s="89"/>
      <c r="TFV13" s="91"/>
      <c r="TFY13" s="89"/>
      <c r="TGA13" s="91"/>
      <c r="TGD13" s="89"/>
      <c r="TGF13" s="91"/>
      <c r="TGI13" s="89"/>
      <c r="TGK13" s="91"/>
      <c r="TGN13" s="89"/>
      <c r="TGP13" s="91"/>
      <c r="TGS13" s="89"/>
      <c r="TGU13" s="91"/>
      <c r="TGX13" s="89"/>
      <c r="TGZ13" s="91"/>
      <c r="THC13" s="89"/>
      <c r="THE13" s="91"/>
      <c r="THH13" s="89"/>
      <c r="THJ13" s="91"/>
      <c r="THM13" s="89"/>
      <c r="THO13" s="91"/>
      <c r="THR13" s="89"/>
      <c r="THT13" s="91"/>
      <c r="THW13" s="89"/>
      <c r="THY13" s="91"/>
      <c r="TIB13" s="89"/>
      <c r="TID13" s="91"/>
      <c r="TIG13" s="89"/>
      <c r="TII13" s="91"/>
      <c r="TIL13" s="89"/>
      <c r="TIN13" s="91"/>
      <c r="TIQ13" s="89"/>
      <c r="TIS13" s="91"/>
      <c r="TIV13" s="89"/>
      <c r="TIX13" s="91"/>
      <c r="TJA13" s="89"/>
      <c r="TJC13" s="91"/>
      <c r="TJF13" s="89"/>
      <c r="TJH13" s="91"/>
      <c r="TJK13" s="89"/>
      <c r="TJM13" s="91"/>
      <c r="TJP13" s="89"/>
      <c r="TJR13" s="91"/>
      <c r="TJU13" s="89"/>
      <c r="TJW13" s="91"/>
      <c r="TJZ13" s="89"/>
      <c r="TKB13" s="91"/>
      <c r="TKE13" s="89"/>
      <c r="TKG13" s="91"/>
      <c r="TKJ13" s="89"/>
      <c r="TKL13" s="91"/>
      <c r="TKO13" s="89"/>
      <c r="TKQ13" s="91"/>
      <c r="TKT13" s="89"/>
      <c r="TKV13" s="91"/>
      <c r="TKY13" s="89"/>
      <c r="TLA13" s="91"/>
      <c r="TLD13" s="89"/>
      <c r="TLF13" s="91"/>
      <c r="TLI13" s="89"/>
      <c r="TLK13" s="91"/>
      <c r="TLN13" s="89"/>
      <c r="TLP13" s="91"/>
      <c r="TLS13" s="89"/>
      <c r="TLU13" s="91"/>
      <c r="TLX13" s="89"/>
      <c r="TLZ13" s="91"/>
      <c r="TMC13" s="89"/>
      <c r="TME13" s="91"/>
      <c r="TMH13" s="89"/>
      <c r="TMJ13" s="91"/>
      <c r="TMM13" s="89"/>
      <c r="TMO13" s="91"/>
      <c r="TMR13" s="89"/>
      <c r="TMT13" s="91"/>
      <c r="TMW13" s="89"/>
      <c r="TMY13" s="91"/>
      <c r="TNB13" s="89"/>
      <c r="TND13" s="91"/>
      <c r="TNG13" s="89"/>
      <c r="TNI13" s="91"/>
      <c r="TNL13" s="89"/>
      <c r="TNN13" s="91"/>
      <c r="TNQ13" s="89"/>
      <c r="TNS13" s="91"/>
      <c r="TNV13" s="89"/>
      <c r="TNX13" s="91"/>
      <c r="TOA13" s="89"/>
      <c r="TOC13" s="91"/>
      <c r="TOF13" s="89"/>
      <c r="TOH13" s="91"/>
      <c r="TOK13" s="89"/>
      <c r="TOM13" s="91"/>
      <c r="TOP13" s="89"/>
      <c r="TOR13" s="91"/>
      <c r="TOU13" s="89"/>
      <c r="TOW13" s="91"/>
      <c r="TOZ13" s="89"/>
      <c r="TPB13" s="91"/>
      <c r="TPE13" s="89"/>
      <c r="TPG13" s="91"/>
      <c r="TPJ13" s="89"/>
      <c r="TPL13" s="91"/>
      <c r="TPO13" s="89"/>
      <c r="TPQ13" s="91"/>
      <c r="TPT13" s="89"/>
      <c r="TPV13" s="91"/>
      <c r="TPY13" s="89"/>
      <c r="TQA13" s="91"/>
      <c r="TQD13" s="89"/>
      <c r="TQF13" s="91"/>
      <c r="TQI13" s="89"/>
      <c r="TQK13" s="91"/>
      <c r="TQN13" s="89"/>
      <c r="TQP13" s="91"/>
      <c r="TQS13" s="89"/>
      <c r="TQU13" s="91"/>
      <c r="TQX13" s="89"/>
      <c r="TQZ13" s="91"/>
      <c r="TRC13" s="89"/>
      <c r="TRE13" s="91"/>
      <c r="TRH13" s="89"/>
      <c r="TRJ13" s="91"/>
      <c r="TRM13" s="89"/>
      <c r="TRO13" s="91"/>
      <c r="TRR13" s="89"/>
      <c r="TRT13" s="91"/>
      <c r="TRW13" s="89"/>
      <c r="TRY13" s="91"/>
      <c r="TSB13" s="89"/>
      <c r="TSD13" s="91"/>
      <c r="TSG13" s="89"/>
      <c r="TSI13" s="91"/>
      <c r="TSL13" s="89"/>
      <c r="TSN13" s="91"/>
      <c r="TSQ13" s="89"/>
      <c r="TSS13" s="91"/>
      <c r="TSV13" s="89"/>
      <c r="TSX13" s="91"/>
      <c r="TTA13" s="89"/>
      <c r="TTC13" s="91"/>
      <c r="TTF13" s="89"/>
      <c r="TTH13" s="91"/>
      <c r="TTK13" s="89"/>
      <c r="TTM13" s="91"/>
      <c r="TTP13" s="89"/>
      <c r="TTR13" s="91"/>
      <c r="TTU13" s="89"/>
      <c r="TTW13" s="91"/>
      <c r="TTZ13" s="89"/>
      <c r="TUB13" s="91"/>
      <c r="TUE13" s="89"/>
      <c r="TUG13" s="91"/>
      <c r="TUJ13" s="89"/>
      <c r="TUL13" s="91"/>
      <c r="TUO13" s="89"/>
      <c r="TUQ13" s="91"/>
      <c r="TUT13" s="89"/>
      <c r="TUV13" s="91"/>
      <c r="TUY13" s="89"/>
      <c r="TVA13" s="91"/>
      <c r="TVD13" s="89"/>
      <c r="TVF13" s="91"/>
      <c r="TVI13" s="89"/>
      <c r="TVK13" s="91"/>
      <c r="TVN13" s="89"/>
      <c r="TVP13" s="91"/>
      <c r="TVS13" s="89"/>
      <c r="TVU13" s="91"/>
      <c r="TVX13" s="89"/>
      <c r="TVZ13" s="91"/>
      <c r="TWC13" s="89"/>
      <c r="TWE13" s="91"/>
      <c r="TWH13" s="89"/>
      <c r="TWJ13" s="91"/>
      <c r="TWM13" s="89"/>
      <c r="TWO13" s="91"/>
      <c r="TWR13" s="89"/>
      <c r="TWT13" s="91"/>
      <c r="TWW13" s="89"/>
      <c r="TWY13" s="91"/>
      <c r="TXB13" s="89"/>
      <c r="TXD13" s="91"/>
      <c r="TXG13" s="89"/>
      <c r="TXI13" s="91"/>
      <c r="TXL13" s="89"/>
      <c r="TXN13" s="91"/>
      <c r="TXQ13" s="89"/>
      <c r="TXS13" s="91"/>
      <c r="TXV13" s="89"/>
      <c r="TXX13" s="91"/>
      <c r="TYA13" s="89"/>
      <c r="TYC13" s="91"/>
      <c r="TYF13" s="89"/>
      <c r="TYH13" s="91"/>
      <c r="TYK13" s="89"/>
      <c r="TYM13" s="91"/>
      <c r="TYP13" s="89"/>
      <c r="TYR13" s="91"/>
      <c r="TYU13" s="89"/>
      <c r="TYW13" s="91"/>
      <c r="TYZ13" s="89"/>
      <c r="TZB13" s="91"/>
      <c r="TZE13" s="89"/>
      <c r="TZG13" s="91"/>
      <c r="TZJ13" s="89"/>
      <c r="TZL13" s="91"/>
      <c r="TZO13" s="89"/>
      <c r="TZQ13" s="91"/>
      <c r="TZT13" s="89"/>
      <c r="TZV13" s="91"/>
      <c r="TZY13" s="89"/>
      <c r="UAA13" s="91"/>
      <c r="UAD13" s="89"/>
      <c r="UAF13" s="91"/>
      <c r="UAI13" s="89"/>
      <c r="UAK13" s="91"/>
      <c r="UAN13" s="89"/>
      <c r="UAP13" s="91"/>
      <c r="UAS13" s="89"/>
      <c r="UAU13" s="91"/>
      <c r="UAX13" s="89"/>
      <c r="UAZ13" s="91"/>
      <c r="UBC13" s="89"/>
      <c r="UBE13" s="91"/>
      <c r="UBH13" s="89"/>
      <c r="UBJ13" s="91"/>
      <c r="UBM13" s="89"/>
      <c r="UBO13" s="91"/>
      <c r="UBR13" s="89"/>
      <c r="UBT13" s="91"/>
      <c r="UBW13" s="89"/>
      <c r="UBY13" s="91"/>
      <c r="UCB13" s="89"/>
      <c r="UCD13" s="91"/>
      <c r="UCG13" s="89"/>
      <c r="UCI13" s="91"/>
      <c r="UCL13" s="89"/>
      <c r="UCN13" s="91"/>
      <c r="UCQ13" s="89"/>
      <c r="UCS13" s="91"/>
      <c r="UCV13" s="89"/>
      <c r="UCX13" s="91"/>
      <c r="UDA13" s="89"/>
      <c r="UDC13" s="91"/>
      <c r="UDF13" s="89"/>
      <c r="UDH13" s="91"/>
      <c r="UDK13" s="89"/>
      <c r="UDM13" s="91"/>
      <c r="UDP13" s="89"/>
      <c r="UDR13" s="91"/>
      <c r="UDU13" s="89"/>
      <c r="UDW13" s="91"/>
      <c r="UDZ13" s="89"/>
      <c r="UEB13" s="91"/>
      <c r="UEE13" s="89"/>
      <c r="UEG13" s="91"/>
      <c r="UEJ13" s="89"/>
      <c r="UEL13" s="91"/>
      <c r="UEO13" s="89"/>
      <c r="UEQ13" s="91"/>
      <c r="UET13" s="89"/>
      <c r="UEV13" s="91"/>
      <c r="UEY13" s="89"/>
      <c r="UFA13" s="91"/>
      <c r="UFD13" s="89"/>
      <c r="UFF13" s="91"/>
      <c r="UFI13" s="89"/>
      <c r="UFK13" s="91"/>
      <c r="UFN13" s="89"/>
      <c r="UFP13" s="91"/>
      <c r="UFS13" s="89"/>
      <c r="UFU13" s="91"/>
      <c r="UFX13" s="89"/>
      <c r="UFZ13" s="91"/>
      <c r="UGC13" s="89"/>
      <c r="UGE13" s="91"/>
      <c r="UGH13" s="89"/>
      <c r="UGJ13" s="91"/>
      <c r="UGM13" s="89"/>
      <c r="UGO13" s="91"/>
      <c r="UGR13" s="89"/>
      <c r="UGT13" s="91"/>
      <c r="UGW13" s="89"/>
      <c r="UGY13" s="91"/>
      <c r="UHB13" s="89"/>
      <c r="UHD13" s="91"/>
      <c r="UHG13" s="89"/>
      <c r="UHI13" s="91"/>
      <c r="UHL13" s="89"/>
      <c r="UHN13" s="91"/>
      <c r="UHQ13" s="89"/>
      <c r="UHS13" s="91"/>
      <c r="UHV13" s="89"/>
      <c r="UHX13" s="91"/>
      <c r="UIA13" s="89"/>
      <c r="UIC13" s="91"/>
      <c r="UIF13" s="89"/>
      <c r="UIH13" s="91"/>
      <c r="UIK13" s="89"/>
      <c r="UIM13" s="91"/>
      <c r="UIP13" s="89"/>
      <c r="UIR13" s="91"/>
      <c r="UIU13" s="89"/>
      <c r="UIW13" s="91"/>
      <c r="UIZ13" s="89"/>
      <c r="UJB13" s="91"/>
      <c r="UJE13" s="89"/>
      <c r="UJG13" s="91"/>
      <c r="UJJ13" s="89"/>
      <c r="UJL13" s="91"/>
      <c r="UJO13" s="89"/>
      <c r="UJQ13" s="91"/>
      <c r="UJT13" s="89"/>
      <c r="UJV13" s="91"/>
      <c r="UJY13" s="89"/>
      <c r="UKA13" s="91"/>
      <c r="UKD13" s="89"/>
      <c r="UKF13" s="91"/>
      <c r="UKI13" s="89"/>
      <c r="UKK13" s="91"/>
      <c r="UKN13" s="89"/>
      <c r="UKP13" s="91"/>
      <c r="UKS13" s="89"/>
      <c r="UKU13" s="91"/>
      <c r="UKX13" s="89"/>
      <c r="UKZ13" s="91"/>
      <c r="ULC13" s="89"/>
      <c r="ULE13" s="91"/>
      <c r="ULH13" s="89"/>
      <c r="ULJ13" s="91"/>
      <c r="ULM13" s="89"/>
      <c r="ULO13" s="91"/>
      <c r="ULR13" s="89"/>
      <c r="ULT13" s="91"/>
      <c r="ULW13" s="89"/>
      <c r="ULY13" s="91"/>
      <c r="UMB13" s="89"/>
      <c r="UMD13" s="91"/>
      <c r="UMG13" s="89"/>
      <c r="UMI13" s="91"/>
      <c r="UML13" s="89"/>
      <c r="UMN13" s="91"/>
      <c r="UMQ13" s="89"/>
      <c r="UMS13" s="91"/>
      <c r="UMV13" s="89"/>
      <c r="UMX13" s="91"/>
      <c r="UNA13" s="89"/>
      <c r="UNC13" s="91"/>
      <c r="UNF13" s="89"/>
      <c r="UNH13" s="91"/>
      <c r="UNK13" s="89"/>
      <c r="UNM13" s="91"/>
      <c r="UNP13" s="89"/>
      <c r="UNR13" s="91"/>
      <c r="UNU13" s="89"/>
      <c r="UNW13" s="91"/>
      <c r="UNZ13" s="89"/>
      <c r="UOB13" s="91"/>
      <c r="UOE13" s="89"/>
      <c r="UOG13" s="91"/>
      <c r="UOJ13" s="89"/>
      <c r="UOL13" s="91"/>
      <c r="UOO13" s="89"/>
      <c r="UOQ13" s="91"/>
      <c r="UOT13" s="89"/>
      <c r="UOV13" s="91"/>
      <c r="UOY13" s="89"/>
      <c r="UPA13" s="91"/>
      <c r="UPD13" s="89"/>
      <c r="UPF13" s="91"/>
      <c r="UPI13" s="89"/>
      <c r="UPK13" s="91"/>
      <c r="UPN13" s="89"/>
      <c r="UPP13" s="91"/>
      <c r="UPS13" s="89"/>
      <c r="UPU13" s="91"/>
      <c r="UPX13" s="89"/>
      <c r="UPZ13" s="91"/>
      <c r="UQC13" s="89"/>
      <c r="UQE13" s="91"/>
      <c r="UQH13" s="89"/>
      <c r="UQJ13" s="91"/>
      <c r="UQM13" s="89"/>
      <c r="UQO13" s="91"/>
      <c r="UQR13" s="89"/>
      <c r="UQT13" s="91"/>
      <c r="UQW13" s="89"/>
      <c r="UQY13" s="91"/>
      <c r="URB13" s="89"/>
      <c r="URD13" s="91"/>
      <c r="URG13" s="89"/>
      <c r="URI13" s="91"/>
      <c r="URL13" s="89"/>
      <c r="URN13" s="91"/>
      <c r="URQ13" s="89"/>
      <c r="URS13" s="91"/>
      <c r="URV13" s="89"/>
      <c r="URX13" s="91"/>
      <c r="USA13" s="89"/>
      <c r="USC13" s="91"/>
      <c r="USF13" s="89"/>
      <c r="USH13" s="91"/>
      <c r="USK13" s="89"/>
      <c r="USM13" s="91"/>
      <c r="USP13" s="89"/>
      <c r="USR13" s="91"/>
      <c r="USU13" s="89"/>
      <c r="USW13" s="91"/>
      <c r="USZ13" s="89"/>
      <c r="UTB13" s="91"/>
      <c r="UTE13" s="89"/>
      <c r="UTG13" s="91"/>
      <c r="UTJ13" s="89"/>
      <c r="UTL13" s="91"/>
      <c r="UTO13" s="89"/>
      <c r="UTQ13" s="91"/>
      <c r="UTT13" s="89"/>
      <c r="UTV13" s="91"/>
      <c r="UTY13" s="89"/>
      <c r="UUA13" s="91"/>
      <c r="UUD13" s="89"/>
      <c r="UUF13" s="91"/>
      <c r="UUI13" s="89"/>
      <c r="UUK13" s="91"/>
      <c r="UUN13" s="89"/>
      <c r="UUP13" s="91"/>
      <c r="UUS13" s="89"/>
      <c r="UUU13" s="91"/>
      <c r="UUX13" s="89"/>
      <c r="UUZ13" s="91"/>
      <c r="UVC13" s="89"/>
      <c r="UVE13" s="91"/>
      <c r="UVH13" s="89"/>
      <c r="UVJ13" s="91"/>
      <c r="UVM13" s="89"/>
      <c r="UVO13" s="91"/>
      <c r="UVR13" s="89"/>
      <c r="UVT13" s="91"/>
      <c r="UVW13" s="89"/>
      <c r="UVY13" s="91"/>
      <c r="UWB13" s="89"/>
      <c r="UWD13" s="91"/>
      <c r="UWG13" s="89"/>
      <c r="UWI13" s="91"/>
      <c r="UWL13" s="89"/>
      <c r="UWN13" s="91"/>
      <c r="UWQ13" s="89"/>
      <c r="UWS13" s="91"/>
      <c r="UWV13" s="89"/>
      <c r="UWX13" s="91"/>
      <c r="UXA13" s="89"/>
      <c r="UXC13" s="91"/>
      <c r="UXF13" s="89"/>
      <c r="UXH13" s="91"/>
      <c r="UXK13" s="89"/>
      <c r="UXM13" s="91"/>
      <c r="UXP13" s="89"/>
      <c r="UXR13" s="91"/>
      <c r="UXU13" s="89"/>
      <c r="UXW13" s="91"/>
      <c r="UXZ13" s="89"/>
      <c r="UYB13" s="91"/>
      <c r="UYE13" s="89"/>
      <c r="UYG13" s="91"/>
      <c r="UYJ13" s="89"/>
      <c r="UYL13" s="91"/>
      <c r="UYO13" s="89"/>
      <c r="UYQ13" s="91"/>
      <c r="UYT13" s="89"/>
      <c r="UYV13" s="91"/>
      <c r="UYY13" s="89"/>
      <c r="UZA13" s="91"/>
      <c r="UZD13" s="89"/>
      <c r="UZF13" s="91"/>
      <c r="UZI13" s="89"/>
      <c r="UZK13" s="91"/>
      <c r="UZN13" s="89"/>
      <c r="UZP13" s="91"/>
      <c r="UZS13" s="89"/>
      <c r="UZU13" s="91"/>
      <c r="UZX13" s="89"/>
      <c r="UZZ13" s="91"/>
      <c r="VAC13" s="89"/>
      <c r="VAE13" s="91"/>
      <c r="VAH13" s="89"/>
      <c r="VAJ13" s="91"/>
      <c r="VAM13" s="89"/>
      <c r="VAO13" s="91"/>
      <c r="VAR13" s="89"/>
      <c r="VAT13" s="91"/>
      <c r="VAW13" s="89"/>
      <c r="VAY13" s="91"/>
      <c r="VBB13" s="89"/>
      <c r="VBD13" s="91"/>
      <c r="VBG13" s="89"/>
      <c r="VBI13" s="91"/>
      <c r="VBL13" s="89"/>
      <c r="VBN13" s="91"/>
      <c r="VBQ13" s="89"/>
      <c r="VBS13" s="91"/>
      <c r="VBV13" s="89"/>
      <c r="VBX13" s="91"/>
      <c r="VCA13" s="89"/>
      <c r="VCC13" s="91"/>
      <c r="VCF13" s="89"/>
      <c r="VCH13" s="91"/>
      <c r="VCK13" s="89"/>
      <c r="VCM13" s="91"/>
      <c r="VCP13" s="89"/>
      <c r="VCR13" s="91"/>
      <c r="VCU13" s="89"/>
      <c r="VCW13" s="91"/>
      <c r="VCZ13" s="89"/>
      <c r="VDB13" s="91"/>
      <c r="VDE13" s="89"/>
      <c r="VDG13" s="91"/>
      <c r="VDJ13" s="89"/>
      <c r="VDL13" s="91"/>
      <c r="VDO13" s="89"/>
      <c r="VDQ13" s="91"/>
      <c r="VDT13" s="89"/>
      <c r="VDV13" s="91"/>
      <c r="VDY13" s="89"/>
      <c r="VEA13" s="91"/>
      <c r="VED13" s="89"/>
      <c r="VEF13" s="91"/>
      <c r="VEI13" s="89"/>
      <c r="VEK13" s="91"/>
      <c r="VEN13" s="89"/>
      <c r="VEP13" s="91"/>
      <c r="VES13" s="89"/>
      <c r="VEU13" s="91"/>
      <c r="VEX13" s="89"/>
      <c r="VEZ13" s="91"/>
      <c r="VFC13" s="89"/>
      <c r="VFE13" s="91"/>
      <c r="VFH13" s="89"/>
      <c r="VFJ13" s="91"/>
      <c r="VFM13" s="89"/>
      <c r="VFO13" s="91"/>
      <c r="VFR13" s="89"/>
      <c r="VFT13" s="91"/>
      <c r="VFW13" s="89"/>
      <c r="VFY13" s="91"/>
      <c r="VGB13" s="89"/>
      <c r="VGD13" s="91"/>
      <c r="VGG13" s="89"/>
      <c r="VGI13" s="91"/>
      <c r="VGL13" s="89"/>
      <c r="VGN13" s="91"/>
      <c r="VGQ13" s="89"/>
      <c r="VGS13" s="91"/>
      <c r="VGV13" s="89"/>
      <c r="VGX13" s="91"/>
      <c r="VHA13" s="89"/>
      <c r="VHC13" s="91"/>
      <c r="VHF13" s="89"/>
      <c r="VHH13" s="91"/>
      <c r="VHK13" s="89"/>
      <c r="VHM13" s="91"/>
      <c r="VHP13" s="89"/>
      <c r="VHR13" s="91"/>
      <c r="VHU13" s="89"/>
      <c r="VHW13" s="91"/>
      <c r="VHZ13" s="89"/>
      <c r="VIB13" s="91"/>
      <c r="VIE13" s="89"/>
      <c r="VIG13" s="91"/>
      <c r="VIJ13" s="89"/>
      <c r="VIL13" s="91"/>
      <c r="VIO13" s="89"/>
      <c r="VIQ13" s="91"/>
      <c r="VIT13" s="89"/>
      <c r="VIV13" s="91"/>
      <c r="VIY13" s="89"/>
      <c r="VJA13" s="91"/>
      <c r="VJD13" s="89"/>
      <c r="VJF13" s="91"/>
      <c r="VJI13" s="89"/>
      <c r="VJK13" s="91"/>
      <c r="VJN13" s="89"/>
      <c r="VJP13" s="91"/>
      <c r="VJS13" s="89"/>
      <c r="VJU13" s="91"/>
      <c r="VJX13" s="89"/>
      <c r="VJZ13" s="91"/>
      <c r="VKC13" s="89"/>
      <c r="VKE13" s="91"/>
      <c r="VKH13" s="89"/>
      <c r="VKJ13" s="91"/>
      <c r="VKM13" s="89"/>
      <c r="VKO13" s="91"/>
      <c r="VKR13" s="89"/>
      <c r="VKT13" s="91"/>
      <c r="VKW13" s="89"/>
      <c r="VKY13" s="91"/>
      <c r="VLB13" s="89"/>
      <c r="VLD13" s="91"/>
      <c r="VLG13" s="89"/>
      <c r="VLI13" s="91"/>
      <c r="VLL13" s="89"/>
      <c r="VLN13" s="91"/>
      <c r="VLQ13" s="89"/>
      <c r="VLS13" s="91"/>
      <c r="VLV13" s="89"/>
      <c r="VLX13" s="91"/>
      <c r="VMA13" s="89"/>
      <c r="VMC13" s="91"/>
      <c r="VMF13" s="89"/>
      <c r="VMH13" s="91"/>
      <c r="VMK13" s="89"/>
      <c r="VMM13" s="91"/>
      <c r="VMP13" s="89"/>
      <c r="VMR13" s="91"/>
      <c r="VMU13" s="89"/>
      <c r="VMW13" s="91"/>
      <c r="VMZ13" s="89"/>
      <c r="VNB13" s="91"/>
      <c r="VNE13" s="89"/>
      <c r="VNG13" s="91"/>
      <c r="VNJ13" s="89"/>
      <c r="VNL13" s="91"/>
      <c r="VNO13" s="89"/>
      <c r="VNQ13" s="91"/>
      <c r="VNT13" s="89"/>
      <c r="VNV13" s="91"/>
      <c r="VNY13" s="89"/>
      <c r="VOA13" s="91"/>
      <c r="VOD13" s="89"/>
      <c r="VOF13" s="91"/>
      <c r="VOI13" s="89"/>
      <c r="VOK13" s="91"/>
      <c r="VON13" s="89"/>
      <c r="VOP13" s="91"/>
      <c r="VOS13" s="89"/>
      <c r="VOU13" s="91"/>
      <c r="VOX13" s="89"/>
      <c r="VOZ13" s="91"/>
      <c r="VPC13" s="89"/>
      <c r="VPE13" s="91"/>
      <c r="VPH13" s="89"/>
      <c r="VPJ13" s="91"/>
      <c r="VPM13" s="89"/>
      <c r="VPO13" s="91"/>
      <c r="VPR13" s="89"/>
      <c r="VPT13" s="91"/>
      <c r="VPW13" s="89"/>
      <c r="VPY13" s="91"/>
      <c r="VQB13" s="89"/>
      <c r="VQD13" s="91"/>
      <c r="VQG13" s="89"/>
      <c r="VQI13" s="91"/>
      <c r="VQL13" s="89"/>
      <c r="VQN13" s="91"/>
      <c r="VQQ13" s="89"/>
      <c r="VQS13" s="91"/>
      <c r="VQV13" s="89"/>
      <c r="VQX13" s="91"/>
      <c r="VRA13" s="89"/>
      <c r="VRC13" s="91"/>
      <c r="VRF13" s="89"/>
      <c r="VRH13" s="91"/>
      <c r="VRK13" s="89"/>
      <c r="VRM13" s="91"/>
      <c r="VRP13" s="89"/>
      <c r="VRR13" s="91"/>
      <c r="VRU13" s="89"/>
      <c r="VRW13" s="91"/>
      <c r="VRZ13" s="89"/>
      <c r="VSB13" s="91"/>
      <c r="VSE13" s="89"/>
      <c r="VSG13" s="91"/>
      <c r="VSJ13" s="89"/>
      <c r="VSL13" s="91"/>
      <c r="VSO13" s="89"/>
      <c r="VSQ13" s="91"/>
      <c r="VST13" s="89"/>
      <c r="VSV13" s="91"/>
      <c r="VSY13" s="89"/>
      <c r="VTA13" s="91"/>
      <c r="VTD13" s="89"/>
      <c r="VTF13" s="91"/>
      <c r="VTI13" s="89"/>
      <c r="VTK13" s="91"/>
      <c r="VTN13" s="89"/>
      <c r="VTP13" s="91"/>
      <c r="VTS13" s="89"/>
      <c r="VTU13" s="91"/>
      <c r="VTX13" s="89"/>
      <c r="VTZ13" s="91"/>
      <c r="VUC13" s="89"/>
      <c r="VUE13" s="91"/>
      <c r="VUH13" s="89"/>
      <c r="VUJ13" s="91"/>
      <c r="VUM13" s="89"/>
      <c r="VUO13" s="91"/>
      <c r="VUR13" s="89"/>
      <c r="VUT13" s="91"/>
      <c r="VUW13" s="89"/>
      <c r="VUY13" s="91"/>
      <c r="VVB13" s="89"/>
      <c r="VVD13" s="91"/>
      <c r="VVG13" s="89"/>
      <c r="VVI13" s="91"/>
      <c r="VVL13" s="89"/>
      <c r="VVN13" s="91"/>
      <c r="VVQ13" s="89"/>
      <c r="VVS13" s="91"/>
      <c r="VVV13" s="89"/>
      <c r="VVX13" s="91"/>
      <c r="VWA13" s="89"/>
      <c r="VWC13" s="91"/>
      <c r="VWF13" s="89"/>
      <c r="VWH13" s="91"/>
      <c r="VWK13" s="89"/>
      <c r="VWM13" s="91"/>
      <c r="VWP13" s="89"/>
      <c r="VWR13" s="91"/>
      <c r="VWU13" s="89"/>
      <c r="VWW13" s="91"/>
      <c r="VWZ13" s="89"/>
      <c r="VXB13" s="91"/>
      <c r="VXE13" s="89"/>
      <c r="VXG13" s="91"/>
      <c r="VXJ13" s="89"/>
      <c r="VXL13" s="91"/>
      <c r="VXO13" s="89"/>
      <c r="VXQ13" s="91"/>
      <c r="VXT13" s="89"/>
      <c r="VXV13" s="91"/>
      <c r="VXY13" s="89"/>
      <c r="VYA13" s="91"/>
      <c r="VYD13" s="89"/>
      <c r="VYF13" s="91"/>
      <c r="VYI13" s="89"/>
      <c r="VYK13" s="91"/>
      <c r="VYN13" s="89"/>
      <c r="VYP13" s="91"/>
      <c r="VYS13" s="89"/>
      <c r="VYU13" s="91"/>
      <c r="VYX13" s="89"/>
      <c r="VYZ13" s="91"/>
      <c r="VZC13" s="89"/>
      <c r="VZE13" s="91"/>
      <c r="VZH13" s="89"/>
      <c r="VZJ13" s="91"/>
      <c r="VZM13" s="89"/>
      <c r="VZO13" s="91"/>
      <c r="VZR13" s="89"/>
      <c r="VZT13" s="91"/>
      <c r="VZW13" s="89"/>
      <c r="VZY13" s="91"/>
      <c r="WAB13" s="89"/>
      <c r="WAD13" s="91"/>
      <c r="WAG13" s="89"/>
      <c r="WAI13" s="91"/>
      <c r="WAL13" s="89"/>
      <c r="WAN13" s="91"/>
      <c r="WAQ13" s="89"/>
      <c r="WAS13" s="91"/>
      <c r="WAV13" s="89"/>
      <c r="WAX13" s="91"/>
      <c r="WBA13" s="89"/>
      <c r="WBC13" s="91"/>
      <c r="WBF13" s="89"/>
      <c r="WBH13" s="91"/>
      <c r="WBK13" s="89"/>
      <c r="WBM13" s="91"/>
      <c r="WBP13" s="89"/>
      <c r="WBR13" s="91"/>
      <c r="WBU13" s="89"/>
      <c r="WBW13" s="91"/>
      <c r="WBZ13" s="89"/>
      <c r="WCB13" s="91"/>
      <c r="WCE13" s="89"/>
      <c r="WCG13" s="91"/>
      <c r="WCJ13" s="89"/>
      <c r="WCL13" s="91"/>
      <c r="WCO13" s="89"/>
      <c r="WCQ13" s="91"/>
      <c r="WCT13" s="89"/>
      <c r="WCV13" s="91"/>
      <c r="WCY13" s="89"/>
      <c r="WDA13" s="91"/>
      <c r="WDD13" s="89"/>
      <c r="WDF13" s="91"/>
      <c r="WDI13" s="89"/>
      <c r="WDK13" s="91"/>
      <c r="WDN13" s="89"/>
      <c r="WDP13" s="91"/>
      <c r="WDS13" s="89"/>
      <c r="WDU13" s="91"/>
      <c r="WDX13" s="89"/>
      <c r="WDZ13" s="91"/>
      <c r="WEC13" s="89"/>
      <c r="WEE13" s="91"/>
      <c r="WEH13" s="89"/>
      <c r="WEJ13" s="91"/>
      <c r="WEM13" s="89"/>
      <c r="WEO13" s="91"/>
      <c r="WER13" s="89"/>
      <c r="WET13" s="91"/>
      <c r="WEW13" s="89"/>
      <c r="WEY13" s="91"/>
      <c r="WFB13" s="89"/>
      <c r="WFD13" s="91"/>
      <c r="WFG13" s="89"/>
      <c r="WFI13" s="91"/>
      <c r="WFL13" s="89"/>
      <c r="WFN13" s="91"/>
      <c r="WFQ13" s="89"/>
      <c r="WFS13" s="91"/>
      <c r="WFV13" s="89"/>
      <c r="WFX13" s="91"/>
      <c r="WGA13" s="89"/>
      <c r="WGC13" s="91"/>
      <c r="WGF13" s="89"/>
      <c r="WGH13" s="91"/>
      <c r="WGK13" s="89"/>
      <c r="WGM13" s="91"/>
      <c r="WGP13" s="89"/>
      <c r="WGR13" s="91"/>
      <c r="WGU13" s="89"/>
      <c r="WGW13" s="91"/>
      <c r="WGZ13" s="89"/>
      <c r="WHB13" s="91"/>
      <c r="WHE13" s="89"/>
      <c r="WHG13" s="91"/>
      <c r="WHJ13" s="89"/>
      <c r="WHL13" s="91"/>
      <c r="WHO13" s="89"/>
      <c r="WHQ13" s="91"/>
      <c r="WHT13" s="89"/>
      <c r="WHV13" s="91"/>
      <c r="WHY13" s="89"/>
      <c r="WIA13" s="91"/>
      <c r="WID13" s="89"/>
      <c r="WIF13" s="91"/>
      <c r="WII13" s="89"/>
      <c r="WIK13" s="91"/>
      <c r="WIN13" s="89"/>
      <c r="WIP13" s="91"/>
      <c r="WIS13" s="89"/>
      <c r="WIU13" s="91"/>
      <c r="WIX13" s="89"/>
      <c r="WIZ13" s="91"/>
      <c r="WJC13" s="89"/>
      <c r="WJE13" s="91"/>
      <c r="WJH13" s="89"/>
      <c r="WJJ13" s="91"/>
      <c r="WJM13" s="89"/>
      <c r="WJO13" s="91"/>
      <c r="WJR13" s="89"/>
      <c r="WJT13" s="91"/>
      <c r="WJW13" s="89"/>
      <c r="WJY13" s="91"/>
      <c r="WKB13" s="89"/>
      <c r="WKD13" s="91"/>
      <c r="WKG13" s="89"/>
      <c r="WKI13" s="91"/>
      <c r="WKL13" s="89"/>
      <c r="WKN13" s="91"/>
      <c r="WKQ13" s="89"/>
      <c r="WKS13" s="91"/>
      <c r="WKV13" s="89"/>
      <c r="WKX13" s="91"/>
      <c r="WLA13" s="89"/>
      <c r="WLC13" s="91"/>
      <c r="WLF13" s="89"/>
      <c r="WLH13" s="91"/>
      <c r="WLK13" s="89"/>
      <c r="WLM13" s="91"/>
      <c r="WLP13" s="89"/>
      <c r="WLR13" s="91"/>
      <c r="WLU13" s="89"/>
      <c r="WLW13" s="91"/>
      <c r="WLZ13" s="89"/>
      <c r="WMB13" s="91"/>
      <c r="WME13" s="89"/>
      <c r="WMG13" s="91"/>
      <c r="WMJ13" s="89"/>
      <c r="WML13" s="91"/>
      <c r="WMO13" s="89"/>
      <c r="WMQ13" s="91"/>
      <c r="WMT13" s="89"/>
      <c r="WMV13" s="91"/>
      <c r="WMY13" s="89"/>
      <c r="WNA13" s="91"/>
      <c r="WND13" s="89"/>
      <c r="WNF13" s="91"/>
      <c r="WNI13" s="89"/>
      <c r="WNK13" s="91"/>
      <c r="WNN13" s="89"/>
      <c r="WNP13" s="91"/>
      <c r="WNS13" s="89"/>
      <c r="WNU13" s="91"/>
      <c r="WNX13" s="89"/>
      <c r="WNZ13" s="91"/>
      <c r="WOC13" s="89"/>
      <c r="WOE13" s="91"/>
      <c r="WOH13" s="89"/>
      <c r="WOJ13" s="91"/>
      <c r="WOM13" s="89"/>
      <c r="WOO13" s="91"/>
      <c r="WOR13" s="89"/>
      <c r="WOT13" s="91"/>
      <c r="WOW13" s="89"/>
      <c r="WOY13" s="91"/>
      <c r="WPB13" s="89"/>
      <c r="WPD13" s="91"/>
      <c r="WPG13" s="89"/>
      <c r="WPI13" s="91"/>
      <c r="WPL13" s="89"/>
      <c r="WPN13" s="91"/>
      <c r="WPQ13" s="89"/>
      <c r="WPS13" s="91"/>
      <c r="WPV13" s="89"/>
      <c r="WPX13" s="91"/>
      <c r="WQA13" s="89"/>
      <c r="WQC13" s="91"/>
      <c r="WQF13" s="89"/>
      <c r="WQH13" s="91"/>
      <c r="WQK13" s="89"/>
      <c r="WQM13" s="91"/>
      <c r="WQP13" s="89"/>
      <c r="WQR13" s="91"/>
      <c r="WQU13" s="89"/>
      <c r="WQW13" s="91"/>
      <c r="WQZ13" s="89"/>
      <c r="WRB13" s="91"/>
      <c r="WRE13" s="89"/>
      <c r="WRG13" s="91"/>
      <c r="WRJ13" s="89"/>
      <c r="WRL13" s="91"/>
      <c r="WRO13" s="89"/>
      <c r="WRQ13" s="91"/>
      <c r="WRT13" s="89"/>
      <c r="WRV13" s="91"/>
      <c r="WRY13" s="89"/>
      <c r="WSA13" s="91"/>
      <c r="WSD13" s="89"/>
      <c r="WSF13" s="91"/>
      <c r="WSI13" s="89"/>
      <c r="WSK13" s="91"/>
      <c r="WSN13" s="89"/>
      <c r="WSP13" s="91"/>
      <c r="WSS13" s="89"/>
      <c r="WSU13" s="91"/>
      <c r="WSX13" s="89"/>
      <c r="WSZ13" s="91"/>
      <c r="WTC13" s="89"/>
      <c r="WTE13" s="91"/>
      <c r="WTH13" s="89"/>
      <c r="WTJ13" s="91"/>
      <c r="WTM13" s="89"/>
      <c r="WTO13" s="91"/>
      <c r="WTR13" s="89"/>
      <c r="WTT13" s="91"/>
      <c r="WTW13" s="89"/>
      <c r="WTY13" s="91"/>
      <c r="WUB13" s="89"/>
      <c r="WUD13" s="91"/>
      <c r="WUG13" s="89"/>
      <c r="WUI13" s="91"/>
      <c r="WUL13" s="89"/>
      <c r="WUN13" s="91"/>
      <c r="WUQ13" s="89"/>
      <c r="WUS13" s="91"/>
      <c r="WUV13" s="89"/>
      <c r="WUX13" s="91"/>
      <c r="WVA13" s="89"/>
      <c r="WVC13" s="91"/>
      <c r="WVF13" s="89"/>
      <c r="WVH13" s="91"/>
      <c r="WVK13" s="89"/>
      <c r="WVM13" s="91"/>
      <c r="WVP13" s="89"/>
      <c r="WVR13" s="91"/>
      <c r="WVU13" s="89"/>
      <c r="WVW13" s="91"/>
      <c r="WVZ13" s="89"/>
      <c r="WWB13" s="91"/>
      <c r="WWE13" s="89"/>
      <c r="WWG13" s="91"/>
      <c r="WWJ13" s="89"/>
      <c r="WWL13" s="91"/>
      <c r="WWO13" s="89"/>
      <c r="WWQ13" s="91"/>
      <c r="WWT13" s="89"/>
      <c r="WWV13" s="91"/>
      <c r="WWY13" s="89"/>
      <c r="WXA13" s="91"/>
      <c r="WXD13" s="89"/>
      <c r="WXF13" s="91"/>
      <c r="WXI13" s="89"/>
      <c r="WXK13" s="91"/>
      <c r="WXN13" s="89"/>
      <c r="WXP13" s="91"/>
      <c r="WXS13" s="89"/>
      <c r="WXU13" s="91"/>
      <c r="WXX13" s="89"/>
      <c r="WXZ13" s="91"/>
      <c r="WYC13" s="89"/>
      <c r="WYE13" s="91"/>
      <c r="WYH13" s="89"/>
      <c r="WYJ13" s="91"/>
      <c r="WYM13" s="89"/>
      <c r="WYO13" s="91"/>
      <c r="WYR13" s="89"/>
      <c r="WYT13" s="91"/>
      <c r="WYW13" s="89"/>
      <c r="WYY13" s="91"/>
      <c r="WZB13" s="89"/>
      <c r="WZD13" s="91"/>
      <c r="WZG13" s="89"/>
      <c r="WZI13" s="91"/>
      <c r="WZL13" s="89"/>
      <c r="WZN13" s="91"/>
      <c r="WZQ13" s="89"/>
      <c r="WZS13" s="91"/>
      <c r="WZV13" s="89"/>
      <c r="WZX13" s="91"/>
      <c r="XAA13" s="89"/>
      <c r="XAC13" s="91"/>
      <c r="XAF13" s="89"/>
      <c r="XAH13" s="91"/>
      <c r="XAK13" s="89"/>
      <c r="XAM13" s="91"/>
      <c r="XAP13" s="89"/>
      <c r="XAR13" s="91"/>
      <c r="XAU13" s="89"/>
      <c r="XAW13" s="91"/>
      <c r="XAZ13" s="89"/>
      <c r="XBB13" s="91"/>
      <c r="XBE13" s="89"/>
      <c r="XBG13" s="91"/>
      <c r="XBJ13" s="89"/>
      <c r="XBL13" s="91"/>
      <c r="XBO13" s="89"/>
      <c r="XBQ13" s="91"/>
      <c r="XBT13" s="89"/>
      <c r="XBV13" s="91"/>
      <c r="XBY13" s="89"/>
      <c r="XCA13" s="91"/>
      <c r="XCD13" s="89"/>
      <c r="XCF13" s="91"/>
      <c r="XCI13" s="89"/>
      <c r="XCK13" s="91"/>
      <c r="XCN13" s="89"/>
      <c r="XCP13" s="91"/>
      <c r="XCS13" s="89"/>
      <c r="XCU13" s="91"/>
      <c r="XCX13" s="89"/>
      <c r="XCZ13" s="91"/>
      <c r="XDC13" s="89"/>
      <c r="XDE13" s="91"/>
      <c r="XDH13" s="89"/>
      <c r="XDJ13" s="91"/>
      <c r="XDM13" s="89"/>
      <c r="XDO13" s="91"/>
      <c r="XDR13" s="89"/>
      <c r="XDT13" s="91"/>
      <c r="XDW13" s="89"/>
      <c r="XDY13" s="91"/>
      <c r="XEB13" s="89"/>
      <c r="XED13" s="91"/>
      <c r="XEG13" s="89"/>
      <c r="XEI13" s="91"/>
      <c r="XEL13" s="89"/>
      <c r="XEN13" s="91"/>
      <c r="XEQ13" s="89"/>
      <c r="XES13" s="91"/>
      <c r="XEV13" s="89"/>
      <c r="XEX13" s="91"/>
      <c r="XFA13" s="89"/>
      <c r="XFC13" s="91"/>
    </row>
    <row r="14" spans="1:1023 1026:2048 2051:3071 3073:4096 4098:5118 5121:6143 6146:7168 7171:8191 8193:9216 9218:10238 10241:11263 11266:12288 12291:13311 13313:14336 14338:15358 15361:16383" x14ac:dyDescent="0.2">
      <c r="A14" s="45">
        <v>45702</v>
      </c>
      <c r="B14" s="37" t="s">
        <v>229</v>
      </c>
      <c r="C14" s="46">
        <v>258267.24</v>
      </c>
      <c r="D14" s="37" t="s">
        <v>161</v>
      </c>
      <c r="E14" s="37" t="s">
        <v>221</v>
      </c>
    </row>
    <row r="15" spans="1:1023 1026:2048 2051:3071 3073:4096 4098:5118 5121:6143 6146:7168 7171:8191 8193:9216 9218:10238 10241:11263 11266:12288 12291:13311 13313:14336 14338:15358 15361:16383" x14ac:dyDescent="0.2">
      <c r="A15" s="45">
        <v>45694</v>
      </c>
      <c r="B15" s="37" t="s">
        <v>210</v>
      </c>
      <c r="C15" s="46">
        <v>65007.25</v>
      </c>
      <c r="D15" s="37" t="s">
        <v>161</v>
      </c>
      <c r="E15" s="37" t="s">
        <v>211</v>
      </c>
    </row>
    <row r="16" spans="1:1023 1026:2048 2051:3071 3073:4096 4098:5118 5121:6143 6146:7168 7171:8191 8193:9216 9218:10238 10241:11263 11266:12288 12291:13311 13313:14336 14338:15358 15361:16383" x14ac:dyDescent="0.2">
      <c r="A16" s="45">
        <v>45694</v>
      </c>
      <c r="B16" s="37" t="s">
        <v>212</v>
      </c>
      <c r="C16" s="46">
        <v>547908.38</v>
      </c>
      <c r="D16" s="37" t="s">
        <v>161</v>
      </c>
      <c r="E16" s="37" t="s">
        <v>211</v>
      </c>
    </row>
    <row r="17" spans="1:1023 1026:2048 2051:3071 3073:4096 4098:5118 5121:6143 6146:7168 7171:8191 8193:9216 9218:10238 10241:11263 11266:12288 12291:13311 13313:14336 14338:15358 15361:16383" x14ac:dyDescent="0.2">
      <c r="A17" s="45">
        <v>45699</v>
      </c>
      <c r="B17" s="37" t="s">
        <v>220</v>
      </c>
      <c r="C17" s="46">
        <v>128894.04</v>
      </c>
      <c r="D17" s="37" t="s">
        <v>161</v>
      </c>
      <c r="E17" s="37" t="s">
        <v>221</v>
      </c>
    </row>
    <row r="18" spans="1:1023 1026:2048 2051:3071 3073:4096 4098:5118 5121:6143 6146:7168 7171:8191 8193:9216 9218:10238 10241:11263 11266:12288 12291:13311 13313:14336 14338:15358 15361:16383" x14ac:dyDescent="0.2">
      <c r="A18" s="48">
        <v>45695</v>
      </c>
      <c r="B18" s="37" t="s">
        <v>259</v>
      </c>
      <c r="C18" s="46">
        <v>106000</v>
      </c>
      <c r="D18" s="37" t="s">
        <v>161</v>
      </c>
      <c r="E18" s="37" t="s">
        <v>221</v>
      </c>
    </row>
    <row r="19" spans="1:1023 1026:2048 2051:3071 3073:4096 4098:5118 5121:6143 6146:7168 7171:8191 8193:9216 9218:10238 10241:11263 11266:12288 12291:13311 13313:14336 14338:15358 15361:16383" x14ac:dyDescent="0.2">
      <c r="A19" s="48">
        <v>45699</v>
      </c>
      <c r="B19" s="37" t="s">
        <v>261</v>
      </c>
      <c r="C19" s="46">
        <v>36000.019999999997</v>
      </c>
      <c r="D19" s="37" t="s">
        <v>161</v>
      </c>
      <c r="E19" s="37" t="s">
        <v>270</v>
      </c>
    </row>
    <row r="20" spans="1:1023 1026:2048 2051:3071 3073:4096 4098:5118 5121:6143 6146:7168 7171:8191 8193:9216 9218:10238 10241:11263 11266:12288 12291:13311 13313:14336 14338:15358 15361:16383" s="90" customFormat="1" x14ac:dyDescent="0.2">
      <c r="A20" s="89"/>
      <c r="B20" s="90" t="str">
        <f>+D19</f>
        <v>Extraordinarios</v>
      </c>
      <c r="C20" s="91">
        <f>SUM(C14:C19)</f>
        <v>1142076.9300000002</v>
      </c>
      <c r="F20" s="89"/>
      <c r="H20" s="91"/>
      <c r="K20" s="89"/>
      <c r="M20" s="91"/>
      <c r="P20" s="89"/>
      <c r="R20" s="91"/>
      <c r="U20" s="89"/>
      <c r="W20" s="91"/>
      <c r="Z20" s="89"/>
      <c r="AB20" s="91"/>
      <c r="AE20" s="89"/>
      <c r="AG20" s="91"/>
      <c r="AJ20" s="89"/>
      <c r="AL20" s="91"/>
      <c r="AO20" s="89"/>
      <c r="AQ20" s="91"/>
      <c r="AT20" s="89"/>
      <c r="AV20" s="91"/>
      <c r="AY20" s="89"/>
      <c r="BA20" s="91"/>
      <c r="BD20" s="89"/>
      <c r="BF20" s="91"/>
      <c r="BI20" s="89"/>
      <c r="BK20" s="91"/>
      <c r="BN20" s="89"/>
      <c r="BP20" s="91"/>
      <c r="BS20" s="89"/>
      <c r="BU20" s="91"/>
      <c r="BX20" s="89"/>
      <c r="BZ20" s="91"/>
      <c r="CC20" s="89"/>
      <c r="CE20" s="91"/>
      <c r="CH20" s="89"/>
      <c r="CJ20" s="91"/>
      <c r="CM20" s="89"/>
      <c r="CO20" s="91"/>
      <c r="CR20" s="89"/>
      <c r="CT20" s="91"/>
      <c r="CW20" s="89"/>
      <c r="CY20" s="91"/>
      <c r="DB20" s="89"/>
      <c r="DD20" s="91"/>
      <c r="DG20" s="89"/>
      <c r="DI20" s="91"/>
      <c r="DL20" s="89"/>
      <c r="DN20" s="91"/>
      <c r="DQ20" s="89"/>
      <c r="DS20" s="91"/>
      <c r="DV20" s="89"/>
      <c r="DX20" s="91"/>
      <c r="EA20" s="89"/>
      <c r="EC20" s="91"/>
      <c r="EF20" s="89"/>
      <c r="EH20" s="91"/>
      <c r="EK20" s="89"/>
      <c r="EM20" s="91"/>
      <c r="EP20" s="89"/>
      <c r="ER20" s="91"/>
      <c r="EU20" s="89"/>
      <c r="EW20" s="91"/>
      <c r="EZ20" s="89"/>
      <c r="FB20" s="91"/>
      <c r="FE20" s="89"/>
      <c r="FG20" s="91"/>
      <c r="FJ20" s="89"/>
      <c r="FL20" s="91"/>
      <c r="FO20" s="89"/>
      <c r="FQ20" s="91"/>
      <c r="FT20" s="89"/>
      <c r="FV20" s="91"/>
      <c r="FY20" s="89"/>
      <c r="GA20" s="91"/>
      <c r="GD20" s="89"/>
      <c r="GF20" s="91"/>
      <c r="GI20" s="89"/>
      <c r="GK20" s="91"/>
      <c r="GN20" s="89"/>
      <c r="GP20" s="91"/>
      <c r="GS20" s="89"/>
      <c r="GU20" s="91"/>
      <c r="GX20" s="89"/>
      <c r="GZ20" s="91"/>
      <c r="HC20" s="89"/>
      <c r="HE20" s="91"/>
      <c r="HH20" s="89"/>
      <c r="HJ20" s="91"/>
      <c r="HM20" s="89"/>
      <c r="HO20" s="91"/>
      <c r="HR20" s="89"/>
      <c r="HT20" s="91"/>
      <c r="HW20" s="89"/>
      <c r="HY20" s="91"/>
      <c r="IB20" s="89"/>
      <c r="ID20" s="91"/>
      <c r="IG20" s="89"/>
      <c r="II20" s="91"/>
      <c r="IL20" s="89"/>
      <c r="IN20" s="91"/>
      <c r="IQ20" s="89"/>
      <c r="IS20" s="91"/>
      <c r="IV20" s="89"/>
      <c r="IX20" s="91"/>
      <c r="JA20" s="89"/>
      <c r="JC20" s="91"/>
      <c r="JF20" s="89"/>
      <c r="JH20" s="91"/>
      <c r="JK20" s="89"/>
      <c r="JM20" s="91"/>
      <c r="JP20" s="89"/>
      <c r="JR20" s="91"/>
      <c r="JU20" s="89"/>
      <c r="JW20" s="91"/>
      <c r="JZ20" s="89"/>
      <c r="KB20" s="91"/>
      <c r="KE20" s="89"/>
      <c r="KG20" s="91"/>
      <c r="KJ20" s="89"/>
      <c r="KL20" s="91"/>
      <c r="KO20" s="89"/>
      <c r="KQ20" s="91"/>
      <c r="KT20" s="89"/>
      <c r="KV20" s="91"/>
      <c r="KY20" s="89"/>
      <c r="LA20" s="91"/>
      <c r="LD20" s="89"/>
      <c r="LF20" s="91"/>
      <c r="LI20" s="89"/>
      <c r="LK20" s="91"/>
      <c r="LN20" s="89"/>
      <c r="LP20" s="91"/>
      <c r="LS20" s="89"/>
      <c r="LU20" s="91"/>
      <c r="LX20" s="89"/>
      <c r="LZ20" s="91"/>
      <c r="MC20" s="89"/>
      <c r="ME20" s="91"/>
      <c r="MH20" s="89"/>
      <c r="MJ20" s="91"/>
      <c r="MM20" s="89"/>
      <c r="MO20" s="91"/>
      <c r="MR20" s="89"/>
      <c r="MT20" s="91"/>
      <c r="MW20" s="89"/>
      <c r="MY20" s="91"/>
      <c r="NB20" s="89"/>
      <c r="ND20" s="91"/>
      <c r="NG20" s="89"/>
      <c r="NI20" s="91"/>
      <c r="NL20" s="89"/>
      <c r="NN20" s="91"/>
      <c r="NQ20" s="89"/>
      <c r="NS20" s="91"/>
      <c r="NV20" s="89"/>
      <c r="NX20" s="91"/>
      <c r="OA20" s="89"/>
      <c r="OC20" s="91"/>
      <c r="OF20" s="89"/>
      <c r="OH20" s="91"/>
      <c r="OK20" s="89"/>
      <c r="OM20" s="91"/>
      <c r="OP20" s="89"/>
      <c r="OR20" s="91"/>
      <c r="OU20" s="89"/>
      <c r="OW20" s="91"/>
      <c r="OZ20" s="89"/>
      <c r="PB20" s="91"/>
      <c r="PE20" s="89"/>
      <c r="PG20" s="91"/>
      <c r="PJ20" s="89"/>
      <c r="PL20" s="91"/>
      <c r="PO20" s="89"/>
      <c r="PQ20" s="91"/>
      <c r="PT20" s="89"/>
      <c r="PV20" s="91"/>
      <c r="PY20" s="89"/>
      <c r="QA20" s="91"/>
      <c r="QD20" s="89"/>
      <c r="QF20" s="91"/>
      <c r="QI20" s="89"/>
      <c r="QK20" s="91"/>
      <c r="QN20" s="89"/>
      <c r="QP20" s="91"/>
      <c r="QS20" s="89"/>
      <c r="QU20" s="91"/>
      <c r="QX20" s="89"/>
      <c r="QZ20" s="91"/>
      <c r="RC20" s="89"/>
      <c r="RE20" s="91"/>
      <c r="RH20" s="89"/>
      <c r="RJ20" s="91"/>
      <c r="RM20" s="89"/>
      <c r="RO20" s="91"/>
      <c r="RR20" s="89"/>
      <c r="RT20" s="91"/>
      <c r="RW20" s="89"/>
      <c r="RY20" s="91"/>
      <c r="SB20" s="89"/>
      <c r="SD20" s="91"/>
      <c r="SG20" s="89"/>
      <c r="SI20" s="91"/>
      <c r="SL20" s="89"/>
      <c r="SN20" s="91"/>
      <c r="SQ20" s="89"/>
      <c r="SS20" s="91"/>
      <c r="SV20" s="89"/>
      <c r="SX20" s="91"/>
      <c r="TA20" s="89"/>
      <c r="TC20" s="91"/>
      <c r="TF20" s="89"/>
      <c r="TH20" s="91"/>
      <c r="TK20" s="89"/>
      <c r="TM20" s="91"/>
      <c r="TP20" s="89"/>
      <c r="TR20" s="91"/>
      <c r="TU20" s="89"/>
      <c r="TW20" s="91"/>
      <c r="TZ20" s="89"/>
      <c r="UB20" s="91"/>
      <c r="UE20" s="89"/>
      <c r="UG20" s="91"/>
      <c r="UJ20" s="89"/>
      <c r="UL20" s="91"/>
      <c r="UO20" s="89"/>
      <c r="UQ20" s="91"/>
      <c r="UT20" s="89"/>
      <c r="UV20" s="91"/>
      <c r="UY20" s="89"/>
      <c r="VA20" s="91"/>
      <c r="VD20" s="89"/>
      <c r="VF20" s="91"/>
      <c r="VI20" s="89"/>
      <c r="VK20" s="91"/>
      <c r="VN20" s="89"/>
      <c r="VP20" s="91"/>
      <c r="VS20" s="89"/>
      <c r="VU20" s="91"/>
      <c r="VX20" s="89"/>
      <c r="VZ20" s="91"/>
      <c r="WC20" s="89"/>
      <c r="WE20" s="91"/>
      <c r="WH20" s="89"/>
      <c r="WJ20" s="91"/>
      <c r="WM20" s="89"/>
      <c r="WO20" s="91"/>
      <c r="WR20" s="89"/>
      <c r="WT20" s="91"/>
      <c r="WW20" s="89"/>
      <c r="WY20" s="91"/>
      <c r="XB20" s="89"/>
      <c r="XD20" s="91"/>
      <c r="XG20" s="89"/>
      <c r="XI20" s="91"/>
      <c r="XL20" s="89"/>
      <c r="XN20" s="91"/>
      <c r="XQ20" s="89"/>
      <c r="XS20" s="91"/>
      <c r="XV20" s="89"/>
      <c r="XX20" s="91"/>
      <c r="YA20" s="89"/>
      <c r="YC20" s="91"/>
      <c r="YF20" s="89"/>
      <c r="YH20" s="91"/>
      <c r="YK20" s="89"/>
      <c r="YM20" s="91"/>
      <c r="YP20" s="89"/>
      <c r="YR20" s="91"/>
      <c r="YU20" s="89"/>
      <c r="YW20" s="91"/>
      <c r="YZ20" s="89"/>
      <c r="ZB20" s="91"/>
      <c r="ZE20" s="89"/>
      <c r="ZG20" s="91"/>
      <c r="ZJ20" s="89"/>
      <c r="ZL20" s="91"/>
      <c r="ZO20" s="89"/>
      <c r="ZQ20" s="91"/>
      <c r="ZT20" s="89"/>
      <c r="ZV20" s="91"/>
      <c r="ZY20" s="89"/>
      <c r="AAA20" s="91"/>
      <c r="AAD20" s="89"/>
      <c r="AAF20" s="91"/>
      <c r="AAI20" s="89"/>
      <c r="AAK20" s="91"/>
      <c r="AAN20" s="89"/>
      <c r="AAP20" s="91"/>
      <c r="AAS20" s="89"/>
      <c r="AAU20" s="91"/>
      <c r="AAX20" s="89"/>
      <c r="AAZ20" s="91"/>
      <c r="ABC20" s="89"/>
      <c r="ABE20" s="91"/>
      <c r="ABH20" s="89"/>
      <c r="ABJ20" s="91"/>
      <c r="ABM20" s="89"/>
      <c r="ABO20" s="91"/>
      <c r="ABR20" s="89"/>
      <c r="ABT20" s="91"/>
      <c r="ABW20" s="89"/>
      <c r="ABY20" s="91"/>
      <c r="ACB20" s="89"/>
      <c r="ACD20" s="91"/>
      <c r="ACG20" s="89"/>
      <c r="ACI20" s="91"/>
      <c r="ACL20" s="89"/>
      <c r="ACN20" s="91"/>
      <c r="ACQ20" s="89"/>
      <c r="ACS20" s="91"/>
      <c r="ACV20" s="89"/>
      <c r="ACX20" s="91"/>
      <c r="ADA20" s="89"/>
      <c r="ADC20" s="91"/>
      <c r="ADF20" s="89"/>
      <c r="ADH20" s="91"/>
      <c r="ADK20" s="89"/>
      <c r="ADM20" s="91"/>
      <c r="ADP20" s="89"/>
      <c r="ADR20" s="91"/>
      <c r="ADU20" s="89"/>
      <c r="ADW20" s="91"/>
      <c r="ADZ20" s="89"/>
      <c r="AEB20" s="91"/>
      <c r="AEE20" s="89"/>
      <c r="AEG20" s="91"/>
      <c r="AEJ20" s="89"/>
      <c r="AEL20" s="91"/>
      <c r="AEO20" s="89"/>
      <c r="AEQ20" s="91"/>
      <c r="AET20" s="89"/>
      <c r="AEV20" s="91"/>
      <c r="AEY20" s="89"/>
      <c r="AFA20" s="91"/>
      <c r="AFD20" s="89"/>
      <c r="AFF20" s="91"/>
      <c r="AFI20" s="89"/>
      <c r="AFK20" s="91"/>
      <c r="AFN20" s="89"/>
      <c r="AFP20" s="91"/>
      <c r="AFS20" s="89"/>
      <c r="AFU20" s="91"/>
      <c r="AFX20" s="89"/>
      <c r="AFZ20" s="91"/>
      <c r="AGC20" s="89"/>
      <c r="AGE20" s="91"/>
      <c r="AGH20" s="89"/>
      <c r="AGJ20" s="91"/>
      <c r="AGM20" s="89"/>
      <c r="AGO20" s="91"/>
      <c r="AGR20" s="89"/>
      <c r="AGT20" s="91"/>
      <c r="AGW20" s="89"/>
      <c r="AGY20" s="91"/>
      <c r="AHB20" s="89"/>
      <c r="AHD20" s="91"/>
      <c r="AHG20" s="89"/>
      <c r="AHI20" s="91"/>
      <c r="AHL20" s="89"/>
      <c r="AHN20" s="91"/>
      <c r="AHQ20" s="89"/>
      <c r="AHS20" s="91"/>
      <c r="AHV20" s="89"/>
      <c r="AHX20" s="91"/>
      <c r="AIA20" s="89"/>
      <c r="AIC20" s="91"/>
      <c r="AIF20" s="89"/>
      <c r="AIH20" s="91"/>
      <c r="AIK20" s="89"/>
      <c r="AIM20" s="91"/>
      <c r="AIP20" s="89"/>
      <c r="AIR20" s="91"/>
      <c r="AIU20" s="89"/>
      <c r="AIW20" s="91"/>
      <c r="AIZ20" s="89"/>
      <c r="AJB20" s="91"/>
      <c r="AJE20" s="89"/>
      <c r="AJG20" s="91"/>
      <c r="AJJ20" s="89"/>
      <c r="AJL20" s="91"/>
      <c r="AJO20" s="89"/>
      <c r="AJQ20" s="91"/>
      <c r="AJT20" s="89"/>
      <c r="AJV20" s="91"/>
      <c r="AJY20" s="89"/>
      <c r="AKA20" s="91"/>
      <c r="AKD20" s="89"/>
      <c r="AKF20" s="91"/>
      <c r="AKI20" s="89"/>
      <c r="AKK20" s="91"/>
      <c r="AKN20" s="89"/>
      <c r="AKP20" s="91"/>
      <c r="AKS20" s="89"/>
      <c r="AKU20" s="91"/>
      <c r="AKX20" s="89"/>
      <c r="AKZ20" s="91"/>
      <c r="ALC20" s="89"/>
      <c r="ALE20" s="91"/>
      <c r="ALH20" s="89"/>
      <c r="ALJ20" s="91"/>
      <c r="ALM20" s="89"/>
      <c r="ALO20" s="91"/>
      <c r="ALR20" s="89"/>
      <c r="ALT20" s="91"/>
      <c r="ALW20" s="89"/>
      <c r="ALY20" s="91"/>
      <c r="AMB20" s="89"/>
      <c r="AMD20" s="91"/>
      <c r="AMG20" s="89"/>
      <c r="AMI20" s="91"/>
      <c r="AML20" s="89"/>
      <c r="AMN20" s="91"/>
      <c r="AMQ20" s="89"/>
      <c r="AMS20" s="91"/>
      <c r="AMV20" s="89"/>
      <c r="AMX20" s="91"/>
      <c r="ANA20" s="89"/>
      <c r="ANC20" s="91"/>
      <c r="ANF20" s="89"/>
      <c r="ANH20" s="91"/>
      <c r="ANK20" s="89"/>
      <c r="ANM20" s="91"/>
      <c r="ANP20" s="89"/>
      <c r="ANR20" s="91"/>
      <c r="ANU20" s="89"/>
      <c r="ANW20" s="91"/>
      <c r="ANZ20" s="89"/>
      <c r="AOB20" s="91"/>
      <c r="AOE20" s="89"/>
      <c r="AOG20" s="91"/>
      <c r="AOJ20" s="89"/>
      <c r="AOL20" s="91"/>
      <c r="AOO20" s="89"/>
      <c r="AOQ20" s="91"/>
      <c r="AOT20" s="89"/>
      <c r="AOV20" s="91"/>
      <c r="AOY20" s="89"/>
      <c r="APA20" s="91"/>
      <c r="APD20" s="89"/>
      <c r="APF20" s="91"/>
      <c r="API20" s="89"/>
      <c r="APK20" s="91"/>
      <c r="APN20" s="89"/>
      <c r="APP20" s="91"/>
      <c r="APS20" s="89"/>
      <c r="APU20" s="91"/>
      <c r="APX20" s="89"/>
      <c r="APZ20" s="91"/>
      <c r="AQC20" s="89"/>
      <c r="AQE20" s="91"/>
      <c r="AQH20" s="89"/>
      <c r="AQJ20" s="91"/>
      <c r="AQM20" s="89"/>
      <c r="AQO20" s="91"/>
      <c r="AQR20" s="89"/>
      <c r="AQT20" s="91"/>
      <c r="AQW20" s="89"/>
      <c r="AQY20" s="91"/>
      <c r="ARB20" s="89"/>
      <c r="ARD20" s="91"/>
      <c r="ARG20" s="89"/>
      <c r="ARI20" s="91"/>
      <c r="ARL20" s="89"/>
      <c r="ARN20" s="91"/>
      <c r="ARQ20" s="89"/>
      <c r="ARS20" s="91"/>
      <c r="ARV20" s="89"/>
      <c r="ARX20" s="91"/>
      <c r="ASA20" s="89"/>
      <c r="ASC20" s="91"/>
      <c r="ASF20" s="89"/>
      <c r="ASH20" s="91"/>
      <c r="ASK20" s="89"/>
      <c r="ASM20" s="91"/>
      <c r="ASP20" s="89"/>
      <c r="ASR20" s="91"/>
      <c r="ASU20" s="89"/>
      <c r="ASW20" s="91"/>
      <c r="ASZ20" s="89"/>
      <c r="ATB20" s="91"/>
      <c r="ATE20" s="89"/>
      <c r="ATG20" s="91"/>
      <c r="ATJ20" s="89"/>
      <c r="ATL20" s="91"/>
      <c r="ATO20" s="89"/>
      <c r="ATQ20" s="91"/>
      <c r="ATT20" s="89"/>
      <c r="ATV20" s="91"/>
      <c r="ATY20" s="89"/>
      <c r="AUA20" s="91"/>
      <c r="AUD20" s="89"/>
      <c r="AUF20" s="91"/>
      <c r="AUI20" s="89"/>
      <c r="AUK20" s="91"/>
      <c r="AUN20" s="89"/>
      <c r="AUP20" s="91"/>
      <c r="AUS20" s="89"/>
      <c r="AUU20" s="91"/>
      <c r="AUX20" s="89"/>
      <c r="AUZ20" s="91"/>
      <c r="AVC20" s="89"/>
      <c r="AVE20" s="91"/>
      <c r="AVH20" s="89"/>
      <c r="AVJ20" s="91"/>
      <c r="AVM20" s="89"/>
      <c r="AVO20" s="91"/>
      <c r="AVR20" s="89"/>
      <c r="AVT20" s="91"/>
      <c r="AVW20" s="89"/>
      <c r="AVY20" s="91"/>
      <c r="AWB20" s="89"/>
      <c r="AWD20" s="91"/>
      <c r="AWG20" s="89"/>
      <c r="AWI20" s="91"/>
      <c r="AWL20" s="89"/>
      <c r="AWN20" s="91"/>
      <c r="AWQ20" s="89"/>
      <c r="AWS20" s="91"/>
      <c r="AWV20" s="89"/>
      <c r="AWX20" s="91"/>
      <c r="AXA20" s="89"/>
      <c r="AXC20" s="91"/>
      <c r="AXF20" s="89"/>
      <c r="AXH20" s="91"/>
      <c r="AXK20" s="89"/>
      <c r="AXM20" s="91"/>
      <c r="AXP20" s="89"/>
      <c r="AXR20" s="91"/>
      <c r="AXU20" s="89"/>
      <c r="AXW20" s="91"/>
      <c r="AXZ20" s="89"/>
      <c r="AYB20" s="91"/>
      <c r="AYE20" s="89"/>
      <c r="AYG20" s="91"/>
      <c r="AYJ20" s="89"/>
      <c r="AYL20" s="91"/>
      <c r="AYO20" s="89"/>
      <c r="AYQ20" s="91"/>
      <c r="AYT20" s="89"/>
      <c r="AYV20" s="91"/>
      <c r="AYY20" s="89"/>
      <c r="AZA20" s="91"/>
      <c r="AZD20" s="89"/>
      <c r="AZF20" s="91"/>
      <c r="AZI20" s="89"/>
      <c r="AZK20" s="91"/>
      <c r="AZN20" s="89"/>
      <c r="AZP20" s="91"/>
      <c r="AZS20" s="89"/>
      <c r="AZU20" s="91"/>
      <c r="AZX20" s="89"/>
      <c r="AZZ20" s="91"/>
      <c r="BAC20" s="89"/>
      <c r="BAE20" s="91"/>
      <c r="BAH20" s="89"/>
      <c r="BAJ20" s="91"/>
      <c r="BAM20" s="89"/>
      <c r="BAO20" s="91"/>
      <c r="BAR20" s="89"/>
      <c r="BAT20" s="91"/>
      <c r="BAW20" s="89"/>
      <c r="BAY20" s="91"/>
      <c r="BBB20" s="89"/>
      <c r="BBD20" s="91"/>
      <c r="BBG20" s="89"/>
      <c r="BBI20" s="91"/>
      <c r="BBL20" s="89"/>
      <c r="BBN20" s="91"/>
      <c r="BBQ20" s="89"/>
      <c r="BBS20" s="91"/>
      <c r="BBV20" s="89"/>
      <c r="BBX20" s="91"/>
      <c r="BCA20" s="89"/>
      <c r="BCC20" s="91"/>
      <c r="BCF20" s="89"/>
      <c r="BCH20" s="91"/>
      <c r="BCK20" s="89"/>
      <c r="BCM20" s="91"/>
      <c r="BCP20" s="89"/>
      <c r="BCR20" s="91"/>
      <c r="BCU20" s="89"/>
      <c r="BCW20" s="91"/>
      <c r="BCZ20" s="89"/>
      <c r="BDB20" s="91"/>
      <c r="BDE20" s="89"/>
      <c r="BDG20" s="91"/>
      <c r="BDJ20" s="89"/>
      <c r="BDL20" s="91"/>
      <c r="BDO20" s="89"/>
      <c r="BDQ20" s="91"/>
      <c r="BDT20" s="89"/>
      <c r="BDV20" s="91"/>
      <c r="BDY20" s="89"/>
      <c r="BEA20" s="91"/>
      <c r="BED20" s="89"/>
      <c r="BEF20" s="91"/>
      <c r="BEI20" s="89"/>
      <c r="BEK20" s="91"/>
      <c r="BEN20" s="89"/>
      <c r="BEP20" s="91"/>
      <c r="BES20" s="89"/>
      <c r="BEU20" s="91"/>
      <c r="BEX20" s="89"/>
      <c r="BEZ20" s="91"/>
      <c r="BFC20" s="89"/>
      <c r="BFE20" s="91"/>
      <c r="BFH20" s="89"/>
      <c r="BFJ20" s="91"/>
      <c r="BFM20" s="89"/>
      <c r="BFO20" s="91"/>
      <c r="BFR20" s="89"/>
      <c r="BFT20" s="91"/>
      <c r="BFW20" s="89"/>
      <c r="BFY20" s="91"/>
      <c r="BGB20" s="89"/>
      <c r="BGD20" s="91"/>
      <c r="BGG20" s="89"/>
      <c r="BGI20" s="91"/>
      <c r="BGL20" s="89"/>
      <c r="BGN20" s="91"/>
      <c r="BGQ20" s="89"/>
      <c r="BGS20" s="91"/>
      <c r="BGV20" s="89"/>
      <c r="BGX20" s="91"/>
      <c r="BHA20" s="89"/>
      <c r="BHC20" s="91"/>
      <c r="BHF20" s="89"/>
      <c r="BHH20" s="91"/>
      <c r="BHK20" s="89"/>
      <c r="BHM20" s="91"/>
      <c r="BHP20" s="89"/>
      <c r="BHR20" s="91"/>
      <c r="BHU20" s="89"/>
      <c r="BHW20" s="91"/>
      <c r="BHZ20" s="89"/>
      <c r="BIB20" s="91"/>
      <c r="BIE20" s="89"/>
      <c r="BIG20" s="91"/>
      <c r="BIJ20" s="89"/>
      <c r="BIL20" s="91"/>
      <c r="BIO20" s="89"/>
      <c r="BIQ20" s="91"/>
      <c r="BIT20" s="89"/>
      <c r="BIV20" s="91"/>
      <c r="BIY20" s="89"/>
      <c r="BJA20" s="91"/>
      <c r="BJD20" s="89"/>
      <c r="BJF20" s="91"/>
      <c r="BJI20" s="89"/>
      <c r="BJK20" s="91"/>
      <c r="BJN20" s="89"/>
      <c r="BJP20" s="91"/>
      <c r="BJS20" s="89"/>
      <c r="BJU20" s="91"/>
      <c r="BJX20" s="89"/>
      <c r="BJZ20" s="91"/>
      <c r="BKC20" s="89"/>
      <c r="BKE20" s="91"/>
      <c r="BKH20" s="89"/>
      <c r="BKJ20" s="91"/>
      <c r="BKM20" s="89"/>
      <c r="BKO20" s="91"/>
      <c r="BKR20" s="89"/>
      <c r="BKT20" s="91"/>
      <c r="BKW20" s="89"/>
      <c r="BKY20" s="91"/>
      <c r="BLB20" s="89"/>
      <c r="BLD20" s="91"/>
      <c r="BLG20" s="89"/>
      <c r="BLI20" s="91"/>
      <c r="BLL20" s="89"/>
      <c r="BLN20" s="91"/>
      <c r="BLQ20" s="89"/>
      <c r="BLS20" s="91"/>
      <c r="BLV20" s="89"/>
      <c r="BLX20" s="91"/>
      <c r="BMA20" s="89"/>
      <c r="BMC20" s="91"/>
      <c r="BMF20" s="89"/>
      <c r="BMH20" s="91"/>
      <c r="BMK20" s="89"/>
      <c r="BMM20" s="91"/>
      <c r="BMP20" s="89"/>
      <c r="BMR20" s="91"/>
      <c r="BMU20" s="89"/>
      <c r="BMW20" s="91"/>
      <c r="BMZ20" s="89"/>
      <c r="BNB20" s="91"/>
      <c r="BNE20" s="89"/>
      <c r="BNG20" s="91"/>
      <c r="BNJ20" s="89"/>
      <c r="BNL20" s="91"/>
      <c r="BNO20" s="89"/>
      <c r="BNQ20" s="91"/>
      <c r="BNT20" s="89"/>
      <c r="BNV20" s="91"/>
      <c r="BNY20" s="89"/>
      <c r="BOA20" s="91"/>
      <c r="BOD20" s="89"/>
      <c r="BOF20" s="91"/>
      <c r="BOI20" s="89"/>
      <c r="BOK20" s="91"/>
      <c r="BON20" s="89"/>
      <c r="BOP20" s="91"/>
      <c r="BOS20" s="89"/>
      <c r="BOU20" s="91"/>
      <c r="BOX20" s="89"/>
      <c r="BOZ20" s="91"/>
      <c r="BPC20" s="89"/>
      <c r="BPE20" s="91"/>
      <c r="BPH20" s="89"/>
      <c r="BPJ20" s="91"/>
      <c r="BPM20" s="89"/>
      <c r="BPO20" s="91"/>
      <c r="BPR20" s="89"/>
      <c r="BPT20" s="91"/>
      <c r="BPW20" s="89"/>
      <c r="BPY20" s="91"/>
      <c r="BQB20" s="89"/>
      <c r="BQD20" s="91"/>
      <c r="BQG20" s="89"/>
      <c r="BQI20" s="91"/>
      <c r="BQL20" s="89"/>
      <c r="BQN20" s="91"/>
      <c r="BQQ20" s="89"/>
      <c r="BQS20" s="91"/>
      <c r="BQV20" s="89"/>
      <c r="BQX20" s="91"/>
      <c r="BRA20" s="89"/>
      <c r="BRC20" s="91"/>
      <c r="BRF20" s="89"/>
      <c r="BRH20" s="91"/>
      <c r="BRK20" s="89"/>
      <c r="BRM20" s="91"/>
      <c r="BRP20" s="89"/>
      <c r="BRR20" s="91"/>
      <c r="BRU20" s="89"/>
      <c r="BRW20" s="91"/>
      <c r="BRZ20" s="89"/>
      <c r="BSB20" s="91"/>
      <c r="BSE20" s="89"/>
      <c r="BSG20" s="91"/>
      <c r="BSJ20" s="89"/>
      <c r="BSL20" s="91"/>
      <c r="BSO20" s="89"/>
      <c r="BSQ20" s="91"/>
      <c r="BST20" s="89"/>
      <c r="BSV20" s="91"/>
      <c r="BSY20" s="89"/>
      <c r="BTA20" s="91"/>
      <c r="BTD20" s="89"/>
      <c r="BTF20" s="91"/>
      <c r="BTI20" s="89"/>
      <c r="BTK20" s="91"/>
      <c r="BTN20" s="89"/>
      <c r="BTP20" s="91"/>
      <c r="BTS20" s="89"/>
      <c r="BTU20" s="91"/>
      <c r="BTX20" s="89"/>
      <c r="BTZ20" s="91"/>
      <c r="BUC20" s="89"/>
      <c r="BUE20" s="91"/>
      <c r="BUH20" s="89"/>
      <c r="BUJ20" s="91"/>
      <c r="BUM20" s="89"/>
      <c r="BUO20" s="91"/>
      <c r="BUR20" s="89"/>
      <c r="BUT20" s="91"/>
      <c r="BUW20" s="89"/>
      <c r="BUY20" s="91"/>
      <c r="BVB20" s="89"/>
      <c r="BVD20" s="91"/>
      <c r="BVG20" s="89"/>
      <c r="BVI20" s="91"/>
      <c r="BVL20" s="89"/>
      <c r="BVN20" s="91"/>
      <c r="BVQ20" s="89"/>
      <c r="BVS20" s="91"/>
      <c r="BVV20" s="89"/>
      <c r="BVX20" s="91"/>
      <c r="BWA20" s="89"/>
      <c r="BWC20" s="91"/>
      <c r="BWF20" s="89"/>
      <c r="BWH20" s="91"/>
      <c r="BWK20" s="89"/>
      <c r="BWM20" s="91"/>
      <c r="BWP20" s="89"/>
      <c r="BWR20" s="91"/>
      <c r="BWU20" s="89"/>
      <c r="BWW20" s="91"/>
      <c r="BWZ20" s="89"/>
      <c r="BXB20" s="91"/>
      <c r="BXE20" s="89"/>
      <c r="BXG20" s="91"/>
      <c r="BXJ20" s="89"/>
      <c r="BXL20" s="91"/>
      <c r="BXO20" s="89"/>
      <c r="BXQ20" s="91"/>
      <c r="BXT20" s="89"/>
      <c r="BXV20" s="91"/>
      <c r="BXY20" s="89"/>
      <c r="BYA20" s="91"/>
      <c r="BYD20" s="89"/>
      <c r="BYF20" s="91"/>
      <c r="BYI20" s="89"/>
      <c r="BYK20" s="91"/>
      <c r="BYN20" s="89"/>
      <c r="BYP20" s="91"/>
      <c r="BYS20" s="89"/>
      <c r="BYU20" s="91"/>
      <c r="BYX20" s="89"/>
      <c r="BYZ20" s="91"/>
      <c r="BZC20" s="89"/>
      <c r="BZE20" s="91"/>
      <c r="BZH20" s="89"/>
      <c r="BZJ20" s="91"/>
      <c r="BZM20" s="89"/>
      <c r="BZO20" s="91"/>
      <c r="BZR20" s="89"/>
      <c r="BZT20" s="91"/>
      <c r="BZW20" s="89"/>
      <c r="BZY20" s="91"/>
      <c r="CAB20" s="89"/>
      <c r="CAD20" s="91"/>
      <c r="CAG20" s="89"/>
      <c r="CAI20" s="91"/>
      <c r="CAL20" s="89"/>
      <c r="CAN20" s="91"/>
      <c r="CAQ20" s="89"/>
      <c r="CAS20" s="91"/>
      <c r="CAV20" s="89"/>
      <c r="CAX20" s="91"/>
      <c r="CBA20" s="89"/>
      <c r="CBC20" s="91"/>
      <c r="CBF20" s="89"/>
      <c r="CBH20" s="91"/>
      <c r="CBK20" s="89"/>
      <c r="CBM20" s="91"/>
      <c r="CBP20" s="89"/>
      <c r="CBR20" s="91"/>
      <c r="CBU20" s="89"/>
      <c r="CBW20" s="91"/>
      <c r="CBZ20" s="89"/>
      <c r="CCB20" s="91"/>
      <c r="CCE20" s="89"/>
      <c r="CCG20" s="91"/>
      <c r="CCJ20" s="89"/>
      <c r="CCL20" s="91"/>
      <c r="CCO20" s="89"/>
      <c r="CCQ20" s="91"/>
      <c r="CCT20" s="89"/>
      <c r="CCV20" s="91"/>
      <c r="CCY20" s="89"/>
      <c r="CDA20" s="91"/>
      <c r="CDD20" s="89"/>
      <c r="CDF20" s="91"/>
      <c r="CDI20" s="89"/>
      <c r="CDK20" s="91"/>
      <c r="CDN20" s="89"/>
      <c r="CDP20" s="91"/>
      <c r="CDS20" s="89"/>
      <c r="CDU20" s="91"/>
      <c r="CDX20" s="89"/>
      <c r="CDZ20" s="91"/>
      <c r="CEC20" s="89"/>
      <c r="CEE20" s="91"/>
      <c r="CEH20" s="89"/>
      <c r="CEJ20" s="91"/>
      <c r="CEM20" s="89"/>
      <c r="CEO20" s="91"/>
      <c r="CER20" s="89"/>
      <c r="CET20" s="91"/>
      <c r="CEW20" s="89"/>
      <c r="CEY20" s="91"/>
      <c r="CFB20" s="89"/>
      <c r="CFD20" s="91"/>
      <c r="CFG20" s="89"/>
      <c r="CFI20" s="91"/>
      <c r="CFL20" s="89"/>
      <c r="CFN20" s="91"/>
      <c r="CFQ20" s="89"/>
      <c r="CFS20" s="91"/>
      <c r="CFV20" s="89"/>
      <c r="CFX20" s="91"/>
      <c r="CGA20" s="89"/>
      <c r="CGC20" s="91"/>
      <c r="CGF20" s="89"/>
      <c r="CGH20" s="91"/>
      <c r="CGK20" s="89"/>
      <c r="CGM20" s="91"/>
      <c r="CGP20" s="89"/>
      <c r="CGR20" s="91"/>
      <c r="CGU20" s="89"/>
      <c r="CGW20" s="91"/>
      <c r="CGZ20" s="89"/>
      <c r="CHB20" s="91"/>
      <c r="CHE20" s="89"/>
      <c r="CHG20" s="91"/>
      <c r="CHJ20" s="89"/>
      <c r="CHL20" s="91"/>
      <c r="CHO20" s="89"/>
      <c r="CHQ20" s="91"/>
      <c r="CHT20" s="89"/>
      <c r="CHV20" s="91"/>
      <c r="CHY20" s="89"/>
      <c r="CIA20" s="91"/>
      <c r="CID20" s="89"/>
      <c r="CIF20" s="91"/>
      <c r="CII20" s="89"/>
      <c r="CIK20" s="91"/>
      <c r="CIN20" s="89"/>
      <c r="CIP20" s="91"/>
      <c r="CIS20" s="89"/>
      <c r="CIU20" s="91"/>
      <c r="CIX20" s="89"/>
      <c r="CIZ20" s="91"/>
      <c r="CJC20" s="89"/>
      <c r="CJE20" s="91"/>
      <c r="CJH20" s="89"/>
      <c r="CJJ20" s="91"/>
      <c r="CJM20" s="89"/>
      <c r="CJO20" s="91"/>
      <c r="CJR20" s="89"/>
      <c r="CJT20" s="91"/>
      <c r="CJW20" s="89"/>
      <c r="CJY20" s="91"/>
      <c r="CKB20" s="89"/>
      <c r="CKD20" s="91"/>
      <c r="CKG20" s="89"/>
      <c r="CKI20" s="91"/>
      <c r="CKL20" s="89"/>
      <c r="CKN20" s="91"/>
      <c r="CKQ20" s="89"/>
      <c r="CKS20" s="91"/>
      <c r="CKV20" s="89"/>
      <c r="CKX20" s="91"/>
      <c r="CLA20" s="89"/>
      <c r="CLC20" s="91"/>
      <c r="CLF20" s="89"/>
      <c r="CLH20" s="91"/>
      <c r="CLK20" s="89"/>
      <c r="CLM20" s="91"/>
      <c r="CLP20" s="89"/>
      <c r="CLR20" s="91"/>
      <c r="CLU20" s="89"/>
      <c r="CLW20" s="91"/>
      <c r="CLZ20" s="89"/>
      <c r="CMB20" s="91"/>
      <c r="CME20" s="89"/>
      <c r="CMG20" s="91"/>
      <c r="CMJ20" s="89"/>
      <c r="CML20" s="91"/>
      <c r="CMO20" s="89"/>
      <c r="CMQ20" s="91"/>
      <c r="CMT20" s="89"/>
      <c r="CMV20" s="91"/>
      <c r="CMY20" s="89"/>
      <c r="CNA20" s="91"/>
      <c r="CND20" s="89"/>
      <c r="CNF20" s="91"/>
      <c r="CNI20" s="89"/>
      <c r="CNK20" s="91"/>
      <c r="CNN20" s="89"/>
      <c r="CNP20" s="91"/>
      <c r="CNS20" s="89"/>
      <c r="CNU20" s="91"/>
      <c r="CNX20" s="89"/>
      <c r="CNZ20" s="91"/>
      <c r="COC20" s="89"/>
      <c r="COE20" s="91"/>
      <c r="COH20" s="89"/>
      <c r="COJ20" s="91"/>
      <c r="COM20" s="89"/>
      <c r="COO20" s="91"/>
      <c r="COR20" s="89"/>
      <c r="COT20" s="91"/>
      <c r="COW20" s="89"/>
      <c r="COY20" s="91"/>
      <c r="CPB20" s="89"/>
      <c r="CPD20" s="91"/>
      <c r="CPG20" s="89"/>
      <c r="CPI20" s="91"/>
      <c r="CPL20" s="89"/>
      <c r="CPN20" s="91"/>
      <c r="CPQ20" s="89"/>
      <c r="CPS20" s="91"/>
      <c r="CPV20" s="89"/>
      <c r="CPX20" s="91"/>
      <c r="CQA20" s="89"/>
      <c r="CQC20" s="91"/>
      <c r="CQF20" s="89"/>
      <c r="CQH20" s="91"/>
      <c r="CQK20" s="89"/>
      <c r="CQM20" s="91"/>
      <c r="CQP20" s="89"/>
      <c r="CQR20" s="91"/>
      <c r="CQU20" s="89"/>
      <c r="CQW20" s="91"/>
      <c r="CQZ20" s="89"/>
      <c r="CRB20" s="91"/>
      <c r="CRE20" s="89"/>
      <c r="CRG20" s="91"/>
      <c r="CRJ20" s="89"/>
      <c r="CRL20" s="91"/>
      <c r="CRO20" s="89"/>
      <c r="CRQ20" s="91"/>
      <c r="CRT20" s="89"/>
      <c r="CRV20" s="91"/>
      <c r="CRY20" s="89"/>
      <c r="CSA20" s="91"/>
      <c r="CSD20" s="89"/>
      <c r="CSF20" s="91"/>
      <c r="CSI20" s="89"/>
      <c r="CSK20" s="91"/>
      <c r="CSN20" s="89"/>
      <c r="CSP20" s="91"/>
      <c r="CSS20" s="89"/>
      <c r="CSU20" s="91"/>
      <c r="CSX20" s="89"/>
      <c r="CSZ20" s="91"/>
      <c r="CTC20" s="89"/>
      <c r="CTE20" s="91"/>
      <c r="CTH20" s="89"/>
      <c r="CTJ20" s="91"/>
      <c r="CTM20" s="89"/>
      <c r="CTO20" s="91"/>
      <c r="CTR20" s="89"/>
      <c r="CTT20" s="91"/>
      <c r="CTW20" s="89"/>
      <c r="CTY20" s="91"/>
      <c r="CUB20" s="89"/>
      <c r="CUD20" s="91"/>
      <c r="CUG20" s="89"/>
      <c r="CUI20" s="91"/>
      <c r="CUL20" s="89"/>
      <c r="CUN20" s="91"/>
      <c r="CUQ20" s="89"/>
      <c r="CUS20" s="91"/>
      <c r="CUV20" s="89"/>
      <c r="CUX20" s="91"/>
      <c r="CVA20" s="89"/>
      <c r="CVC20" s="91"/>
      <c r="CVF20" s="89"/>
      <c r="CVH20" s="91"/>
      <c r="CVK20" s="89"/>
      <c r="CVM20" s="91"/>
      <c r="CVP20" s="89"/>
      <c r="CVR20" s="91"/>
      <c r="CVU20" s="89"/>
      <c r="CVW20" s="91"/>
      <c r="CVZ20" s="89"/>
      <c r="CWB20" s="91"/>
      <c r="CWE20" s="89"/>
      <c r="CWG20" s="91"/>
      <c r="CWJ20" s="89"/>
      <c r="CWL20" s="91"/>
      <c r="CWO20" s="89"/>
      <c r="CWQ20" s="91"/>
      <c r="CWT20" s="89"/>
      <c r="CWV20" s="91"/>
      <c r="CWY20" s="89"/>
      <c r="CXA20" s="91"/>
      <c r="CXD20" s="89"/>
      <c r="CXF20" s="91"/>
      <c r="CXI20" s="89"/>
      <c r="CXK20" s="91"/>
      <c r="CXN20" s="89"/>
      <c r="CXP20" s="91"/>
      <c r="CXS20" s="89"/>
      <c r="CXU20" s="91"/>
      <c r="CXX20" s="89"/>
      <c r="CXZ20" s="91"/>
      <c r="CYC20" s="89"/>
      <c r="CYE20" s="91"/>
      <c r="CYH20" s="89"/>
      <c r="CYJ20" s="91"/>
      <c r="CYM20" s="89"/>
      <c r="CYO20" s="91"/>
      <c r="CYR20" s="89"/>
      <c r="CYT20" s="91"/>
      <c r="CYW20" s="89"/>
      <c r="CYY20" s="91"/>
      <c r="CZB20" s="89"/>
      <c r="CZD20" s="91"/>
      <c r="CZG20" s="89"/>
      <c r="CZI20" s="91"/>
      <c r="CZL20" s="89"/>
      <c r="CZN20" s="91"/>
      <c r="CZQ20" s="89"/>
      <c r="CZS20" s="91"/>
      <c r="CZV20" s="89"/>
      <c r="CZX20" s="91"/>
      <c r="DAA20" s="89"/>
      <c r="DAC20" s="91"/>
      <c r="DAF20" s="89"/>
      <c r="DAH20" s="91"/>
      <c r="DAK20" s="89"/>
      <c r="DAM20" s="91"/>
      <c r="DAP20" s="89"/>
      <c r="DAR20" s="91"/>
      <c r="DAU20" s="89"/>
      <c r="DAW20" s="91"/>
      <c r="DAZ20" s="89"/>
      <c r="DBB20" s="91"/>
      <c r="DBE20" s="89"/>
      <c r="DBG20" s="91"/>
      <c r="DBJ20" s="89"/>
      <c r="DBL20" s="91"/>
      <c r="DBO20" s="89"/>
      <c r="DBQ20" s="91"/>
      <c r="DBT20" s="89"/>
      <c r="DBV20" s="91"/>
      <c r="DBY20" s="89"/>
      <c r="DCA20" s="91"/>
      <c r="DCD20" s="89"/>
      <c r="DCF20" s="91"/>
      <c r="DCI20" s="89"/>
      <c r="DCK20" s="91"/>
      <c r="DCN20" s="89"/>
      <c r="DCP20" s="91"/>
      <c r="DCS20" s="89"/>
      <c r="DCU20" s="91"/>
      <c r="DCX20" s="89"/>
      <c r="DCZ20" s="91"/>
      <c r="DDC20" s="89"/>
      <c r="DDE20" s="91"/>
      <c r="DDH20" s="89"/>
      <c r="DDJ20" s="91"/>
      <c r="DDM20" s="89"/>
      <c r="DDO20" s="91"/>
      <c r="DDR20" s="89"/>
      <c r="DDT20" s="91"/>
      <c r="DDW20" s="89"/>
      <c r="DDY20" s="91"/>
      <c r="DEB20" s="89"/>
      <c r="DED20" s="91"/>
      <c r="DEG20" s="89"/>
      <c r="DEI20" s="91"/>
      <c r="DEL20" s="89"/>
      <c r="DEN20" s="91"/>
      <c r="DEQ20" s="89"/>
      <c r="DES20" s="91"/>
      <c r="DEV20" s="89"/>
      <c r="DEX20" s="91"/>
      <c r="DFA20" s="89"/>
      <c r="DFC20" s="91"/>
      <c r="DFF20" s="89"/>
      <c r="DFH20" s="91"/>
      <c r="DFK20" s="89"/>
      <c r="DFM20" s="91"/>
      <c r="DFP20" s="89"/>
      <c r="DFR20" s="91"/>
      <c r="DFU20" s="89"/>
      <c r="DFW20" s="91"/>
      <c r="DFZ20" s="89"/>
      <c r="DGB20" s="91"/>
      <c r="DGE20" s="89"/>
      <c r="DGG20" s="91"/>
      <c r="DGJ20" s="89"/>
      <c r="DGL20" s="91"/>
      <c r="DGO20" s="89"/>
      <c r="DGQ20" s="91"/>
      <c r="DGT20" s="89"/>
      <c r="DGV20" s="91"/>
      <c r="DGY20" s="89"/>
      <c r="DHA20" s="91"/>
      <c r="DHD20" s="89"/>
      <c r="DHF20" s="91"/>
      <c r="DHI20" s="89"/>
      <c r="DHK20" s="91"/>
      <c r="DHN20" s="89"/>
      <c r="DHP20" s="91"/>
      <c r="DHS20" s="89"/>
      <c r="DHU20" s="91"/>
      <c r="DHX20" s="89"/>
      <c r="DHZ20" s="91"/>
      <c r="DIC20" s="89"/>
      <c r="DIE20" s="91"/>
      <c r="DIH20" s="89"/>
      <c r="DIJ20" s="91"/>
      <c r="DIM20" s="89"/>
      <c r="DIO20" s="91"/>
      <c r="DIR20" s="89"/>
      <c r="DIT20" s="91"/>
      <c r="DIW20" s="89"/>
      <c r="DIY20" s="91"/>
      <c r="DJB20" s="89"/>
      <c r="DJD20" s="91"/>
      <c r="DJG20" s="89"/>
      <c r="DJI20" s="91"/>
      <c r="DJL20" s="89"/>
      <c r="DJN20" s="91"/>
      <c r="DJQ20" s="89"/>
      <c r="DJS20" s="91"/>
      <c r="DJV20" s="89"/>
      <c r="DJX20" s="91"/>
      <c r="DKA20" s="89"/>
      <c r="DKC20" s="91"/>
      <c r="DKF20" s="89"/>
      <c r="DKH20" s="91"/>
      <c r="DKK20" s="89"/>
      <c r="DKM20" s="91"/>
      <c r="DKP20" s="89"/>
      <c r="DKR20" s="91"/>
      <c r="DKU20" s="89"/>
      <c r="DKW20" s="91"/>
      <c r="DKZ20" s="89"/>
      <c r="DLB20" s="91"/>
      <c r="DLE20" s="89"/>
      <c r="DLG20" s="91"/>
      <c r="DLJ20" s="89"/>
      <c r="DLL20" s="91"/>
      <c r="DLO20" s="89"/>
      <c r="DLQ20" s="91"/>
      <c r="DLT20" s="89"/>
      <c r="DLV20" s="91"/>
      <c r="DLY20" s="89"/>
      <c r="DMA20" s="91"/>
      <c r="DMD20" s="89"/>
      <c r="DMF20" s="91"/>
      <c r="DMI20" s="89"/>
      <c r="DMK20" s="91"/>
      <c r="DMN20" s="89"/>
      <c r="DMP20" s="91"/>
      <c r="DMS20" s="89"/>
      <c r="DMU20" s="91"/>
      <c r="DMX20" s="89"/>
      <c r="DMZ20" s="91"/>
      <c r="DNC20" s="89"/>
      <c r="DNE20" s="91"/>
      <c r="DNH20" s="89"/>
      <c r="DNJ20" s="91"/>
      <c r="DNM20" s="89"/>
      <c r="DNO20" s="91"/>
      <c r="DNR20" s="89"/>
      <c r="DNT20" s="91"/>
      <c r="DNW20" s="89"/>
      <c r="DNY20" s="91"/>
      <c r="DOB20" s="89"/>
      <c r="DOD20" s="91"/>
      <c r="DOG20" s="89"/>
      <c r="DOI20" s="91"/>
      <c r="DOL20" s="89"/>
      <c r="DON20" s="91"/>
      <c r="DOQ20" s="89"/>
      <c r="DOS20" s="91"/>
      <c r="DOV20" s="89"/>
      <c r="DOX20" s="91"/>
      <c r="DPA20" s="89"/>
      <c r="DPC20" s="91"/>
      <c r="DPF20" s="89"/>
      <c r="DPH20" s="91"/>
      <c r="DPK20" s="89"/>
      <c r="DPM20" s="91"/>
      <c r="DPP20" s="89"/>
      <c r="DPR20" s="91"/>
      <c r="DPU20" s="89"/>
      <c r="DPW20" s="91"/>
      <c r="DPZ20" s="89"/>
      <c r="DQB20" s="91"/>
      <c r="DQE20" s="89"/>
      <c r="DQG20" s="91"/>
      <c r="DQJ20" s="89"/>
      <c r="DQL20" s="91"/>
      <c r="DQO20" s="89"/>
      <c r="DQQ20" s="91"/>
      <c r="DQT20" s="89"/>
      <c r="DQV20" s="91"/>
      <c r="DQY20" s="89"/>
      <c r="DRA20" s="91"/>
      <c r="DRD20" s="89"/>
      <c r="DRF20" s="91"/>
      <c r="DRI20" s="89"/>
      <c r="DRK20" s="91"/>
      <c r="DRN20" s="89"/>
      <c r="DRP20" s="91"/>
      <c r="DRS20" s="89"/>
      <c r="DRU20" s="91"/>
      <c r="DRX20" s="89"/>
      <c r="DRZ20" s="91"/>
      <c r="DSC20" s="89"/>
      <c r="DSE20" s="91"/>
      <c r="DSH20" s="89"/>
      <c r="DSJ20" s="91"/>
      <c r="DSM20" s="89"/>
      <c r="DSO20" s="91"/>
      <c r="DSR20" s="89"/>
      <c r="DST20" s="91"/>
      <c r="DSW20" s="89"/>
      <c r="DSY20" s="91"/>
      <c r="DTB20" s="89"/>
      <c r="DTD20" s="91"/>
      <c r="DTG20" s="89"/>
      <c r="DTI20" s="91"/>
      <c r="DTL20" s="89"/>
      <c r="DTN20" s="91"/>
      <c r="DTQ20" s="89"/>
      <c r="DTS20" s="91"/>
      <c r="DTV20" s="89"/>
      <c r="DTX20" s="91"/>
      <c r="DUA20" s="89"/>
      <c r="DUC20" s="91"/>
      <c r="DUF20" s="89"/>
      <c r="DUH20" s="91"/>
      <c r="DUK20" s="89"/>
      <c r="DUM20" s="91"/>
      <c r="DUP20" s="89"/>
      <c r="DUR20" s="91"/>
      <c r="DUU20" s="89"/>
      <c r="DUW20" s="91"/>
      <c r="DUZ20" s="89"/>
      <c r="DVB20" s="91"/>
      <c r="DVE20" s="89"/>
      <c r="DVG20" s="91"/>
      <c r="DVJ20" s="89"/>
      <c r="DVL20" s="91"/>
      <c r="DVO20" s="89"/>
      <c r="DVQ20" s="91"/>
      <c r="DVT20" s="89"/>
      <c r="DVV20" s="91"/>
      <c r="DVY20" s="89"/>
      <c r="DWA20" s="91"/>
      <c r="DWD20" s="89"/>
      <c r="DWF20" s="91"/>
      <c r="DWI20" s="89"/>
      <c r="DWK20" s="91"/>
      <c r="DWN20" s="89"/>
      <c r="DWP20" s="91"/>
      <c r="DWS20" s="89"/>
      <c r="DWU20" s="91"/>
      <c r="DWX20" s="89"/>
      <c r="DWZ20" s="91"/>
      <c r="DXC20" s="89"/>
      <c r="DXE20" s="91"/>
      <c r="DXH20" s="89"/>
      <c r="DXJ20" s="91"/>
      <c r="DXM20" s="89"/>
      <c r="DXO20" s="91"/>
      <c r="DXR20" s="89"/>
      <c r="DXT20" s="91"/>
      <c r="DXW20" s="89"/>
      <c r="DXY20" s="91"/>
      <c r="DYB20" s="89"/>
      <c r="DYD20" s="91"/>
      <c r="DYG20" s="89"/>
      <c r="DYI20" s="91"/>
      <c r="DYL20" s="89"/>
      <c r="DYN20" s="91"/>
      <c r="DYQ20" s="89"/>
      <c r="DYS20" s="91"/>
      <c r="DYV20" s="89"/>
      <c r="DYX20" s="91"/>
      <c r="DZA20" s="89"/>
      <c r="DZC20" s="91"/>
      <c r="DZF20" s="89"/>
      <c r="DZH20" s="91"/>
      <c r="DZK20" s="89"/>
      <c r="DZM20" s="91"/>
      <c r="DZP20" s="89"/>
      <c r="DZR20" s="91"/>
      <c r="DZU20" s="89"/>
      <c r="DZW20" s="91"/>
      <c r="DZZ20" s="89"/>
      <c r="EAB20" s="91"/>
      <c r="EAE20" s="89"/>
      <c r="EAG20" s="91"/>
      <c r="EAJ20" s="89"/>
      <c r="EAL20" s="91"/>
      <c r="EAO20" s="89"/>
      <c r="EAQ20" s="91"/>
      <c r="EAT20" s="89"/>
      <c r="EAV20" s="91"/>
      <c r="EAY20" s="89"/>
      <c r="EBA20" s="91"/>
      <c r="EBD20" s="89"/>
      <c r="EBF20" s="91"/>
      <c r="EBI20" s="89"/>
      <c r="EBK20" s="91"/>
      <c r="EBN20" s="89"/>
      <c r="EBP20" s="91"/>
      <c r="EBS20" s="89"/>
      <c r="EBU20" s="91"/>
      <c r="EBX20" s="89"/>
      <c r="EBZ20" s="91"/>
      <c r="ECC20" s="89"/>
      <c r="ECE20" s="91"/>
      <c r="ECH20" s="89"/>
      <c r="ECJ20" s="91"/>
      <c r="ECM20" s="89"/>
      <c r="ECO20" s="91"/>
      <c r="ECR20" s="89"/>
      <c r="ECT20" s="91"/>
      <c r="ECW20" s="89"/>
      <c r="ECY20" s="91"/>
      <c r="EDB20" s="89"/>
      <c r="EDD20" s="91"/>
      <c r="EDG20" s="89"/>
      <c r="EDI20" s="91"/>
      <c r="EDL20" s="89"/>
      <c r="EDN20" s="91"/>
      <c r="EDQ20" s="89"/>
      <c r="EDS20" s="91"/>
      <c r="EDV20" s="89"/>
      <c r="EDX20" s="91"/>
      <c r="EEA20" s="89"/>
      <c r="EEC20" s="91"/>
      <c r="EEF20" s="89"/>
      <c r="EEH20" s="91"/>
      <c r="EEK20" s="89"/>
      <c r="EEM20" s="91"/>
      <c r="EEP20" s="89"/>
      <c r="EER20" s="91"/>
      <c r="EEU20" s="89"/>
      <c r="EEW20" s="91"/>
      <c r="EEZ20" s="89"/>
      <c r="EFB20" s="91"/>
      <c r="EFE20" s="89"/>
      <c r="EFG20" s="91"/>
      <c r="EFJ20" s="89"/>
      <c r="EFL20" s="91"/>
      <c r="EFO20" s="89"/>
      <c r="EFQ20" s="91"/>
      <c r="EFT20" s="89"/>
      <c r="EFV20" s="91"/>
      <c r="EFY20" s="89"/>
      <c r="EGA20" s="91"/>
      <c r="EGD20" s="89"/>
      <c r="EGF20" s="91"/>
      <c r="EGI20" s="89"/>
      <c r="EGK20" s="91"/>
      <c r="EGN20" s="89"/>
      <c r="EGP20" s="91"/>
      <c r="EGS20" s="89"/>
      <c r="EGU20" s="91"/>
      <c r="EGX20" s="89"/>
      <c r="EGZ20" s="91"/>
      <c r="EHC20" s="89"/>
      <c r="EHE20" s="91"/>
      <c r="EHH20" s="89"/>
      <c r="EHJ20" s="91"/>
      <c r="EHM20" s="89"/>
      <c r="EHO20" s="91"/>
      <c r="EHR20" s="89"/>
      <c r="EHT20" s="91"/>
      <c r="EHW20" s="89"/>
      <c r="EHY20" s="91"/>
      <c r="EIB20" s="89"/>
      <c r="EID20" s="91"/>
      <c r="EIG20" s="89"/>
      <c r="EII20" s="91"/>
      <c r="EIL20" s="89"/>
      <c r="EIN20" s="91"/>
      <c r="EIQ20" s="89"/>
      <c r="EIS20" s="91"/>
      <c r="EIV20" s="89"/>
      <c r="EIX20" s="91"/>
      <c r="EJA20" s="89"/>
      <c r="EJC20" s="91"/>
      <c r="EJF20" s="89"/>
      <c r="EJH20" s="91"/>
      <c r="EJK20" s="89"/>
      <c r="EJM20" s="91"/>
      <c r="EJP20" s="89"/>
      <c r="EJR20" s="91"/>
      <c r="EJU20" s="89"/>
      <c r="EJW20" s="91"/>
      <c r="EJZ20" s="89"/>
      <c r="EKB20" s="91"/>
      <c r="EKE20" s="89"/>
      <c r="EKG20" s="91"/>
      <c r="EKJ20" s="89"/>
      <c r="EKL20" s="91"/>
      <c r="EKO20" s="89"/>
      <c r="EKQ20" s="91"/>
      <c r="EKT20" s="89"/>
      <c r="EKV20" s="91"/>
      <c r="EKY20" s="89"/>
      <c r="ELA20" s="91"/>
      <c r="ELD20" s="89"/>
      <c r="ELF20" s="91"/>
      <c r="ELI20" s="89"/>
      <c r="ELK20" s="91"/>
      <c r="ELN20" s="89"/>
      <c r="ELP20" s="91"/>
      <c r="ELS20" s="89"/>
      <c r="ELU20" s="91"/>
      <c r="ELX20" s="89"/>
      <c r="ELZ20" s="91"/>
      <c r="EMC20" s="89"/>
      <c r="EME20" s="91"/>
      <c r="EMH20" s="89"/>
      <c r="EMJ20" s="91"/>
      <c r="EMM20" s="89"/>
      <c r="EMO20" s="91"/>
      <c r="EMR20" s="89"/>
      <c r="EMT20" s="91"/>
      <c r="EMW20" s="89"/>
      <c r="EMY20" s="91"/>
      <c r="ENB20" s="89"/>
      <c r="END20" s="91"/>
      <c r="ENG20" s="89"/>
      <c r="ENI20" s="91"/>
      <c r="ENL20" s="89"/>
      <c r="ENN20" s="91"/>
      <c r="ENQ20" s="89"/>
      <c r="ENS20" s="91"/>
      <c r="ENV20" s="89"/>
      <c r="ENX20" s="91"/>
      <c r="EOA20" s="89"/>
      <c r="EOC20" s="91"/>
      <c r="EOF20" s="89"/>
      <c r="EOH20" s="91"/>
      <c r="EOK20" s="89"/>
      <c r="EOM20" s="91"/>
      <c r="EOP20" s="89"/>
      <c r="EOR20" s="91"/>
      <c r="EOU20" s="89"/>
      <c r="EOW20" s="91"/>
      <c r="EOZ20" s="89"/>
      <c r="EPB20" s="91"/>
      <c r="EPE20" s="89"/>
      <c r="EPG20" s="91"/>
      <c r="EPJ20" s="89"/>
      <c r="EPL20" s="91"/>
      <c r="EPO20" s="89"/>
      <c r="EPQ20" s="91"/>
      <c r="EPT20" s="89"/>
      <c r="EPV20" s="91"/>
      <c r="EPY20" s="89"/>
      <c r="EQA20" s="91"/>
      <c r="EQD20" s="89"/>
      <c r="EQF20" s="91"/>
      <c r="EQI20" s="89"/>
      <c r="EQK20" s="91"/>
      <c r="EQN20" s="89"/>
      <c r="EQP20" s="91"/>
      <c r="EQS20" s="89"/>
      <c r="EQU20" s="91"/>
      <c r="EQX20" s="89"/>
      <c r="EQZ20" s="91"/>
      <c r="ERC20" s="89"/>
      <c r="ERE20" s="91"/>
      <c r="ERH20" s="89"/>
      <c r="ERJ20" s="91"/>
      <c r="ERM20" s="89"/>
      <c r="ERO20" s="91"/>
      <c r="ERR20" s="89"/>
      <c r="ERT20" s="91"/>
      <c r="ERW20" s="89"/>
      <c r="ERY20" s="91"/>
      <c r="ESB20" s="89"/>
      <c r="ESD20" s="91"/>
      <c r="ESG20" s="89"/>
      <c r="ESI20" s="91"/>
      <c r="ESL20" s="89"/>
      <c r="ESN20" s="91"/>
      <c r="ESQ20" s="89"/>
      <c r="ESS20" s="91"/>
      <c r="ESV20" s="89"/>
      <c r="ESX20" s="91"/>
      <c r="ETA20" s="89"/>
      <c r="ETC20" s="91"/>
      <c r="ETF20" s="89"/>
      <c r="ETH20" s="91"/>
      <c r="ETK20" s="89"/>
      <c r="ETM20" s="91"/>
      <c r="ETP20" s="89"/>
      <c r="ETR20" s="91"/>
      <c r="ETU20" s="89"/>
      <c r="ETW20" s="91"/>
      <c r="ETZ20" s="89"/>
      <c r="EUB20" s="91"/>
      <c r="EUE20" s="89"/>
      <c r="EUG20" s="91"/>
      <c r="EUJ20" s="89"/>
      <c r="EUL20" s="91"/>
      <c r="EUO20" s="89"/>
      <c r="EUQ20" s="91"/>
      <c r="EUT20" s="89"/>
      <c r="EUV20" s="91"/>
      <c r="EUY20" s="89"/>
      <c r="EVA20" s="91"/>
      <c r="EVD20" s="89"/>
      <c r="EVF20" s="91"/>
      <c r="EVI20" s="89"/>
      <c r="EVK20" s="91"/>
      <c r="EVN20" s="89"/>
      <c r="EVP20" s="91"/>
      <c r="EVS20" s="89"/>
      <c r="EVU20" s="91"/>
      <c r="EVX20" s="89"/>
      <c r="EVZ20" s="91"/>
      <c r="EWC20" s="89"/>
      <c r="EWE20" s="91"/>
      <c r="EWH20" s="89"/>
      <c r="EWJ20" s="91"/>
      <c r="EWM20" s="89"/>
      <c r="EWO20" s="91"/>
      <c r="EWR20" s="89"/>
      <c r="EWT20" s="91"/>
      <c r="EWW20" s="89"/>
      <c r="EWY20" s="91"/>
      <c r="EXB20" s="89"/>
      <c r="EXD20" s="91"/>
      <c r="EXG20" s="89"/>
      <c r="EXI20" s="91"/>
      <c r="EXL20" s="89"/>
      <c r="EXN20" s="91"/>
      <c r="EXQ20" s="89"/>
      <c r="EXS20" s="91"/>
      <c r="EXV20" s="89"/>
      <c r="EXX20" s="91"/>
      <c r="EYA20" s="89"/>
      <c r="EYC20" s="91"/>
      <c r="EYF20" s="89"/>
      <c r="EYH20" s="91"/>
      <c r="EYK20" s="89"/>
      <c r="EYM20" s="91"/>
      <c r="EYP20" s="89"/>
      <c r="EYR20" s="91"/>
      <c r="EYU20" s="89"/>
      <c r="EYW20" s="91"/>
      <c r="EYZ20" s="89"/>
      <c r="EZB20" s="91"/>
      <c r="EZE20" s="89"/>
      <c r="EZG20" s="91"/>
      <c r="EZJ20" s="89"/>
      <c r="EZL20" s="91"/>
      <c r="EZO20" s="89"/>
      <c r="EZQ20" s="91"/>
      <c r="EZT20" s="89"/>
      <c r="EZV20" s="91"/>
      <c r="EZY20" s="89"/>
      <c r="FAA20" s="91"/>
      <c r="FAD20" s="89"/>
      <c r="FAF20" s="91"/>
      <c r="FAI20" s="89"/>
      <c r="FAK20" s="91"/>
      <c r="FAN20" s="89"/>
      <c r="FAP20" s="91"/>
      <c r="FAS20" s="89"/>
      <c r="FAU20" s="91"/>
      <c r="FAX20" s="89"/>
      <c r="FAZ20" s="91"/>
      <c r="FBC20" s="89"/>
      <c r="FBE20" s="91"/>
      <c r="FBH20" s="89"/>
      <c r="FBJ20" s="91"/>
      <c r="FBM20" s="89"/>
      <c r="FBO20" s="91"/>
      <c r="FBR20" s="89"/>
      <c r="FBT20" s="91"/>
      <c r="FBW20" s="89"/>
      <c r="FBY20" s="91"/>
      <c r="FCB20" s="89"/>
      <c r="FCD20" s="91"/>
      <c r="FCG20" s="89"/>
      <c r="FCI20" s="91"/>
      <c r="FCL20" s="89"/>
      <c r="FCN20" s="91"/>
      <c r="FCQ20" s="89"/>
      <c r="FCS20" s="91"/>
      <c r="FCV20" s="89"/>
      <c r="FCX20" s="91"/>
      <c r="FDA20" s="89"/>
      <c r="FDC20" s="91"/>
      <c r="FDF20" s="89"/>
      <c r="FDH20" s="91"/>
      <c r="FDK20" s="89"/>
      <c r="FDM20" s="91"/>
      <c r="FDP20" s="89"/>
      <c r="FDR20" s="91"/>
      <c r="FDU20" s="89"/>
      <c r="FDW20" s="91"/>
      <c r="FDZ20" s="89"/>
      <c r="FEB20" s="91"/>
      <c r="FEE20" s="89"/>
      <c r="FEG20" s="91"/>
      <c r="FEJ20" s="89"/>
      <c r="FEL20" s="91"/>
      <c r="FEO20" s="89"/>
      <c r="FEQ20" s="91"/>
      <c r="FET20" s="89"/>
      <c r="FEV20" s="91"/>
      <c r="FEY20" s="89"/>
      <c r="FFA20" s="91"/>
      <c r="FFD20" s="89"/>
      <c r="FFF20" s="91"/>
      <c r="FFI20" s="89"/>
      <c r="FFK20" s="91"/>
      <c r="FFN20" s="89"/>
      <c r="FFP20" s="91"/>
      <c r="FFS20" s="89"/>
      <c r="FFU20" s="91"/>
      <c r="FFX20" s="89"/>
      <c r="FFZ20" s="91"/>
      <c r="FGC20" s="89"/>
      <c r="FGE20" s="91"/>
      <c r="FGH20" s="89"/>
      <c r="FGJ20" s="91"/>
      <c r="FGM20" s="89"/>
      <c r="FGO20" s="91"/>
      <c r="FGR20" s="89"/>
      <c r="FGT20" s="91"/>
      <c r="FGW20" s="89"/>
      <c r="FGY20" s="91"/>
      <c r="FHB20" s="89"/>
      <c r="FHD20" s="91"/>
      <c r="FHG20" s="89"/>
      <c r="FHI20" s="91"/>
      <c r="FHL20" s="89"/>
      <c r="FHN20" s="91"/>
      <c r="FHQ20" s="89"/>
      <c r="FHS20" s="91"/>
      <c r="FHV20" s="89"/>
      <c r="FHX20" s="91"/>
      <c r="FIA20" s="89"/>
      <c r="FIC20" s="91"/>
      <c r="FIF20" s="89"/>
      <c r="FIH20" s="91"/>
      <c r="FIK20" s="89"/>
      <c r="FIM20" s="91"/>
      <c r="FIP20" s="89"/>
      <c r="FIR20" s="91"/>
      <c r="FIU20" s="89"/>
      <c r="FIW20" s="91"/>
      <c r="FIZ20" s="89"/>
      <c r="FJB20" s="91"/>
      <c r="FJE20" s="89"/>
      <c r="FJG20" s="91"/>
      <c r="FJJ20" s="89"/>
      <c r="FJL20" s="91"/>
      <c r="FJO20" s="89"/>
      <c r="FJQ20" s="91"/>
      <c r="FJT20" s="89"/>
      <c r="FJV20" s="91"/>
      <c r="FJY20" s="89"/>
      <c r="FKA20" s="91"/>
      <c r="FKD20" s="89"/>
      <c r="FKF20" s="91"/>
      <c r="FKI20" s="89"/>
      <c r="FKK20" s="91"/>
      <c r="FKN20" s="89"/>
      <c r="FKP20" s="91"/>
      <c r="FKS20" s="89"/>
      <c r="FKU20" s="91"/>
      <c r="FKX20" s="89"/>
      <c r="FKZ20" s="91"/>
      <c r="FLC20" s="89"/>
      <c r="FLE20" s="91"/>
      <c r="FLH20" s="89"/>
      <c r="FLJ20" s="91"/>
      <c r="FLM20" s="89"/>
      <c r="FLO20" s="91"/>
      <c r="FLR20" s="89"/>
      <c r="FLT20" s="91"/>
      <c r="FLW20" s="89"/>
      <c r="FLY20" s="91"/>
      <c r="FMB20" s="89"/>
      <c r="FMD20" s="91"/>
      <c r="FMG20" s="89"/>
      <c r="FMI20" s="91"/>
      <c r="FML20" s="89"/>
      <c r="FMN20" s="91"/>
      <c r="FMQ20" s="89"/>
      <c r="FMS20" s="91"/>
      <c r="FMV20" s="89"/>
      <c r="FMX20" s="91"/>
      <c r="FNA20" s="89"/>
      <c r="FNC20" s="91"/>
      <c r="FNF20" s="89"/>
      <c r="FNH20" s="91"/>
      <c r="FNK20" s="89"/>
      <c r="FNM20" s="91"/>
      <c r="FNP20" s="89"/>
      <c r="FNR20" s="91"/>
      <c r="FNU20" s="89"/>
      <c r="FNW20" s="91"/>
      <c r="FNZ20" s="89"/>
      <c r="FOB20" s="91"/>
      <c r="FOE20" s="89"/>
      <c r="FOG20" s="91"/>
      <c r="FOJ20" s="89"/>
      <c r="FOL20" s="91"/>
      <c r="FOO20" s="89"/>
      <c r="FOQ20" s="91"/>
      <c r="FOT20" s="89"/>
      <c r="FOV20" s="91"/>
      <c r="FOY20" s="89"/>
      <c r="FPA20" s="91"/>
      <c r="FPD20" s="89"/>
      <c r="FPF20" s="91"/>
      <c r="FPI20" s="89"/>
      <c r="FPK20" s="91"/>
      <c r="FPN20" s="89"/>
      <c r="FPP20" s="91"/>
      <c r="FPS20" s="89"/>
      <c r="FPU20" s="91"/>
      <c r="FPX20" s="89"/>
      <c r="FPZ20" s="91"/>
      <c r="FQC20" s="89"/>
      <c r="FQE20" s="91"/>
      <c r="FQH20" s="89"/>
      <c r="FQJ20" s="91"/>
      <c r="FQM20" s="89"/>
      <c r="FQO20" s="91"/>
      <c r="FQR20" s="89"/>
      <c r="FQT20" s="91"/>
      <c r="FQW20" s="89"/>
      <c r="FQY20" s="91"/>
      <c r="FRB20" s="89"/>
      <c r="FRD20" s="91"/>
      <c r="FRG20" s="89"/>
      <c r="FRI20" s="91"/>
      <c r="FRL20" s="89"/>
      <c r="FRN20" s="91"/>
      <c r="FRQ20" s="89"/>
      <c r="FRS20" s="91"/>
      <c r="FRV20" s="89"/>
      <c r="FRX20" s="91"/>
      <c r="FSA20" s="89"/>
      <c r="FSC20" s="91"/>
      <c r="FSF20" s="89"/>
      <c r="FSH20" s="91"/>
      <c r="FSK20" s="89"/>
      <c r="FSM20" s="91"/>
      <c r="FSP20" s="89"/>
      <c r="FSR20" s="91"/>
      <c r="FSU20" s="89"/>
      <c r="FSW20" s="91"/>
      <c r="FSZ20" s="89"/>
      <c r="FTB20" s="91"/>
      <c r="FTE20" s="89"/>
      <c r="FTG20" s="91"/>
      <c r="FTJ20" s="89"/>
      <c r="FTL20" s="91"/>
      <c r="FTO20" s="89"/>
      <c r="FTQ20" s="91"/>
      <c r="FTT20" s="89"/>
      <c r="FTV20" s="91"/>
      <c r="FTY20" s="89"/>
      <c r="FUA20" s="91"/>
      <c r="FUD20" s="89"/>
      <c r="FUF20" s="91"/>
      <c r="FUI20" s="89"/>
      <c r="FUK20" s="91"/>
      <c r="FUN20" s="89"/>
      <c r="FUP20" s="91"/>
      <c r="FUS20" s="89"/>
      <c r="FUU20" s="91"/>
      <c r="FUX20" s="89"/>
      <c r="FUZ20" s="91"/>
      <c r="FVC20" s="89"/>
      <c r="FVE20" s="91"/>
      <c r="FVH20" s="89"/>
      <c r="FVJ20" s="91"/>
      <c r="FVM20" s="89"/>
      <c r="FVO20" s="91"/>
      <c r="FVR20" s="89"/>
      <c r="FVT20" s="91"/>
      <c r="FVW20" s="89"/>
      <c r="FVY20" s="91"/>
      <c r="FWB20" s="89"/>
      <c r="FWD20" s="91"/>
      <c r="FWG20" s="89"/>
      <c r="FWI20" s="91"/>
      <c r="FWL20" s="89"/>
      <c r="FWN20" s="91"/>
      <c r="FWQ20" s="89"/>
      <c r="FWS20" s="91"/>
      <c r="FWV20" s="89"/>
      <c r="FWX20" s="91"/>
      <c r="FXA20" s="89"/>
      <c r="FXC20" s="91"/>
      <c r="FXF20" s="89"/>
      <c r="FXH20" s="91"/>
      <c r="FXK20" s="89"/>
      <c r="FXM20" s="91"/>
      <c r="FXP20" s="89"/>
      <c r="FXR20" s="91"/>
      <c r="FXU20" s="89"/>
      <c r="FXW20" s="91"/>
      <c r="FXZ20" s="89"/>
      <c r="FYB20" s="91"/>
      <c r="FYE20" s="89"/>
      <c r="FYG20" s="91"/>
      <c r="FYJ20" s="89"/>
      <c r="FYL20" s="91"/>
      <c r="FYO20" s="89"/>
      <c r="FYQ20" s="91"/>
      <c r="FYT20" s="89"/>
      <c r="FYV20" s="91"/>
      <c r="FYY20" s="89"/>
      <c r="FZA20" s="91"/>
      <c r="FZD20" s="89"/>
      <c r="FZF20" s="91"/>
      <c r="FZI20" s="89"/>
      <c r="FZK20" s="91"/>
      <c r="FZN20" s="89"/>
      <c r="FZP20" s="91"/>
      <c r="FZS20" s="89"/>
      <c r="FZU20" s="91"/>
      <c r="FZX20" s="89"/>
      <c r="FZZ20" s="91"/>
      <c r="GAC20" s="89"/>
      <c r="GAE20" s="91"/>
      <c r="GAH20" s="89"/>
      <c r="GAJ20" s="91"/>
      <c r="GAM20" s="89"/>
      <c r="GAO20" s="91"/>
      <c r="GAR20" s="89"/>
      <c r="GAT20" s="91"/>
      <c r="GAW20" s="89"/>
      <c r="GAY20" s="91"/>
      <c r="GBB20" s="89"/>
      <c r="GBD20" s="91"/>
      <c r="GBG20" s="89"/>
      <c r="GBI20" s="91"/>
      <c r="GBL20" s="89"/>
      <c r="GBN20" s="91"/>
      <c r="GBQ20" s="89"/>
      <c r="GBS20" s="91"/>
      <c r="GBV20" s="89"/>
      <c r="GBX20" s="91"/>
      <c r="GCA20" s="89"/>
      <c r="GCC20" s="91"/>
      <c r="GCF20" s="89"/>
      <c r="GCH20" s="91"/>
      <c r="GCK20" s="89"/>
      <c r="GCM20" s="91"/>
      <c r="GCP20" s="89"/>
      <c r="GCR20" s="91"/>
      <c r="GCU20" s="89"/>
      <c r="GCW20" s="91"/>
      <c r="GCZ20" s="89"/>
      <c r="GDB20" s="91"/>
      <c r="GDE20" s="89"/>
      <c r="GDG20" s="91"/>
      <c r="GDJ20" s="89"/>
      <c r="GDL20" s="91"/>
      <c r="GDO20" s="89"/>
      <c r="GDQ20" s="91"/>
      <c r="GDT20" s="89"/>
      <c r="GDV20" s="91"/>
      <c r="GDY20" s="89"/>
      <c r="GEA20" s="91"/>
      <c r="GED20" s="89"/>
      <c r="GEF20" s="91"/>
      <c r="GEI20" s="89"/>
      <c r="GEK20" s="91"/>
      <c r="GEN20" s="89"/>
      <c r="GEP20" s="91"/>
      <c r="GES20" s="89"/>
      <c r="GEU20" s="91"/>
      <c r="GEX20" s="89"/>
      <c r="GEZ20" s="91"/>
      <c r="GFC20" s="89"/>
      <c r="GFE20" s="91"/>
      <c r="GFH20" s="89"/>
      <c r="GFJ20" s="91"/>
      <c r="GFM20" s="89"/>
      <c r="GFO20" s="91"/>
      <c r="GFR20" s="89"/>
      <c r="GFT20" s="91"/>
      <c r="GFW20" s="89"/>
      <c r="GFY20" s="91"/>
      <c r="GGB20" s="89"/>
      <c r="GGD20" s="91"/>
      <c r="GGG20" s="89"/>
      <c r="GGI20" s="91"/>
      <c r="GGL20" s="89"/>
      <c r="GGN20" s="91"/>
      <c r="GGQ20" s="89"/>
      <c r="GGS20" s="91"/>
      <c r="GGV20" s="89"/>
      <c r="GGX20" s="91"/>
      <c r="GHA20" s="89"/>
      <c r="GHC20" s="91"/>
      <c r="GHF20" s="89"/>
      <c r="GHH20" s="91"/>
      <c r="GHK20" s="89"/>
      <c r="GHM20" s="91"/>
      <c r="GHP20" s="89"/>
      <c r="GHR20" s="91"/>
      <c r="GHU20" s="89"/>
      <c r="GHW20" s="91"/>
      <c r="GHZ20" s="89"/>
      <c r="GIB20" s="91"/>
      <c r="GIE20" s="89"/>
      <c r="GIG20" s="91"/>
      <c r="GIJ20" s="89"/>
      <c r="GIL20" s="91"/>
      <c r="GIO20" s="89"/>
      <c r="GIQ20" s="91"/>
      <c r="GIT20" s="89"/>
      <c r="GIV20" s="91"/>
      <c r="GIY20" s="89"/>
      <c r="GJA20" s="91"/>
      <c r="GJD20" s="89"/>
      <c r="GJF20" s="91"/>
      <c r="GJI20" s="89"/>
      <c r="GJK20" s="91"/>
      <c r="GJN20" s="89"/>
      <c r="GJP20" s="91"/>
      <c r="GJS20" s="89"/>
      <c r="GJU20" s="91"/>
      <c r="GJX20" s="89"/>
      <c r="GJZ20" s="91"/>
      <c r="GKC20" s="89"/>
      <c r="GKE20" s="91"/>
      <c r="GKH20" s="89"/>
      <c r="GKJ20" s="91"/>
      <c r="GKM20" s="89"/>
      <c r="GKO20" s="91"/>
      <c r="GKR20" s="89"/>
      <c r="GKT20" s="91"/>
      <c r="GKW20" s="89"/>
      <c r="GKY20" s="91"/>
      <c r="GLB20" s="89"/>
      <c r="GLD20" s="91"/>
      <c r="GLG20" s="89"/>
      <c r="GLI20" s="91"/>
      <c r="GLL20" s="89"/>
      <c r="GLN20" s="91"/>
      <c r="GLQ20" s="89"/>
      <c r="GLS20" s="91"/>
      <c r="GLV20" s="89"/>
      <c r="GLX20" s="91"/>
      <c r="GMA20" s="89"/>
      <c r="GMC20" s="91"/>
      <c r="GMF20" s="89"/>
      <c r="GMH20" s="91"/>
      <c r="GMK20" s="89"/>
      <c r="GMM20" s="91"/>
      <c r="GMP20" s="89"/>
      <c r="GMR20" s="91"/>
      <c r="GMU20" s="89"/>
      <c r="GMW20" s="91"/>
      <c r="GMZ20" s="89"/>
      <c r="GNB20" s="91"/>
      <c r="GNE20" s="89"/>
      <c r="GNG20" s="91"/>
      <c r="GNJ20" s="89"/>
      <c r="GNL20" s="91"/>
      <c r="GNO20" s="89"/>
      <c r="GNQ20" s="91"/>
      <c r="GNT20" s="89"/>
      <c r="GNV20" s="91"/>
      <c r="GNY20" s="89"/>
      <c r="GOA20" s="91"/>
      <c r="GOD20" s="89"/>
      <c r="GOF20" s="91"/>
      <c r="GOI20" s="89"/>
      <c r="GOK20" s="91"/>
      <c r="GON20" s="89"/>
      <c r="GOP20" s="91"/>
      <c r="GOS20" s="89"/>
      <c r="GOU20" s="91"/>
      <c r="GOX20" s="89"/>
      <c r="GOZ20" s="91"/>
      <c r="GPC20" s="89"/>
      <c r="GPE20" s="91"/>
      <c r="GPH20" s="89"/>
      <c r="GPJ20" s="91"/>
      <c r="GPM20" s="89"/>
      <c r="GPO20" s="91"/>
      <c r="GPR20" s="89"/>
      <c r="GPT20" s="91"/>
      <c r="GPW20" s="89"/>
      <c r="GPY20" s="91"/>
      <c r="GQB20" s="89"/>
      <c r="GQD20" s="91"/>
      <c r="GQG20" s="89"/>
      <c r="GQI20" s="91"/>
      <c r="GQL20" s="89"/>
      <c r="GQN20" s="91"/>
      <c r="GQQ20" s="89"/>
      <c r="GQS20" s="91"/>
      <c r="GQV20" s="89"/>
      <c r="GQX20" s="91"/>
      <c r="GRA20" s="89"/>
      <c r="GRC20" s="91"/>
      <c r="GRF20" s="89"/>
      <c r="GRH20" s="91"/>
      <c r="GRK20" s="89"/>
      <c r="GRM20" s="91"/>
      <c r="GRP20" s="89"/>
      <c r="GRR20" s="91"/>
      <c r="GRU20" s="89"/>
      <c r="GRW20" s="91"/>
      <c r="GRZ20" s="89"/>
      <c r="GSB20" s="91"/>
      <c r="GSE20" s="89"/>
      <c r="GSG20" s="91"/>
      <c r="GSJ20" s="89"/>
      <c r="GSL20" s="91"/>
      <c r="GSO20" s="89"/>
      <c r="GSQ20" s="91"/>
      <c r="GST20" s="89"/>
      <c r="GSV20" s="91"/>
      <c r="GSY20" s="89"/>
      <c r="GTA20" s="91"/>
      <c r="GTD20" s="89"/>
      <c r="GTF20" s="91"/>
      <c r="GTI20" s="89"/>
      <c r="GTK20" s="91"/>
      <c r="GTN20" s="89"/>
      <c r="GTP20" s="91"/>
      <c r="GTS20" s="89"/>
      <c r="GTU20" s="91"/>
      <c r="GTX20" s="89"/>
      <c r="GTZ20" s="91"/>
      <c r="GUC20" s="89"/>
      <c r="GUE20" s="91"/>
      <c r="GUH20" s="89"/>
      <c r="GUJ20" s="91"/>
      <c r="GUM20" s="89"/>
      <c r="GUO20" s="91"/>
      <c r="GUR20" s="89"/>
      <c r="GUT20" s="91"/>
      <c r="GUW20" s="89"/>
      <c r="GUY20" s="91"/>
      <c r="GVB20" s="89"/>
      <c r="GVD20" s="91"/>
      <c r="GVG20" s="89"/>
      <c r="GVI20" s="91"/>
      <c r="GVL20" s="89"/>
      <c r="GVN20" s="91"/>
      <c r="GVQ20" s="89"/>
      <c r="GVS20" s="91"/>
      <c r="GVV20" s="89"/>
      <c r="GVX20" s="91"/>
      <c r="GWA20" s="89"/>
      <c r="GWC20" s="91"/>
      <c r="GWF20" s="89"/>
      <c r="GWH20" s="91"/>
      <c r="GWK20" s="89"/>
      <c r="GWM20" s="91"/>
      <c r="GWP20" s="89"/>
      <c r="GWR20" s="91"/>
      <c r="GWU20" s="89"/>
      <c r="GWW20" s="91"/>
      <c r="GWZ20" s="89"/>
      <c r="GXB20" s="91"/>
      <c r="GXE20" s="89"/>
      <c r="GXG20" s="91"/>
      <c r="GXJ20" s="89"/>
      <c r="GXL20" s="91"/>
      <c r="GXO20" s="89"/>
      <c r="GXQ20" s="91"/>
      <c r="GXT20" s="89"/>
      <c r="GXV20" s="91"/>
      <c r="GXY20" s="89"/>
      <c r="GYA20" s="91"/>
      <c r="GYD20" s="89"/>
      <c r="GYF20" s="91"/>
      <c r="GYI20" s="89"/>
      <c r="GYK20" s="91"/>
      <c r="GYN20" s="89"/>
      <c r="GYP20" s="91"/>
      <c r="GYS20" s="89"/>
      <c r="GYU20" s="91"/>
      <c r="GYX20" s="89"/>
      <c r="GYZ20" s="91"/>
      <c r="GZC20" s="89"/>
      <c r="GZE20" s="91"/>
      <c r="GZH20" s="89"/>
      <c r="GZJ20" s="91"/>
      <c r="GZM20" s="89"/>
      <c r="GZO20" s="91"/>
      <c r="GZR20" s="89"/>
      <c r="GZT20" s="91"/>
      <c r="GZW20" s="89"/>
      <c r="GZY20" s="91"/>
      <c r="HAB20" s="89"/>
      <c r="HAD20" s="91"/>
      <c r="HAG20" s="89"/>
      <c r="HAI20" s="91"/>
      <c r="HAL20" s="89"/>
      <c r="HAN20" s="91"/>
      <c r="HAQ20" s="89"/>
      <c r="HAS20" s="91"/>
      <c r="HAV20" s="89"/>
      <c r="HAX20" s="91"/>
      <c r="HBA20" s="89"/>
      <c r="HBC20" s="91"/>
      <c r="HBF20" s="89"/>
      <c r="HBH20" s="91"/>
      <c r="HBK20" s="89"/>
      <c r="HBM20" s="91"/>
      <c r="HBP20" s="89"/>
      <c r="HBR20" s="91"/>
      <c r="HBU20" s="89"/>
      <c r="HBW20" s="91"/>
      <c r="HBZ20" s="89"/>
      <c r="HCB20" s="91"/>
      <c r="HCE20" s="89"/>
      <c r="HCG20" s="91"/>
      <c r="HCJ20" s="89"/>
      <c r="HCL20" s="91"/>
      <c r="HCO20" s="89"/>
      <c r="HCQ20" s="91"/>
      <c r="HCT20" s="89"/>
      <c r="HCV20" s="91"/>
      <c r="HCY20" s="89"/>
      <c r="HDA20" s="91"/>
      <c r="HDD20" s="89"/>
      <c r="HDF20" s="91"/>
      <c r="HDI20" s="89"/>
      <c r="HDK20" s="91"/>
      <c r="HDN20" s="89"/>
      <c r="HDP20" s="91"/>
      <c r="HDS20" s="89"/>
      <c r="HDU20" s="91"/>
      <c r="HDX20" s="89"/>
      <c r="HDZ20" s="91"/>
      <c r="HEC20" s="89"/>
      <c r="HEE20" s="91"/>
      <c r="HEH20" s="89"/>
      <c r="HEJ20" s="91"/>
      <c r="HEM20" s="89"/>
      <c r="HEO20" s="91"/>
      <c r="HER20" s="89"/>
      <c r="HET20" s="91"/>
      <c r="HEW20" s="89"/>
      <c r="HEY20" s="91"/>
      <c r="HFB20" s="89"/>
      <c r="HFD20" s="91"/>
      <c r="HFG20" s="89"/>
      <c r="HFI20" s="91"/>
      <c r="HFL20" s="89"/>
      <c r="HFN20" s="91"/>
      <c r="HFQ20" s="89"/>
      <c r="HFS20" s="91"/>
      <c r="HFV20" s="89"/>
      <c r="HFX20" s="91"/>
      <c r="HGA20" s="89"/>
      <c r="HGC20" s="91"/>
      <c r="HGF20" s="89"/>
      <c r="HGH20" s="91"/>
      <c r="HGK20" s="89"/>
      <c r="HGM20" s="91"/>
      <c r="HGP20" s="89"/>
      <c r="HGR20" s="91"/>
      <c r="HGU20" s="89"/>
      <c r="HGW20" s="91"/>
      <c r="HGZ20" s="89"/>
      <c r="HHB20" s="91"/>
      <c r="HHE20" s="89"/>
      <c r="HHG20" s="91"/>
      <c r="HHJ20" s="89"/>
      <c r="HHL20" s="91"/>
      <c r="HHO20" s="89"/>
      <c r="HHQ20" s="91"/>
      <c r="HHT20" s="89"/>
      <c r="HHV20" s="91"/>
      <c r="HHY20" s="89"/>
      <c r="HIA20" s="91"/>
      <c r="HID20" s="89"/>
      <c r="HIF20" s="91"/>
      <c r="HII20" s="89"/>
      <c r="HIK20" s="91"/>
      <c r="HIN20" s="89"/>
      <c r="HIP20" s="91"/>
      <c r="HIS20" s="89"/>
      <c r="HIU20" s="91"/>
      <c r="HIX20" s="89"/>
      <c r="HIZ20" s="91"/>
      <c r="HJC20" s="89"/>
      <c r="HJE20" s="91"/>
      <c r="HJH20" s="89"/>
      <c r="HJJ20" s="91"/>
      <c r="HJM20" s="89"/>
      <c r="HJO20" s="91"/>
      <c r="HJR20" s="89"/>
      <c r="HJT20" s="91"/>
      <c r="HJW20" s="89"/>
      <c r="HJY20" s="91"/>
      <c r="HKB20" s="89"/>
      <c r="HKD20" s="91"/>
      <c r="HKG20" s="89"/>
      <c r="HKI20" s="91"/>
      <c r="HKL20" s="89"/>
      <c r="HKN20" s="91"/>
      <c r="HKQ20" s="89"/>
      <c r="HKS20" s="91"/>
      <c r="HKV20" s="89"/>
      <c r="HKX20" s="91"/>
      <c r="HLA20" s="89"/>
      <c r="HLC20" s="91"/>
      <c r="HLF20" s="89"/>
      <c r="HLH20" s="91"/>
      <c r="HLK20" s="89"/>
      <c r="HLM20" s="91"/>
      <c r="HLP20" s="89"/>
      <c r="HLR20" s="91"/>
      <c r="HLU20" s="89"/>
      <c r="HLW20" s="91"/>
      <c r="HLZ20" s="89"/>
      <c r="HMB20" s="91"/>
      <c r="HME20" s="89"/>
      <c r="HMG20" s="91"/>
      <c r="HMJ20" s="89"/>
      <c r="HML20" s="91"/>
      <c r="HMO20" s="89"/>
      <c r="HMQ20" s="91"/>
      <c r="HMT20" s="89"/>
      <c r="HMV20" s="91"/>
      <c r="HMY20" s="89"/>
      <c r="HNA20" s="91"/>
      <c r="HND20" s="89"/>
      <c r="HNF20" s="91"/>
      <c r="HNI20" s="89"/>
      <c r="HNK20" s="91"/>
      <c r="HNN20" s="89"/>
      <c r="HNP20" s="91"/>
      <c r="HNS20" s="89"/>
      <c r="HNU20" s="91"/>
      <c r="HNX20" s="89"/>
      <c r="HNZ20" s="91"/>
      <c r="HOC20" s="89"/>
      <c r="HOE20" s="91"/>
      <c r="HOH20" s="89"/>
      <c r="HOJ20" s="91"/>
      <c r="HOM20" s="89"/>
      <c r="HOO20" s="91"/>
      <c r="HOR20" s="89"/>
      <c r="HOT20" s="91"/>
      <c r="HOW20" s="89"/>
      <c r="HOY20" s="91"/>
      <c r="HPB20" s="89"/>
      <c r="HPD20" s="91"/>
      <c r="HPG20" s="89"/>
      <c r="HPI20" s="91"/>
      <c r="HPL20" s="89"/>
      <c r="HPN20" s="91"/>
      <c r="HPQ20" s="89"/>
      <c r="HPS20" s="91"/>
      <c r="HPV20" s="89"/>
      <c r="HPX20" s="91"/>
      <c r="HQA20" s="89"/>
      <c r="HQC20" s="91"/>
      <c r="HQF20" s="89"/>
      <c r="HQH20" s="91"/>
      <c r="HQK20" s="89"/>
      <c r="HQM20" s="91"/>
      <c r="HQP20" s="89"/>
      <c r="HQR20" s="91"/>
      <c r="HQU20" s="89"/>
      <c r="HQW20" s="91"/>
      <c r="HQZ20" s="89"/>
      <c r="HRB20" s="91"/>
      <c r="HRE20" s="89"/>
      <c r="HRG20" s="91"/>
      <c r="HRJ20" s="89"/>
      <c r="HRL20" s="91"/>
      <c r="HRO20" s="89"/>
      <c r="HRQ20" s="91"/>
      <c r="HRT20" s="89"/>
      <c r="HRV20" s="91"/>
      <c r="HRY20" s="89"/>
      <c r="HSA20" s="91"/>
      <c r="HSD20" s="89"/>
      <c r="HSF20" s="91"/>
      <c r="HSI20" s="89"/>
      <c r="HSK20" s="91"/>
      <c r="HSN20" s="89"/>
      <c r="HSP20" s="91"/>
      <c r="HSS20" s="89"/>
      <c r="HSU20" s="91"/>
      <c r="HSX20" s="89"/>
      <c r="HSZ20" s="91"/>
      <c r="HTC20" s="89"/>
      <c r="HTE20" s="91"/>
      <c r="HTH20" s="89"/>
      <c r="HTJ20" s="91"/>
      <c r="HTM20" s="89"/>
      <c r="HTO20" s="91"/>
      <c r="HTR20" s="89"/>
      <c r="HTT20" s="91"/>
      <c r="HTW20" s="89"/>
      <c r="HTY20" s="91"/>
      <c r="HUB20" s="89"/>
      <c r="HUD20" s="91"/>
      <c r="HUG20" s="89"/>
      <c r="HUI20" s="91"/>
      <c r="HUL20" s="89"/>
      <c r="HUN20" s="91"/>
      <c r="HUQ20" s="89"/>
      <c r="HUS20" s="91"/>
      <c r="HUV20" s="89"/>
      <c r="HUX20" s="91"/>
      <c r="HVA20" s="89"/>
      <c r="HVC20" s="91"/>
      <c r="HVF20" s="89"/>
      <c r="HVH20" s="91"/>
      <c r="HVK20" s="89"/>
      <c r="HVM20" s="91"/>
      <c r="HVP20" s="89"/>
      <c r="HVR20" s="91"/>
      <c r="HVU20" s="89"/>
      <c r="HVW20" s="91"/>
      <c r="HVZ20" s="89"/>
      <c r="HWB20" s="91"/>
      <c r="HWE20" s="89"/>
      <c r="HWG20" s="91"/>
      <c r="HWJ20" s="89"/>
      <c r="HWL20" s="91"/>
      <c r="HWO20" s="89"/>
      <c r="HWQ20" s="91"/>
      <c r="HWT20" s="89"/>
      <c r="HWV20" s="91"/>
      <c r="HWY20" s="89"/>
      <c r="HXA20" s="91"/>
      <c r="HXD20" s="89"/>
      <c r="HXF20" s="91"/>
      <c r="HXI20" s="89"/>
      <c r="HXK20" s="91"/>
      <c r="HXN20" s="89"/>
      <c r="HXP20" s="91"/>
      <c r="HXS20" s="89"/>
      <c r="HXU20" s="91"/>
      <c r="HXX20" s="89"/>
      <c r="HXZ20" s="91"/>
      <c r="HYC20" s="89"/>
      <c r="HYE20" s="91"/>
      <c r="HYH20" s="89"/>
      <c r="HYJ20" s="91"/>
      <c r="HYM20" s="89"/>
      <c r="HYO20" s="91"/>
      <c r="HYR20" s="89"/>
      <c r="HYT20" s="91"/>
      <c r="HYW20" s="89"/>
      <c r="HYY20" s="91"/>
      <c r="HZB20" s="89"/>
      <c r="HZD20" s="91"/>
      <c r="HZG20" s="89"/>
      <c r="HZI20" s="91"/>
      <c r="HZL20" s="89"/>
      <c r="HZN20" s="91"/>
      <c r="HZQ20" s="89"/>
      <c r="HZS20" s="91"/>
      <c r="HZV20" s="89"/>
      <c r="HZX20" s="91"/>
      <c r="IAA20" s="89"/>
      <c r="IAC20" s="91"/>
      <c r="IAF20" s="89"/>
      <c r="IAH20" s="91"/>
      <c r="IAK20" s="89"/>
      <c r="IAM20" s="91"/>
      <c r="IAP20" s="89"/>
      <c r="IAR20" s="91"/>
      <c r="IAU20" s="89"/>
      <c r="IAW20" s="91"/>
      <c r="IAZ20" s="89"/>
      <c r="IBB20" s="91"/>
      <c r="IBE20" s="89"/>
      <c r="IBG20" s="91"/>
      <c r="IBJ20" s="89"/>
      <c r="IBL20" s="91"/>
      <c r="IBO20" s="89"/>
      <c r="IBQ20" s="91"/>
      <c r="IBT20" s="89"/>
      <c r="IBV20" s="91"/>
      <c r="IBY20" s="89"/>
      <c r="ICA20" s="91"/>
      <c r="ICD20" s="89"/>
      <c r="ICF20" s="91"/>
      <c r="ICI20" s="89"/>
      <c r="ICK20" s="91"/>
      <c r="ICN20" s="89"/>
      <c r="ICP20" s="91"/>
      <c r="ICS20" s="89"/>
      <c r="ICU20" s="91"/>
      <c r="ICX20" s="89"/>
      <c r="ICZ20" s="91"/>
      <c r="IDC20" s="89"/>
      <c r="IDE20" s="91"/>
      <c r="IDH20" s="89"/>
      <c r="IDJ20" s="91"/>
      <c r="IDM20" s="89"/>
      <c r="IDO20" s="91"/>
      <c r="IDR20" s="89"/>
      <c r="IDT20" s="91"/>
      <c r="IDW20" s="89"/>
      <c r="IDY20" s="91"/>
      <c r="IEB20" s="89"/>
      <c r="IED20" s="91"/>
      <c r="IEG20" s="89"/>
      <c r="IEI20" s="91"/>
      <c r="IEL20" s="89"/>
      <c r="IEN20" s="91"/>
      <c r="IEQ20" s="89"/>
      <c r="IES20" s="91"/>
      <c r="IEV20" s="89"/>
      <c r="IEX20" s="91"/>
      <c r="IFA20" s="89"/>
      <c r="IFC20" s="91"/>
      <c r="IFF20" s="89"/>
      <c r="IFH20" s="91"/>
      <c r="IFK20" s="89"/>
      <c r="IFM20" s="91"/>
      <c r="IFP20" s="89"/>
      <c r="IFR20" s="91"/>
      <c r="IFU20" s="89"/>
      <c r="IFW20" s="91"/>
      <c r="IFZ20" s="89"/>
      <c r="IGB20" s="91"/>
      <c r="IGE20" s="89"/>
      <c r="IGG20" s="91"/>
      <c r="IGJ20" s="89"/>
      <c r="IGL20" s="91"/>
      <c r="IGO20" s="89"/>
      <c r="IGQ20" s="91"/>
      <c r="IGT20" s="89"/>
      <c r="IGV20" s="91"/>
      <c r="IGY20" s="89"/>
      <c r="IHA20" s="91"/>
      <c r="IHD20" s="89"/>
      <c r="IHF20" s="91"/>
      <c r="IHI20" s="89"/>
      <c r="IHK20" s="91"/>
      <c r="IHN20" s="89"/>
      <c r="IHP20" s="91"/>
      <c r="IHS20" s="89"/>
      <c r="IHU20" s="91"/>
      <c r="IHX20" s="89"/>
      <c r="IHZ20" s="91"/>
      <c r="IIC20" s="89"/>
      <c r="IIE20" s="91"/>
      <c r="IIH20" s="89"/>
      <c r="IIJ20" s="91"/>
      <c r="IIM20" s="89"/>
      <c r="IIO20" s="91"/>
      <c r="IIR20" s="89"/>
      <c r="IIT20" s="91"/>
      <c r="IIW20" s="89"/>
      <c r="IIY20" s="91"/>
      <c r="IJB20" s="89"/>
      <c r="IJD20" s="91"/>
      <c r="IJG20" s="89"/>
      <c r="IJI20" s="91"/>
      <c r="IJL20" s="89"/>
      <c r="IJN20" s="91"/>
      <c r="IJQ20" s="89"/>
      <c r="IJS20" s="91"/>
      <c r="IJV20" s="89"/>
      <c r="IJX20" s="91"/>
      <c r="IKA20" s="89"/>
      <c r="IKC20" s="91"/>
      <c r="IKF20" s="89"/>
      <c r="IKH20" s="91"/>
      <c r="IKK20" s="89"/>
      <c r="IKM20" s="91"/>
      <c r="IKP20" s="89"/>
      <c r="IKR20" s="91"/>
      <c r="IKU20" s="89"/>
      <c r="IKW20" s="91"/>
      <c r="IKZ20" s="89"/>
      <c r="ILB20" s="91"/>
      <c r="ILE20" s="89"/>
      <c r="ILG20" s="91"/>
      <c r="ILJ20" s="89"/>
      <c r="ILL20" s="91"/>
      <c r="ILO20" s="89"/>
      <c r="ILQ20" s="91"/>
      <c r="ILT20" s="89"/>
      <c r="ILV20" s="91"/>
      <c r="ILY20" s="89"/>
      <c r="IMA20" s="91"/>
      <c r="IMD20" s="89"/>
      <c r="IMF20" s="91"/>
      <c r="IMI20" s="89"/>
      <c r="IMK20" s="91"/>
      <c r="IMN20" s="89"/>
      <c r="IMP20" s="91"/>
      <c r="IMS20" s="89"/>
      <c r="IMU20" s="91"/>
      <c r="IMX20" s="89"/>
      <c r="IMZ20" s="91"/>
      <c r="INC20" s="89"/>
      <c r="INE20" s="91"/>
      <c r="INH20" s="89"/>
      <c r="INJ20" s="91"/>
      <c r="INM20" s="89"/>
      <c r="INO20" s="91"/>
      <c r="INR20" s="89"/>
      <c r="INT20" s="91"/>
      <c r="INW20" s="89"/>
      <c r="INY20" s="91"/>
      <c r="IOB20" s="89"/>
      <c r="IOD20" s="91"/>
      <c r="IOG20" s="89"/>
      <c r="IOI20" s="91"/>
      <c r="IOL20" s="89"/>
      <c r="ION20" s="91"/>
      <c r="IOQ20" s="89"/>
      <c r="IOS20" s="91"/>
      <c r="IOV20" s="89"/>
      <c r="IOX20" s="91"/>
      <c r="IPA20" s="89"/>
      <c r="IPC20" s="91"/>
      <c r="IPF20" s="89"/>
      <c r="IPH20" s="91"/>
      <c r="IPK20" s="89"/>
      <c r="IPM20" s="91"/>
      <c r="IPP20" s="89"/>
      <c r="IPR20" s="91"/>
      <c r="IPU20" s="89"/>
      <c r="IPW20" s="91"/>
      <c r="IPZ20" s="89"/>
      <c r="IQB20" s="91"/>
      <c r="IQE20" s="89"/>
      <c r="IQG20" s="91"/>
      <c r="IQJ20" s="89"/>
      <c r="IQL20" s="91"/>
      <c r="IQO20" s="89"/>
      <c r="IQQ20" s="91"/>
      <c r="IQT20" s="89"/>
      <c r="IQV20" s="91"/>
      <c r="IQY20" s="89"/>
      <c r="IRA20" s="91"/>
      <c r="IRD20" s="89"/>
      <c r="IRF20" s="91"/>
      <c r="IRI20" s="89"/>
      <c r="IRK20" s="91"/>
      <c r="IRN20" s="89"/>
      <c r="IRP20" s="91"/>
      <c r="IRS20" s="89"/>
      <c r="IRU20" s="91"/>
      <c r="IRX20" s="89"/>
      <c r="IRZ20" s="91"/>
      <c r="ISC20" s="89"/>
      <c r="ISE20" s="91"/>
      <c r="ISH20" s="89"/>
      <c r="ISJ20" s="91"/>
      <c r="ISM20" s="89"/>
      <c r="ISO20" s="91"/>
      <c r="ISR20" s="89"/>
      <c r="IST20" s="91"/>
      <c r="ISW20" s="89"/>
      <c r="ISY20" s="91"/>
      <c r="ITB20" s="89"/>
      <c r="ITD20" s="91"/>
      <c r="ITG20" s="89"/>
      <c r="ITI20" s="91"/>
      <c r="ITL20" s="89"/>
      <c r="ITN20" s="91"/>
      <c r="ITQ20" s="89"/>
      <c r="ITS20" s="91"/>
      <c r="ITV20" s="89"/>
      <c r="ITX20" s="91"/>
      <c r="IUA20" s="89"/>
      <c r="IUC20" s="91"/>
      <c r="IUF20" s="89"/>
      <c r="IUH20" s="91"/>
      <c r="IUK20" s="89"/>
      <c r="IUM20" s="91"/>
      <c r="IUP20" s="89"/>
      <c r="IUR20" s="91"/>
      <c r="IUU20" s="89"/>
      <c r="IUW20" s="91"/>
      <c r="IUZ20" s="89"/>
      <c r="IVB20" s="91"/>
      <c r="IVE20" s="89"/>
      <c r="IVG20" s="91"/>
      <c r="IVJ20" s="89"/>
      <c r="IVL20" s="91"/>
      <c r="IVO20" s="89"/>
      <c r="IVQ20" s="91"/>
      <c r="IVT20" s="89"/>
      <c r="IVV20" s="91"/>
      <c r="IVY20" s="89"/>
      <c r="IWA20" s="91"/>
      <c r="IWD20" s="89"/>
      <c r="IWF20" s="91"/>
      <c r="IWI20" s="89"/>
      <c r="IWK20" s="91"/>
      <c r="IWN20" s="89"/>
      <c r="IWP20" s="91"/>
      <c r="IWS20" s="89"/>
      <c r="IWU20" s="91"/>
      <c r="IWX20" s="89"/>
      <c r="IWZ20" s="91"/>
      <c r="IXC20" s="89"/>
      <c r="IXE20" s="91"/>
      <c r="IXH20" s="89"/>
      <c r="IXJ20" s="91"/>
      <c r="IXM20" s="89"/>
      <c r="IXO20" s="91"/>
      <c r="IXR20" s="89"/>
      <c r="IXT20" s="91"/>
      <c r="IXW20" s="89"/>
      <c r="IXY20" s="91"/>
      <c r="IYB20" s="89"/>
      <c r="IYD20" s="91"/>
      <c r="IYG20" s="89"/>
      <c r="IYI20" s="91"/>
      <c r="IYL20" s="89"/>
      <c r="IYN20" s="91"/>
      <c r="IYQ20" s="89"/>
      <c r="IYS20" s="91"/>
      <c r="IYV20" s="89"/>
      <c r="IYX20" s="91"/>
      <c r="IZA20" s="89"/>
      <c r="IZC20" s="91"/>
      <c r="IZF20" s="89"/>
      <c r="IZH20" s="91"/>
      <c r="IZK20" s="89"/>
      <c r="IZM20" s="91"/>
      <c r="IZP20" s="89"/>
      <c r="IZR20" s="91"/>
      <c r="IZU20" s="89"/>
      <c r="IZW20" s="91"/>
      <c r="IZZ20" s="89"/>
      <c r="JAB20" s="91"/>
      <c r="JAE20" s="89"/>
      <c r="JAG20" s="91"/>
      <c r="JAJ20" s="89"/>
      <c r="JAL20" s="91"/>
      <c r="JAO20" s="89"/>
      <c r="JAQ20" s="91"/>
      <c r="JAT20" s="89"/>
      <c r="JAV20" s="91"/>
      <c r="JAY20" s="89"/>
      <c r="JBA20" s="91"/>
      <c r="JBD20" s="89"/>
      <c r="JBF20" s="91"/>
      <c r="JBI20" s="89"/>
      <c r="JBK20" s="91"/>
      <c r="JBN20" s="89"/>
      <c r="JBP20" s="91"/>
      <c r="JBS20" s="89"/>
      <c r="JBU20" s="91"/>
      <c r="JBX20" s="89"/>
      <c r="JBZ20" s="91"/>
      <c r="JCC20" s="89"/>
      <c r="JCE20" s="91"/>
      <c r="JCH20" s="89"/>
      <c r="JCJ20" s="91"/>
      <c r="JCM20" s="89"/>
      <c r="JCO20" s="91"/>
      <c r="JCR20" s="89"/>
      <c r="JCT20" s="91"/>
      <c r="JCW20" s="89"/>
      <c r="JCY20" s="91"/>
      <c r="JDB20" s="89"/>
      <c r="JDD20" s="91"/>
      <c r="JDG20" s="89"/>
      <c r="JDI20" s="91"/>
      <c r="JDL20" s="89"/>
      <c r="JDN20" s="91"/>
      <c r="JDQ20" s="89"/>
      <c r="JDS20" s="91"/>
      <c r="JDV20" s="89"/>
      <c r="JDX20" s="91"/>
      <c r="JEA20" s="89"/>
      <c r="JEC20" s="91"/>
      <c r="JEF20" s="89"/>
      <c r="JEH20" s="91"/>
      <c r="JEK20" s="89"/>
      <c r="JEM20" s="91"/>
      <c r="JEP20" s="89"/>
      <c r="JER20" s="91"/>
      <c r="JEU20" s="89"/>
      <c r="JEW20" s="91"/>
      <c r="JEZ20" s="89"/>
      <c r="JFB20" s="91"/>
      <c r="JFE20" s="89"/>
      <c r="JFG20" s="91"/>
      <c r="JFJ20" s="89"/>
      <c r="JFL20" s="91"/>
      <c r="JFO20" s="89"/>
      <c r="JFQ20" s="91"/>
      <c r="JFT20" s="89"/>
      <c r="JFV20" s="91"/>
      <c r="JFY20" s="89"/>
      <c r="JGA20" s="91"/>
      <c r="JGD20" s="89"/>
      <c r="JGF20" s="91"/>
      <c r="JGI20" s="89"/>
      <c r="JGK20" s="91"/>
      <c r="JGN20" s="89"/>
      <c r="JGP20" s="91"/>
      <c r="JGS20" s="89"/>
      <c r="JGU20" s="91"/>
      <c r="JGX20" s="89"/>
      <c r="JGZ20" s="91"/>
      <c r="JHC20" s="89"/>
      <c r="JHE20" s="91"/>
      <c r="JHH20" s="89"/>
      <c r="JHJ20" s="91"/>
      <c r="JHM20" s="89"/>
      <c r="JHO20" s="91"/>
      <c r="JHR20" s="89"/>
      <c r="JHT20" s="91"/>
      <c r="JHW20" s="89"/>
      <c r="JHY20" s="91"/>
      <c r="JIB20" s="89"/>
      <c r="JID20" s="91"/>
      <c r="JIG20" s="89"/>
      <c r="JII20" s="91"/>
      <c r="JIL20" s="89"/>
      <c r="JIN20" s="91"/>
      <c r="JIQ20" s="89"/>
      <c r="JIS20" s="91"/>
      <c r="JIV20" s="89"/>
      <c r="JIX20" s="91"/>
      <c r="JJA20" s="89"/>
      <c r="JJC20" s="91"/>
      <c r="JJF20" s="89"/>
      <c r="JJH20" s="91"/>
      <c r="JJK20" s="89"/>
      <c r="JJM20" s="91"/>
      <c r="JJP20" s="89"/>
      <c r="JJR20" s="91"/>
      <c r="JJU20" s="89"/>
      <c r="JJW20" s="91"/>
      <c r="JJZ20" s="89"/>
      <c r="JKB20" s="91"/>
      <c r="JKE20" s="89"/>
      <c r="JKG20" s="91"/>
      <c r="JKJ20" s="89"/>
      <c r="JKL20" s="91"/>
      <c r="JKO20" s="89"/>
      <c r="JKQ20" s="91"/>
      <c r="JKT20" s="89"/>
      <c r="JKV20" s="91"/>
      <c r="JKY20" s="89"/>
      <c r="JLA20" s="91"/>
      <c r="JLD20" s="89"/>
      <c r="JLF20" s="91"/>
      <c r="JLI20" s="89"/>
      <c r="JLK20" s="91"/>
      <c r="JLN20" s="89"/>
      <c r="JLP20" s="91"/>
      <c r="JLS20" s="89"/>
      <c r="JLU20" s="91"/>
      <c r="JLX20" s="89"/>
      <c r="JLZ20" s="91"/>
      <c r="JMC20" s="89"/>
      <c r="JME20" s="91"/>
      <c r="JMH20" s="89"/>
      <c r="JMJ20" s="91"/>
      <c r="JMM20" s="89"/>
      <c r="JMO20" s="91"/>
      <c r="JMR20" s="89"/>
      <c r="JMT20" s="91"/>
      <c r="JMW20" s="89"/>
      <c r="JMY20" s="91"/>
      <c r="JNB20" s="89"/>
      <c r="JND20" s="91"/>
      <c r="JNG20" s="89"/>
      <c r="JNI20" s="91"/>
      <c r="JNL20" s="89"/>
      <c r="JNN20" s="91"/>
      <c r="JNQ20" s="89"/>
      <c r="JNS20" s="91"/>
      <c r="JNV20" s="89"/>
      <c r="JNX20" s="91"/>
      <c r="JOA20" s="89"/>
      <c r="JOC20" s="91"/>
      <c r="JOF20" s="89"/>
      <c r="JOH20" s="91"/>
      <c r="JOK20" s="89"/>
      <c r="JOM20" s="91"/>
      <c r="JOP20" s="89"/>
      <c r="JOR20" s="91"/>
      <c r="JOU20" s="89"/>
      <c r="JOW20" s="91"/>
      <c r="JOZ20" s="89"/>
      <c r="JPB20" s="91"/>
      <c r="JPE20" s="89"/>
      <c r="JPG20" s="91"/>
      <c r="JPJ20" s="89"/>
      <c r="JPL20" s="91"/>
      <c r="JPO20" s="89"/>
      <c r="JPQ20" s="91"/>
      <c r="JPT20" s="89"/>
      <c r="JPV20" s="91"/>
      <c r="JPY20" s="89"/>
      <c r="JQA20" s="91"/>
      <c r="JQD20" s="89"/>
      <c r="JQF20" s="91"/>
      <c r="JQI20" s="89"/>
      <c r="JQK20" s="91"/>
      <c r="JQN20" s="89"/>
      <c r="JQP20" s="91"/>
      <c r="JQS20" s="89"/>
      <c r="JQU20" s="91"/>
      <c r="JQX20" s="89"/>
      <c r="JQZ20" s="91"/>
      <c r="JRC20" s="89"/>
      <c r="JRE20" s="91"/>
      <c r="JRH20" s="89"/>
      <c r="JRJ20" s="91"/>
      <c r="JRM20" s="89"/>
      <c r="JRO20" s="91"/>
      <c r="JRR20" s="89"/>
      <c r="JRT20" s="91"/>
      <c r="JRW20" s="89"/>
      <c r="JRY20" s="91"/>
      <c r="JSB20" s="89"/>
      <c r="JSD20" s="91"/>
      <c r="JSG20" s="89"/>
      <c r="JSI20" s="91"/>
      <c r="JSL20" s="89"/>
      <c r="JSN20" s="91"/>
      <c r="JSQ20" s="89"/>
      <c r="JSS20" s="91"/>
      <c r="JSV20" s="89"/>
      <c r="JSX20" s="91"/>
      <c r="JTA20" s="89"/>
      <c r="JTC20" s="91"/>
      <c r="JTF20" s="89"/>
      <c r="JTH20" s="91"/>
      <c r="JTK20" s="89"/>
      <c r="JTM20" s="91"/>
      <c r="JTP20" s="89"/>
      <c r="JTR20" s="91"/>
      <c r="JTU20" s="89"/>
      <c r="JTW20" s="91"/>
      <c r="JTZ20" s="89"/>
      <c r="JUB20" s="91"/>
      <c r="JUE20" s="89"/>
      <c r="JUG20" s="91"/>
      <c r="JUJ20" s="89"/>
      <c r="JUL20" s="91"/>
      <c r="JUO20" s="89"/>
      <c r="JUQ20" s="91"/>
      <c r="JUT20" s="89"/>
      <c r="JUV20" s="91"/>
      <c r="JUY20" s="89"/>
      <c r="JVA20" s="91"/>
      <c r="JVD20" s="89"/>
      <c r="JVF20" s="91"/>
      <c r="JVI20" s="89"/>
      <c r="JVK20" s="91"/>
      <c r="JVN20" s="89"/>
      <c r="JVP20" s="91"/>
      <c r="JVS20" s="89"/>
      <c r="JVU20" s="91"/>
      <c r="JVX20" s="89"/>
      <c r="JVZ20" s="91"/>
      <c r="JWC20" s="89"/>
      <c r="JWE20" s="91"/>
      <c r="JWH20" s="89"/>
      <c r="JWJ20" s="91"/>
      <c r="JWM20" s="89"/>
      <c r="JWO20" s="91"/>
      <c r="JWR20" s="89"/>
      <c r="JWT20" s="91"/>
      <c r="JWW20" s="89"/>
      <c r="JWY20" s="91"/>
      <c r="JXB20" s="89"/>
      <c r="JXD20" s="91"/>
      <c r="JXG20" s="89"/>
      <c r="JXI20" s="91"/>
      <c r="JXL20" s="89"/>
      <c r="JXN20" s="91"/>
      <c r="JXQ20" s="89"/>
      <c r="JXS20" s="91"/>
      <c r="JXV20" s="89"/>
      <c r="JXX20" s="91"/>
      <c r="JYA20" s="89"/>
      <c r="JYC20" s="91"/>
      <c r="JYF20" s="89"/>
      <c r="JYH20" s="91"/>
      <c r="JYK20" s="89"/>
      <c r="JYM20" s="91"/>
      <c r="JYP20" s="89"/>
      <c r="JYR20" s="91"/>
      <c r="JYU20" s="89"/>
      <c r="JYW20" s="91"/>
      <c r="JYZ20" s="89"/>
      <c r="JZB20" s="91"/>
      <c r="JZE20" s="89"/>
      <c r="JZG20" s="91"/>
      <c r="JZJ20" s="89"/>
      <c r="JZL20" s="91"/>
      <c r="JZO20" s="89"/>
      <c r="JZQ20" s="91"/>
      <c r="JZT20" s="89"/>
      <c r="JZV20" s="91"/>
      <c r="JZY20" s="89"/>
      <c r="KAA20" s="91"/>
      <c r="KAD20" s="89"/>
      <c r="KAF20" s="91"/>
      <c r="KAI20" s="89"/>
      <c r="KAK20" s="91"/>
      <c r="KAN20" s="89"/>
      <c r="KAP20" s="91"/>
      <c r="KAS20" s="89"/>
      <c r="KAU20" s="91"/>
      <c r="KAX20" s="89"/>
      <c r="KAZ20" s="91"/>
      <c r="KBC20" s="89"/>
      <c r="KBE20" s="91"/>
      <c r="KBH20" s="89"/>
      <c r="KBJ20" s="91"/>
      <c r="KBM20" s="89"/>
      <c r="KBO20" s="91"/>
      <c r="KBR20" s="89"/>
      <c r="KBT20" s="91"/>
      <c r="KBW20" s="89"/>
      <c r="KBY20" s="91"/>
      <c r="KCB20" s="89"/>
      <c r="KCD20" s="91"/>
      <c r="KCG20" s="89"/>
      <c r="KCI20" s="91"/>
      <c r="KCL20" s="89"/>
      <c r="KCN20" s="91"/>
      <c r="KCQ20" s="89"/>
      <c r="KCS20" s="91"/>
      <c r="KCV20" s="89"/>
      <c r="KCX20" s="91"/>
      <c r="KDA20" s="89"/>
      <c r="KDC20" s="91"/>
      <c r="KDF20" s="89"/>
      <c r="KDH20" s="91"/>
      <c r="KDK20" s="89"/>
      <c r="KDM20" s="91"/>
      <c r="KDP20" s="89"/>
      <c r="KDR20" s="91"/>
      <c r="KDU20" s="89"/>
      <c r="KDW20" s="91"/>
      <c r="KDZ20" s="89"/>
      <c r="KEB20" s="91"/>
      <c r="KEE20" s="89"/>
      <c r="KEG20" s="91"/>
      <c r="KEJ20" s="89"/>
      <c r="KEL20" s="91"/>
      <c r="KEO20" s="89"/>
      <c r="KEQ20" s="91"/>
      <c r="KET20" s="89"/>
      <c r="KEV20" s="91"/>
      <c r="KEY20" s="89"/>
      <c r="KFA20" s="91"/>
      <c r="KFD20" s="89"/>
      <c r="KFF20" s="91"/>
      <c r="KFI20" s="89"/>
      <c r="KFK20" s="91"/>
      <c r="KFN20" s="89"/>
      <c r="KFP20" s="91"/>
      <c r="KFS20" s="89"/>
      <c r="KFU20" s="91"/>
      <c r="KFX20" s="89"/>
      <c r="KFZ20" s="91"/>
      <c r="KGC20" s="89"/>
      <c r="KGE20" s="91"/>
      <c r="KGH20" s="89"/>
      <c r="KGJ20" s="91"/>
      <c r="KGM20" s="89"/>
      <c r="KGO20" s="91"/>
      <c r="KGR20" s="89"/>
      <c r="KGT20" s="91"/>
      <c r="KGW20" s="89"/>
      <c r="KGY20" s="91"/>
      <c r="KHB20" s="89"/>
      <c r="KHD20" s="91"/>
      <c r="KHG20" s="89"/>
      <c r="KHI20" s="91"/>
      <c r="KHL20" s="89"/>
      <c r="KHN20" s="91"/>
      <c r="KHQ20" s="89"/>
      <c r="KHS20" s="91"/>
      <c r="KHV20" s="89"/>
      <c r="KHX20" s="91"/>
      <c r="KIA20" s="89"/>
      <c r="KIC20" s="91"/>
      <c r="KIF20" s="89"/>
      <c r="KIH20" s="91"/>
      <c r="KIK20" s="89"/>
      <c r="KIM20" s="91"/>
      <c r="KIP20" s="89"/>
      <c r="KIR20" s="91"/>
      <c r="KIU20" s="89"/>
      <c r="KIW20" s="91"/>
      <c r="KIZ20" s="89"/>
      <c r="KJB20" s="91"/>
      <c r="KJE20" s="89"/>
      <c r="KJG20" s="91"/>
      <c r="KJJ20" s="89"/>
      <c r="KJL20" s="91"/>
      <c r="KJO20" s="89"/>
      <c r="KJQ20" s="91"/>
      <c r="KJT20" s="89"/>
      <c r="KJV20" s="91"/>
      <c r="KJY20" s="89"/>
      <c r="KKA20" s="91"/>
      <c r="KKD20" s="89"/>
      <c r="KKF20" s="91"/>
      <c r="KKI20" s="89"/>
      <c r="KKK20" s="91"/>
      <c r="KKN20" s="89"/>
      <c r="KKP20" s="91"/>
      <c r="KKS20" s="89"/>
      <c r="KKU20" s="91"/>
      <c r="KKX20" s="89"/>
      <c r="KKZ20" s="91"/>
      <c r="KLC20" s="89"/>
      <c r="KLE20" s="91"/>
      <c r="KLH20" s="89"/>
      <c r="KLJ20" s="91"/>
      <c r="KLM20" s="89"/>
      <c r="KLO20" s="91"/>
      <c r="KLR20" s="89"/>
      <c r="KLT20" s="91"/>
      <c r="KLW20" s="89"/>
      <c r="KLY20" s="91"/>
      <c r="KMB20" s="89"/>
      <c r="KMD20" s="91"/>
      <c r="KMG20" s="89"/>
      <c r="KMI20" s="91"/>
      <c r="KML20" s="89"/>
      <c r="KMN20" s="91"/>
      <c r="KMQ20" s="89"/>
      <c r="KMS20" s="91"/>
      <c r="KMV20" s="89"/>
      <c r="KMX20" s="91"/>
      <c r="KNA20" s="89"/>
      <c r="KNC20" s="91"/>
      <c r="KNF20" s="89"/>
      <c r="KNH20" s="91"/>
      <c r="KNK20" s="89"/>
      <c r="KNM20" s="91"/>
      <c r="KNP20" s="89"/>
      <c r="KNR20" s="91"/>
      <c r="KNU20" s="89"/>
      <c r="KNW20" s="91"/>
      <c r="KNZ20" s="89"/>
      <c r="KOB20" s="91"/>
      <c r="KOE20" s="89"/>
      <c r="KOG20" s="91"/>
      <c r="KOJ20" s="89"/>
      <c r="KOL20" s="91"/>
      <c r="KOO20" s="89"/>
      <c r="KOQ20" s="91"/>
      <c r="KOT20" s="89"/>
      <c r="KOV20" s="91"/>
      <c r="KOY20" s="89"/>
      <c r="KPA20" s="91"/>
      <c r="KPD20" s="89"/>
      <c r="KPF20" s="91"/>
      <c r="KPI20" s="89"/>
      <c r="KPK20" s="91"/>
      <c r="KPN20" s="89"/>
      <c r="KPP20" s="91"/>
      <c r="KPS20" s="89"/>
      <c r="KPU20" s="91"/>
      <c r="KPX20" s="89"/>
      <c r="KPZ20" s="91"/>
      <c r="KQC20" s="89"/>
      <c r="KQE20" s="91"/>
      <c r="KQH20" s="89"/>
      <c r="KQJ20" s="91"/>
      <c r="KQM20" s="89"/>
      <c r="KQO20" s="91"/>
      <c r="KQR20" s="89"/>
      <c r="KQT20" s="91"/>
      <c r="KQW20" s="89"/>
      <c r="KQY20" s="91"/>
      <c r="KRB20" s="89"/>
      <c r="KRD20" s="91"/>
      <c r="KRG20" s="89"/>
      <c r="KRI20" s="91"/>
      <c r="KRL20" s="89"/>
      <c r="KRN20" s="91"/>
      <c r="KRQ20" s="89"/>
      <c r="KRS20" s="91"/>
      <c r="KRV20" s="89"/>
      <c r="KRX20" s="91"/>
      <c r="KSA20" s="89"/>
      <c r="KSC20" s="91"/>
      <c r="KSF20" s="89"/>
      <c r="KSH20" s="91"/>
      <c r="KSK20" s="89"/>
      <c r="KSM20" s="91"/>
      <c r="KSP20" s="89"/>
      <c r="KSR20" s="91"/>
      <c r="KSU20" s="89"/>
      <c r="KSW20" s="91"/>
      <c r="KSZ20" s="89"/>
      <c r="KTB20" s="91"/>
      <c r="KTE20" s="89"/>
      <c r="KTG20" s="91"/>
      <c r="KTJ20" s="89"/>
      <c r="KTL20" s="91"/>
      <c r="KTO20" s="89"/>
      <c r="KTQ20" s="91"/>
      <c r="KTT20" s="89"/>
      <c r="KTV20" s="91"/>
      <c r="KTY20" s="89"/>
      <c r="KUA20" s="91"/>
      <c r="KUD20" s="89"/>
      <c r="KUF20" s="91"/>
      <c r="KUI20" s="89"/>
      <c r="KUK20" s="91"/>
      <c r="KUN20" s="89"/>
      <c r="KUP20" s="91"/>
      <c r="KUS20" s="89"/>
      <c r="KUU20" s="91"/>
      <c r="KUX20" s="89"/>
      <c r="KUZ20" s="91"/>
      <c r="KVC20" s="89"/>
      <c r="KVE20" s="91"/>
      <c r="KVH20" s="89"/>
      <c r="KVJ20" s="91"/>
      <c r="KVM20" s="89"/>
      <c r="KVO20" s="91"/>
      <c r="KVR20" s="89"/>
      <c r="KVT20" s="91"/>
      <c r="KVW20" s="89"/>
      <c r="KVY20" s="91"/>
      <c r="KWB20" s="89"/>
      <c r="KWD20" s="91"/>
      <c r="KWG20" s="89"/>
      <c r="KWI20" s="91"/>
      <c r="KWL20" s="89"/>
      <c r="KWN20" s="91"/>
      <c r="KWQ20" s="89"/>
      <c r="KWS20" s="91"/>
      <c r="KWV20" s="89"/>
      <c r="KWX20" s="91"/>
      <c r="KXA20" s="89"/>
      <c r="KXC20" s="91"/>
      <c r="KXF20" s="89"/>
      <c r="KXH20" s="91"/>
      <c r="KXK20" s="89"/>
      <c r="KXM20" s="91"/>
      <c r="KXP20" s="89"/>
      <c r="KXR20" s="91"/>
      <c r="KXU20" s="89"/>
      <c r="KXW20" s="91"/>
      <c r="KXZ20" s="89"/>
      <c r="KYB20" s="91"/>
      <c r="KYE20" s="89"/>
      <c r="KYG20" s="91"/>
      <c r="KYJ20" s="89"/>
      <c r="KYL20" s="91"/>
      <c r="KYO20" s="89"/>
      <c r="KYQ20" s="91"/>
      <c r="KYT20" s="89"/>
      <c r="KYV20" s="91"/>
      <c r="KYY20" s="89"/>
      <c r="KZA20" s="91"/>
      <c r="KZD20" s="89"/>
      <c r="KZF20" s="91"/>
      <c r="KZI20" s="89"/>
      <c r="KZK20" s="91"/>
      <c r="KZN20" s="89"/>
      <c r="KZP20" s="91"/>
      <c r="KZS20" s="89"/>
      <c r="KZU20" s="91"/>
      <c r="KZX20" s="89"/>
      <c r="KZZ20" s="91"/>
      <c r="LAC20" s="89"/>
      <c r="LAE20" s="91"/>
      <c r="LAH20" s="89"/>
      <c r="LAJ20" s="91"/>
      <c r="LAM20" s="89"/>
      <c r="LAO20" s="91"/>
      <c r="LAR20" s="89"/>
      <c r="LAT20" s="91"/>
      <c r="LAW20" s="89"/>
      <c r="LAY20" s="91"/>
      <c r="LBB20" s="89"/>
      <c r="LBD20" s="91"/>
      <c r="LBG20" s="89"/>
      <c r="LBI20" s="91"/>
      <c r="LBL20" s="89"/>
      <c r="LBN20" s="91"/>
      <c r="LBQ20" s="89"/>
      <c r="LBS20" s="91"/>
      <c r="LBV20" s="89"/>
      <c r="LBX20" s="91"/>
      <c r="LCA20" s="89"/>
      <c r="LCC20" s="91"/>
      <c r="LCF20" s="89"/>
      <c r="LCH20" s="91"/>
      <c r="LCK20" s="89"/>
      <c r="LCM20" s="91"/>
      <c r="LCP20" s="89"/>
      <c r="LCR20" s="91"/>
      <c r="LCU20" s="89"/>
      <c r="LCW20" s="91"/>
      <c r="LCZ20" s="89"/>
      <c r="LDB20" s="91"/>
      <c r="LDE20" s="89"/>
      <c r="LDG20" s="91"/>
      <c r="LDJ20" s="89"/>
      <c r="LDL20" s="91"/>
      <c r="LDO20" s="89"/>
      <c r="LDQ20" s="91"/>
      <c r="LDT20" s="89"/>
      <c r="LDV20" s="91"/>
      <c r="LDY20" s="89"/>
      <c r="LEA20" s="91"/>
      <c r="LED20" s="89"/>
      <c r="LEF20" s="91"/>
      <c r="LEI20" s="89"/>
      <c r="LEK20" s="91"/>
      <c r="LEN20" s="89"/>
      <c r="LEP20" s="91"/>
      <c r="LES20" s="89"/>
      <c r="LEU20" s="91"/>
      <c r="LEX20" s="89"/>
      <c r="LEZ20" s="91"/>
      <c r="LFC20" s="89"/>
      <c r="LFE20" s="91"/>
      <c r="LFH20" s="89"/>
      <c r="LFJ20" s="91"/>
      <c r="LFM20" s="89"/>
      <c r="LFO20" s="91"/>
      <c r="LFR20" s="89"/>
      <c r="LFT20" s="91"/>
      <c r="LFW20" s="89"/>
      <c r="LFY20" s="91"/>
      <c r="LGB20" s="89"/>
      <c r="LGD20" s="91"/>
      <c r="LGG20" s="89"/>
      <c r="LGI20" s="91"/>
      <c r="LGL20" s="89"/>
      <c r="LGN20" s="91"/>
      <c r="LGQ20" s="89"/>
      <c r="LGS20" s="91"/>
      <c r="LGV20" s="89"/>
      <c r="LGX20" s="91"/>
      <c r="LHA20" s="89"/>
      <c r="LHC20" s="91"/>
      <c r="LHF20" s="89"/>
      <c r="LHH20" s="91"/>
      <c r="LHK20" s="89"/>
      <c r="LHM20" s="91"/>
      <c r="LHP20" s="89"/>
      <c r="LHR20" s="91"/>
      <c r="LHU20" s="89"/>
      <c r="LHW20" s="91"/>
      <c r="LHZ20" s="89"/>
      <c r="LIB20" s="91"/>
      <c r="LIE20" s="89"/>
      <c r="LIG20" s="91"/>
      <c r="LIJ20" s="89"/>
      <c r="LIL20" s="91"/>
      <c r="LIO20" s="89"/>
      <c r="LIQ20" s="91"/>
      <c r="LIT20" s="89"/>
      <c r="LIV20" s="91"/>
      <c r="LIY20" s="89"/>
      <c r="LJA20" s="91"/>
      <c r="LJD20" s="89"/>
      <c r="LJF20" s="91"/>
      <c r="LJI20" s="89"/>
      <c r="LJK20" s="91"/>
      <c r="LJN20" s="89"/>
      <c r="LJP20" s="91"/>
      <c r="LJS20" s="89"/>
      <c r="LJU20" s="91"/>
      <c r="LJX20" s="89"/>
      <c r="LJZ20" s="91"/>
      <c r="LKC20" s="89"/>
      <c r="LKE20" s="91"/>
      <c r="LKH20" s="89"/>
      <c r="LKJ20" s="91"/>
      <c r="LKM20" s="89"/>
      <c r="LKO20" s="91"/>
      <c r="LKR20" s="89"/>
      <c r="LKT20" s="91"/>
      <c r="LKW20" s="89"/>
      <c r="LKY20" s="91"/>
      <c r="LLB20" s="89"/>
      <c r="LLD20" s="91"/>
      <c r="LLG20" s="89"/>
      <c r="LLI20" s="91"/>
      <c r="LLL20" s="89"/>
      <c r="LLN20" s="91"/>
      <c r="LLQ20" s="89"/>
      <c r="LLS20" s="91"/>
      <c r="LLV20" s="89"/>
      <c r="LLX20" s="91"/>
      <c r="LMA20" s="89"/>
      <c r="LMC20" s="91"/>
      <c r="LMF20" s="89"/>
      <c r="LMH20" s="91"/>
      <c r="LMK20" s="89"/>
      <c r="LMM20" s="91"/>
      <c r="LMP20" s="89"/>
      <c r="LMR20" s="91"/>
      <c r="LMU20" s="89"/>
      <c r="LMW20" s="91"/>
      <c r="LMZ20" s="89"/>
      <c r="LNB20" s="91"/>
      <c r="LNE20" s="89"/>
      <c r="LNG20" s="91"/>
      <c r="LNJ20" s="89"/>
      <c r="LNL20" s="91"/>
      <c r="LNO20" s="89"/>
      <c r="LNQ20" s="91"/>
      <c r="LNT20" s="89"/>
      <c r="LNV20" s="91"/>
      <c r="LNY20" s="89"/>
      <c r="LOA20" s="91"/>
      <c r="LOD20" s="89"/>
      <c r="LOF20" s="91"/>
      <c r="LOI20" s="89"/>
      <c r="LOK20" s="91"/>
      <c r="LON20" s="89"/>
      <c r="LOP20" s="91"/>
      <c r="LOS20" s="89"/>
      <c r="LOU20" s="91"/>
      <c r="LOX20" s="89"/>
      <c r="LOZ20" s="91"/>
      <c r="LPC20" s="89"/>
      <c r="LPE20" s="91"/>
      <c r="LPH20" s="89"/>
      <c r="LPJ20" s="91"/>
      <c r="LPM20" s="89"/>
      <c r="LPO20" s="91"/>
      <c r="LPR20" s="89"/>
      <c r="LPT20" s="91"/>
      <c r="LPW20" s="89"/>
      <c r="LPY20" s="91"/>
      <c r="LQB20" s="89"/>
      <c r="LQD20" s="91"/>
      <c r="LQG20" s="89"/>
      <c r="LQI20" s="91"/>
      <c r="LQL20" s="89"/>
      <c r="LQN20" s="91"/>
      <c r="LQQ20" s="89"/>
      <c r="LQS20" s="91"/>
      <c r="LQV20" s="89"/>
      <c r="LQX20" s="91"/>
      <c r="LRA20" s="89"/>
      <c r="LRC20" s="91"/>
      <c r="LRF20" s="89"/>
      <c r="LRH20" s="91"/>
      <c r="LRK20" s="89"/>
      <c r="LRM20" s="91"/>
      <c r="LRP20" s="89"/>
      <c r="LRR20" s="91"/>
      <c r="LRU20" s="89"/>
      <c r="LRW20" s="91"/>
      <c r="LRZ20" s="89"/>
      <c r="LSB20" s="91"/>
      <c r="LSE20" s="89"/>
      <c r="LSG20" s="91"/>
      <c r="LSJ20" s="89"/>
      <c r="LSL20" s="91"/>
      <c r="LSO20" s="89"/>
      <c r="LSQ20" s="91"/>
      <c r="LST20" s="89"/>
      <c r="LSV20" s="91"/>
      <c r="LSY20" s="89"/>
      <c r="LTA20" s="91"/>
      <c r="LTD20" s="89"/>
      <c r="LTF20" s="91"/>
      <c r="LTI20" s="89"/>
      <c r="LTK20" s="91"/>
      <c r="LTN20" s="89"/>
      <c r="LTP20" s="91"/>
      <c r="LTS20" s="89"/>
      <c r="LTU20" s="91"/>
      <c r="LTX20" s="89"/>
      <c r="LTZ20" s="91"/>
      <c r="LUC20" s="89"/>
      <c r="LUE20" s="91"/>
      <c r="LUH20" s="89"/>
      <c r="LUJ20" s="91"/>
      <c r="LUM20" s="89"/>
      <c r="LUO20" s="91"/>
      <c r="LUR20" s="89"/>
      <c r="LUT20" s="91"/>
      <c r="LUW20" s="89"/>
      <c r="LUY20" s="91"/>
      <c r="LVB20" s="89"/>
      <c r="LVD20" s="91"/>
      <c r="LVG20" s="89"/>
      <c r="LVI20" s="91"/>
      <c r="LVL20" s="89"/>
      <c r="LVN20" s="91"/>
      <c r="LVQ20" s="89"/>
      <c r="LVS20" s="91"/>
      <c r="LVV20" s="89"/>
      <c r="LVX20" s="91"/>
      <c r="LWA20" s="89"/>
      <c r="LWC20" s="91"/>
      <c r="LWF20" s="89"/>
      <c r="LWH20" s="91"/>
      <c r="LWK20" s="89"/>
      <c r="LWM20" s="91"/>
      <c r="LWP20" s="89"/>
      <c r="LWR20" s="91"/>
      <c r="LWU20" s="89"/>
      <c r="LWW20" s="91"/>
      <c r="LWZ20" s="89"/>
      <c r="LXB20" s="91"/>
      <c r="LXE20" s="89"/>
      <c r="LXG20" s="91"/>
      <c r="LXJ20" s="89"/>
      <c r="LXL20" s="91"/>
      <c r="LXO20" s="89"/>
      <c r="LXQ20" s="91"/>
      <c r="LXT20" s="89"/>
      <c r="LXV20" s="91"/>
      <c r="LXY20" s="89"/>
      <c r="LYA20" s="91"/>
      <c r="LYD20" s="89"/>
      <c r="LYF20" s="91"/>
      <c r="LYI20" s="89"/>
      <c r="LYK20" s="91"/>
      <c r="LYN20" s="89"/>
      <c r="LYP20" s="91"/>
      <c r="LYS20" s="89"/>
      <c r="LYU20" s="91"/>
      <c r="LYX20" s="89"/>
      <c r="LYZ20" s="91"/>
      <c r="LZC20" s="89"/>
      <c r="LZE20" s="91"/>
      <c r="LZH20" s="89"/>
      <c r="LZJ20" s="91"/>
      <c r="LZM20" s="89"/>
      <c r="LZO20" s="91"/>
      <c r="LZR20" s="89"/>
      <c r="LZT20" s="91"/>
      <c r="LZW20" s="89"/>
      <c r="LZY20" s="91"/>
      <c r="MAB20" s="89"/>
      <c r="MAD20" s="91"/>
      <c r="MAG20" s="89"/>
      <c r="MAI20" s="91"/>
      <c r="MAL20" s="89"/>
      <c r="MAN20" s="91"/>
      <c r="MAQ20" s="89"/>
      <c r="MAS20" s="91"/>
      <c r="MAV20" s="89"/>
      <c r="MAX20" s="91"/>
      <c r="MBA20" s="89"/>
      <c r="MBC20" s="91"/>
      <c r="MBF20" s="89"/>
      <c r="MBH20" s="91"/>
      <c r="MBK20" s="89"/>
      <c r="MBM20" s="91"/>
      <c r="MBP20" s="89"/>
      <c r="MBR20" s="91"/>
      <c r="MBU20" s="89"/>
      <c r="MBW20" s="91"/>
      <c r="MBZ20" s="89"/>
      <c r="MCB20" s="91"/>
      <c r="MCE20" s="89"/>
      <c r="MCG20" s="91"/>
      <c r="MCJ20" s="89"/>
      <c r="MCL20" s="91"/>
      <c r="MCO20" s="89"/>
      <c r="MCQ20" s="91"/>
      <c r="MCT20" s="89"/>
      <c r="MCV20" s="91"/>
      <c r="MCY20" s="89"/>
      <c r="MDA20" s="91"/>
      <c r="MDD20" s="89"/>
      <c r="MDF20" s="91"/>
      <c r="MDI20" s="89"/>
      <c r="MDK20" s="91"/>
      <c r="MDN20" s="89"/>
      <c r="MDP20" s="91"/>
      <c r="MDS20" s="89"/>
      <c r="MDU20" s="91"/>
      <c r="MDX20" s="89"/>
      <c r="MDZ20" s="91"/>
      <c r="MEC20" s="89"/>
      <c r="MEE20" s="91"/>
      <c r="MEH20" s="89"/>
      <c r="MEJ20" s="91"/>
      <c r="MEM20" s="89"/>
      <c r="MEO20" s="91"/>
      <c r="MER20" s="89"/>
      <c r="MET20" s="91"/>
      <c r="MEW20" s="89"/>
      <c r="MEY20" s="91"/>
      <c r="MFB20" s="89"/>
      <c r="MFD20" s="91"/>
      <c r="MFG20" s="89"/>
      <c r="MFI20" s="91"/>
      <c r="MFL20" s="89"/>
      <c r="MFN20" s="91"/>
      <c r="MFQ20" s="89"/>
      <c r="MFS20" s="91"/>
      <c r="MFV20" s="89"/>
      <c r="MFX20" s="91"/>
      <c r="MGA20" s="89"/>
      <c r="MGC20" s="91"/>
      <c r="MGF20" s="89"/>
      <c r="MGH20" s="91"/>
      <c r="MGK20" s="89"/>
      <c r="MGM20" s="91"/>
      <c r="MGP20" s="89"/>
      <c r="MGR20" s="91"/>
      <c r="MGU20" s="89"/>
      <c r="MGW20" s="91"/>
      <c r="MGZ20" s="89"/>
      <c r="MHB20" s="91"/>
      <c r="MHE20" s="89"/>
      <c r="MHG20" s="91"/>
      <c r="MHJ20" s="89"/>
      <c r="MHL20" s="91"/>
      <c r="MHO20" s="89"/>
      <c r="MHQ20" s="91"/>
      <c r="MHT20" s="89"/>
      <c r="MHV20" s="91"/>
      <c r="MHY20" s="89"/>
      <c r="MIA20" s="91"/>
      <c r="MID20" s="89"/>
      <c r="MIF20" s="91"/>
      <c r="MII20" s="89"/>
      <c r="MIK20" s="91"/>
      <c r="MIN20" s="89"/>
      <c r="MIP20" s="91"/>
      <c r="MIS20" s="89"/>
      <c r="MIU20" s="91"/>
      <c r="MIX20" s="89"/>
      <c r="MIZ20" s="91"/>
      <c r="MJC20" s="89"/>
      <c r="MJE20" s="91"/>
      <c r="MJH20" s="89"/>
      <c r="MJJ20" s="91"/>
      <c r="MJM20" s="89"/>
      <c r="MJO20" s="91"/>
      <c r="MJR20" s="89"/>
      <c r="MJT20" s="91"/>
      <c r="MJW20" s="89"/>
      <c r="MJY20" s="91"/>
      <c r="MKB20" s="89"/>
      <c r="MKD20" s="91"/>
      <c r="MKG20" s="89"/>
      <c r="MKI20" s="91"/>
      <c r="MKL20" s="89"/>
      <c r="MKN20" s="91"/>
      <c r="MKQ20" s="89"/>
      <c r="MKS20" s="91"/>
      <c r="MKV20" s="89"/>
      <c r="MKX20" s="91"/>
      <c r="MLA20" s="89"/>
      <c r="MLC20" s="91"/>
      <c r="MLF20" s="89"/>
      <c r="MLH20" s="91"/>
      <c r="MLK20" s="89"/>
      <c r="MLM20" s="91"/>
      <c r="MLP20" s="89"/>
      <c r="MLR20" s="91"/>
      <c r="MLU20" s="89"/>
      <c r="MLW20" s="91"/>
      <c r="MLZ20" s="89"/>
      <c r="MMB20" s="91"/>
      <c r="MME20" s="89"/>
      <c r="MMG20" s="91"/>
      <c r="MMJ20" s="89"/>
      <c r="MML20" s="91"/>
      <c r="MMO20" s="89"/>
      <c r="MMQ20" s="91"/>
      <c r="MMT20" s="89"/>
      <c r="MMV20" s="91"/>
      <c r="MMY20" s="89"/>
      <c r="MNA20" s="91"/>
      <c r="MND20" s="89"/>
      <c r="MNF20" s="91"/>
      <c r="MNI20" s="89"/>
      <c r="MNK20" s="91"/>
      <c r="MNN20" s="89"/>
      <c r="MNP20" s="91"/>
      <c r="MNS20" s="89"/>
      <c r="MNU20" s="91"/>
      <c r="MNX20" s="89"/>
      <c r="MNZ20" s="91"/>
      <c r="MOC20" s="89"/>
      <c r="MOE20" s="91"/>
      <c r="MOH20" s="89"/>
      <c r="MOJ20" s="91"/>
      <c r="MOM20" s="89"/>
      <c r="MOO20" s="91"/>
      <c r="MOR20" s="89"/>
      <c r="MOT20" s="91"/>
      <c r="MOW20" s="89"/>
      <c r="MOY20" s="91"/>
      <c r="MPB20" s="89"/>
      <c r="MPD20" s="91"/>
      <c r="MPG20" s="89"/>
      <c r="MPI20" s="91"/>
      <c r="MPL20" s="89"/>
      <c r="MPN20" s="91"/>
      <c r="MPQ20" s="89"/>
      <c r="MPS20" s="91"/>
      <c r="MPV20" s="89"/>
      <c r="MPX20" s="91"/>
      <c r="MQA20" s="89"/>
      <c r="MQC20" s="91"/>
      <c r="MQF20" s="89"/>
      <c r="MQH20" s="91"/>
      <c r="MQK20" s="89"/>
      <c r="MQM20" s="91"/>
      <c r="MQP20" s="89"/>
      <c r="MQR20" s="91"/>
      <c r="MQU20" s="89"/>
      <c r="MQW20" s="91"/>
      <c r="MQZ20" s="89"/>
      <c r="MRB20" s="91"/>
      <c r="MRE20" s="89"/>
      <c r="MRG20" s="91"/>
      <c r="MRJ20" s="89"/>
      <c r="MRL20" s="91"/>
      <c r="MRO20" s="89"/>
      <c r="MRQ20" s="91"/>
      <c r="MRT20" s="89"/>
      <c r="MRV20" s="91"/>
      <c r="MRY20" s="89"/>
      <c r="MSA20" s="91"/>
      <c r="MSD20" s="89"/>
      <c r="MSF20" s="91"/>
      <c r="MSI20" s="89"/>
      <c r="MSK20" s="91"/>
      <c r="MSN20" s="89"/>
      <c r="MSP20" s="91"/>
      <c r="MSS20" s="89"/>
      <c r="MSU20" s="91"/>
      <c r="MSX20" s="89"/>
      <c r="MSZ20" s="91"/>
      <c r="MTC20" s="89"/>
      <c r="MTE20" s="91"/>
      <c r="MTH20" s="89"/>
      <c r="MTJ20" s="91"/>
      <c r="MTM20" s="89"/>
      <c r="MTO20" s="91"/>
      <c r="MTR20" s="89"/>
      <c r="MTT20" s="91"/>
      <c r="MTW20" s="89"/>
      <c r="MTY20" s="91"/>
      <c r="MUB20" s="89"/>
      <c r="MUD20" s="91"/>
      <c r="MUG20" s="89"/>
      <c r="MUI20" s="91"/>
      <c r="MUL20" s="89"/>
      <c r="MUN20" s="91"/>
      <c r="MUQ20" s="89"/>
      <c r="MUS20" s="91"/>
      <c r="MUV20" s="89"/>
      <c r="MUX20" s="91"/>
      <c r="MVA20" s="89"/>
      <c r="MVC20" s="91"/>
      <c r="MVF20" s="89"/>
      <c r="MVH20" s="91"/>
      <c r="MVK20" s="89"/>
      <c r="MVM20" s="91"/>
      <c r="MVP20" s="89"/>
      <c r="MVR20" s="91"/>
      <c r="MVU20" s="89"/>
      <c r="MVW20" s="91"/>
      <c r="MVZ20" s="89"/>
      <c r="MWB20" s="91"/>
      <c r="MWE20" s="89"/>
      <c r="MWG20" s="91"/>
      <c r="MWJ20" s="89"/>
      <c r="MWL20" s="91"/>
      <c r="MWO20" s="89"/>
      <c r="MWQ20" s="91"/>
      <c r="MWT20" s="89"/>
      <c r="MWV20" s="91"/>
      <c r="MWY20" s="89"/>
      <c r="MXA20" s="91"/>
      <c r="MXD20" s="89"/>
      <c r="MXF20" s="91"/>
      <c r="MXI20" s="89"/>
      <c r="MXK20" s="91"/>
      <c r="MXN20" s="89"/>
      <c r="MXP20" s="91"/>
      <c r="MXS20" s="89"/>
      <c r="MXU20" s="91"/>
      <c r="MXX20" s="89"/>
      <c r="MXZ20" s="91"/>
      <c r="MYC20" s="89"/>
      <c r="MYE20" s="91"/>
      <c r="MYH20" s="89"/>
      <c r="MYJ20" s="91"/>
      <c r="MYM20" s="89"/>
      <c r="MYO20" s="91"/>
      <c r="MYR20" s="89"/>
      <c r="MYT20" s="91"/>
      <c r="MYW20" s="89"/>
      <c r="MYY20" s="91"/>
      <c r="MZB20" s="89"/>
      <c r="MZD20" s="91"/>
      <c r="MZG20" s="89"/>
      <c r="MZI20" s="91"/>
      <c r="MZL20" s="89"/>
      <c r="MZN20" s="91"/>
      <c r="MZQ20" s="89"/>
      <c r="MZS20" s="91"/>
      <c r="MZV20" s="89"/>
      <c r="MZX20" s="91"/>
      <c r="NAA20" s="89"/>
      <c r="NAC20" s="91"/>
      <c r="NAF20" s="89"/>
      <c r="NAH20" s="91"/>
      <c r="NAK20" s="89"/>
      <c r="NAM20" s="91"/>
      <c r="NAP20" s="89"/>
      <c r="NAR20" s="91"/>
      <c r="NAU20" s="89"/>
      <c r="NAW20" s="91"/>
      <c r="NAZ20" s="89"/>
      <c r="NBB20" s="91"/>
      <c r="NBE20" s="89"/>
      <c r="NBG20" s="91"/>
      <c r="NBJ20" s="89"/>
      <c r="NBL20" s="91"/>
      <c r="NBO20" s="89"/>
      <c r="NBQ20" s="91"/>
      <c r="NBT20" s="89"/>
      <c r="NBV20" s="91"/>
      <c r="NBY20" s="89"/>
      <c r="NCA20" s="91"/>
      <c r="NCD20" s="89"/>
      <c r="NCF20" s="91"/>
      <c r="NCI20" s="89"/>
      <c r="NCK20" s="91"/>
      <c r="NCN20" s="89"/>
      <c r="NCP20" s="91"/>
      <c r="NCS20" s="89"/>
      <c r="NCU20" s="91"/>
      <c r="NCX20" s="89"/>
      <c r="NCZ20" s="91"/>
      <c r="NDC20" s="89"/>
      <c r="NDE20" s="91"/>
      <c r="NDH20" s="89"/>
      <c r="NDJ20" s="91"/>
      <c r="NDM20" s="89"/>
      <c r="NDO20" s="91"/>
      <c r="NDR20" s="89"/>
      <c r="NDT20" s="91"/>
      <c r="NDW20" s="89"/>
      <c r="NDY20" s="91"/>
      <c r="NEB20" s="89"/>
      <c r="NED20" s="91"/>
      <c r="NEG20" s="89"/>
      <c r="NEI20" s="91"/>
      <c r="NEL20" s="89"/>
      <c r="NEN20" s="91"/>
      <c r="NEQ20" s="89"/>
      <c r="NES20" s="91"/>
      <c r="NEV20" s="89"/>
      <c r="NEX20" s="91"/>
      <c r="NFA20" s="89"/>
      <c r="NFC20" s="91"/>
      <c r="NFF20" s="89"/>
      <c r="NFH20" s="91"/>
      <c r="NFK20" s="89"/>
      <c r="NFM20" s="91"/>
      <c r="NFP20" s="89"/>
      <c r="NFR20" s="91"/>
      <c r="NFU20" s="89"/>
      <c r="NFW20" s="91"/>
      <c r="NFZ20" s="89"/>
      <c r="NGB20" s="91"/>
      <c r="NGE20" s="89"/>
      <c r="NGG20" s="91"/>
      <c r="NGJ20" s="89"/>
      <c r="NGL20" s="91"/>
      <c r="NGO20" s="89"/>
      <c r="NGQ20" s="91"/>
      <c r="NGT20" s="89"/>
      <c r="NGV20" s="91"/>
      <c r="NGY20" s="89"/>
      <c r="NHA20" s="91"/>
      <c r="NHD20" s="89"/>
      <c r="NHF20" s="91"/>
      <c r="NHI20" s="89"/>
      <c r="NHK20" s="91"/>
      <c r="NHN20" s="89"/>
      <c r="NHP20" s="91"/>
      <c r="NHS20" s="89"/>
      <c r="NHU20" s="91"/>
      <c r="NHX20" s="89"/>
      <c r="NHZ20" s="91"/>
      <c r="NIC20" s="89"/>
      <c r="NIE20" s="91"/>
      <c r="NIH20" s="89"/>
      <c r="NIJ20" s="91"/>
      <c r="NIM20" s="89"/>
      <c r="NIO20" s="91"/>
      <c r="NIR20" s="89"/>
      <c r="NIT20" s="91"/>
      <c r="NIW20" s="89"/>
      <c r="NIY20" s="91"/>
      <c r="NJB20" s="89"/>
      <c r="NJD20" s="91"/>
      <c r="NJG20" s="89"/>
      <c r="NJI20" s="91"/>
      <c r="NJL20" s="89"/>
      <c r="NJN20" s="91"/>
      <c r="NJQ20" s="89"/>
      <c r="NJS20" s="91"/>
      <c r="NJV20" s="89"/>
      <c r="NJX20" s="91"/>
      <c r="NKA20" s="89"/>
      <c r="NKC20" s="91"/>
      <c r="NKF20" s="89"/>
      <c r="NKH20" s="91"/>
      <c r="NKK20" s="89"/>
      <c r="NKM20" s="91"/>
      <c r="NKP20" s="89"/>
      <c r="NKR20" s="91"/>
      <c r="NKU20" s="89"/>
      <c r="NKW20" s="91"/>
      <c r="NKZ20" s="89"/>
      <c r="NLB20" s="91"/>
      <c r="NLE20" s="89"/>
      <c r="NLG20" s="91"/>
      <c r="NLJ20" s="89"/>
      <c r="NLL20" s="91"/>
      <c r="NLO20" s="89"/>
      <c r="NLQ20" s="91"/>
      <c r="NLT20" s="89"/>
      <c r="NLV20" s="91"/>
      <c r="NLY20" s="89"/>
      <c r="NMA20" s="91"/>
      <c r="NMD20" s="89"/>
      <c r="NMF20" s="91"/>
      <c r="NMI20" s="89"/>
      <c r="NMK20" s="91"/>
      <c r="NMN20" s="89"/>
      <c r="NMP20" s="91"/>
      <c r="NMS20" s="89"/>
      <c r="NMU20" s="91"/>
      <c r="NMX20" s="89"/>
      <c r="NMZ20" s="91"/>
      <c r="NNC20" s="89"/>
      <c r="NNE20" s="91"/>
      <c r="NNH20" s="89"/>
      <c r="NNJ20" s="91"/>
      <c r="NNM20" s="89"/>
      <c r="NNO20" s="91"/>
      <c r="NNR20" s="89"/>
      <c r="NNT20" s="91"/>
      <c r="NNW20" s="89"/>
      <c r="NNY20" s="91"/>
      <c r="NOB20" s="89"/>
      <c r="NOD20" s="91"/>
      <c r="NOG20" s="89"/>
      <c r="NOI20" s="91"/>
      <c r="NOL20" s="89"/>
      <c r="NON20" s="91"/>
      <c r="NOQ20" s="89"/>
      <c r="NOS20" s="91"/>
      <c r="NOV20" s="89"/>
      <c r="NOX20" s="91"/>
      <c r="NPA20" s="89"/>
      <c r="NPC20" s="91"/>
      <c r="NPF20" s="89"/>
      <c r="NPH20" s="91"/>
      <c r="NPK20" s="89"/>
      <c r="NPM20" s="91"/>
      <c r="NPP20" s="89"/>
      <c r="NPR20" s="91"/>
      <c r="NPU20" s="89"/>
      <c r="NPW20" s="91"/>
      <c r="NPZ20" s="89"/>
      <c r="NQB20" s="91"/>
      <c r="NQE20" s="89"/>
      <c r="NQG20" s="91"/>
      <c r="NQJ20" s="89"/>
      <c r="NQL20" s="91"/>
      <c r="NQO20" s="89"/>
      <c r="NQQ20" s="91"/>
      <c r="NQT20" s="89"/>
      <c r="NQV20" s="91"/>
      <c r="NQY20" s="89"/>
      <c r="NRA20" s="91"/>
      <c r="NRD20" s="89"/>
      <c r="NRF20" s="91"/>
      <c r="NRI20" s="89"/>
      <c r="NRK20" s="91"/>
      <c r="NRN20" s="89"/>
      <c r="NRP20" s="91"/>
      <c r="NRS20" s="89"/>
      <c r="NRU20" s="91"/>
      <c r="NRX20" s="89"/>
      <c r="NRZ20" s="91"/>
      <c r="NSC20" s="89"/>
      <c r="NSE20" s="91"/>
      <c r="NSH20" s="89"/>
      <c r="NSJ20" s="91"/>
      <c r="NSM20" s="89"/>
      <c r="NSO20" s="91"/>
      <c r="NSR20" s="89"/>
      <c r="NST20" s="91"/>
      <c r="NSW20" s="89"/>
      <c r="NSY20" s="91"/>
      <c r="NTB20" s="89"/>
      <c r="NTD20" s="91"/>
      <c r="NTG20" s="89"/>
      <c r="NTI20" s="91"/>
      <c r="NTL20" s="89"/>
      <c r="NTN20" s="91"/>
      <c r="NTQ20" s="89"/>
      <c r="NTS20" s="91"/>
      <c r="NTV20" s="89"/>
      <c r="NTX20" s="91"/>
      <c r="NUA20" s="89"/>
      <c r="NUC20" s="91"/>
      <c r="NUF20" s="89"/>
      <c r="NUH20" s="91"/>
      <c r="NUK20" s="89"/>
      <c r="NUM20" s="91"/>
      <c r="NUP20" s="89"/>
      <c r="NUR20" s="91"/>
      <c r="NUU20" s="89"/>
      <c r="NUW20" s="91"/>
      <c r="NUZ20" s="89"/>
      <c r="NVB20" s="91"/>
      <c r="NVE20" s="89"/>
      <c r="NVG20" s="91"/>
      <c r="NVJ20" s="89"/>
      <c r="NVL20" s="91"/>
      <c r="NVO20" s="89"/>
      <c r="NVQ20" s="91"/>
      <c r="NVT20" s="89"/>
      <c r="NVV20" s="91"/>
      <c r="NVY20" s="89"/>
      <c r="NWA20" s="91"/>
      <c r="NWD20" s="89"/>
      <c r="NWF20" s="91"/>
      <c r="NWI20" s="89"/>
      <c r="NWK20" s="91"/>
      <c r="NWN20" s="89"/>
      <c r="NWP20" s="91"/>
      <c r="NWS20" s="89"/>
      <c r="NWU20" s="91"/>
      <c r="NWX20" s="89"/>
      <c r="NWZ20" s="91"/>
      <c r="NXC20" s="89"/>
      <c r="NXE20" s="91"/>
      <c r="NXH20" s="89"/>
      <c r="NXJ20" s="91"/>
      <c r="NXM20" s="89"/>
      <c r="NXO20" s="91"/>
      <c r="NXR20" s="89"/>
      <c r="NXT20" s="91"/>
      <c r="NXW20" s="89"/>
      <c r="NXY20" s="91"/>
      <c r="NYB20" s="89"/>
      <c r="NYD20" s="91"/>
      <c r="NYG20" s="89"/>
      <c r="NYI20" s="91"/>
      <c r="NYL20" s="89"/>
      <c r="NYN20" s="91"/>
      <c r="NYQ20" s="89"/>
      <c r="NYS20" s="91"/>
      <c r="NYV20" s="89"/>
      <c r="NYX20" s="91"/>
      <c r="NZA20" s="89"/>
      <c r="NZC20" s="91"/>
      <c r="NZF20" s="89"/>
      <c r="NZH20" s="91"/>
      <c r="NZK20" s="89"/>
      <c r="NZM20" s="91"/>
      <c r="NZP20" s="89"/>
      <c r="NZR20" s="91"/>
      <c r="NZU20" s="89"/>
      <c r="NZW20" s="91"/>
      <c r="NZZ20" s="89"/>
      <c r="OAB20" s="91"/>
      <c r="OAE20" s="89"/>
      <c r="OAG20" s="91"/>
      <c r="OAJ20" s="89"/>
      <c r="OAL20" s="91"/>
      <c r="OAO20" s="89"/>
      <c r="OAQ20" s="91"/>
      <c r="OAT20" s="89"/>
      <c r="OAV20" s="91"/>
      <c r="OAY20" s="89"/>
      <c r="OBA20" s="91"/>
      <c r="OBD20" s="89"/>
      <c r="OBF20" s="91"/>
      <c r="OBI20" s="89"/>
      <c r="OBK20" s="91"/>
      <c r="OBN20" s="89"/>
      <c r="OBP20" s="91"/>
      <c r="OBS20" s="89"/>
      <c r="OBU20" s="91"/>
      <c r="OBX20" s="89"/>
      <c r="OBZ20" s="91"/>
      <c r="OCC20" s="89"/>
      <c r="OCE20" s="91"/>
      <c r="OCH20" s="89"/>
      <c r="OCJ20" s="91"/>
      <c r="OCM20" s="89"/>
      <c r="OCO20" s="91"/>
      <c r="OCR20" s="89"/>
      <c r="OCT20" s="91"/>
      <c r="OCW20" s="89"/>
      <c r="OCY20" s="91"/>
      <c r="ODB20" s="89"/>
      <c r="ODD20" s="91"/>
      <c r="ODG20" s="89"/>
      <c r="ODI20" s="91"/>
      <c r="ODL20" s="89"/>
      <c r="ODN20" s="91"/>
      <c r="ODQ20" s="89"/>
      <c r="ODS20" s="91"/>
      <c r="ODV20" s="89"/>
      <c r="ODX20" s="91"/>
      <c r="OEA20" s="89"/>
      <c r="OEC20" s="91"/>
      <c r="OEF20" s="89"/>
      <c r="OEH20" s="91"/>
      <c r="OEK20" s="89"/>
      <c r="OEM20" s="91"/>
      <c r="OEP20" s="89"/>
      <c r="OER20" s="91"/>
      <c r="OEU20" s="89"/>
      <c r="OEW20" s="91"/>
      <c r="OEZ20" s="89"/>
      <c r="OFB20" s="91"/>
      <c r="OFE20" s="89"/>
      <c r="OFG20" s="91"/>
      <c r="OFJ20" s="89"/>
      <c r="OFL20" s="91"/>
      <c r="OFO20" s="89"/>
      <c r="OFQ20" s="91"/>
      <c r="OFT20" s="89"/>
      <c r="OFV20" s="91"/>
      <c r="OFY20" s="89"/>
      <c r="OGA20" s="91"/>
      <c r="OGD20" s="89"/>
      <c r="OGF20" s="91"/>
      <c r="OGI20" s="89"/>
      <c r="OGK20" s="91"/>
      <c r="OGN20" s="89"/>
      <c r="OGP20" s="91"/>
      <c r="OGS20" s="89"/>
      <c r="OGU20" s="91"/>
      <c r="OGX20" s="89"/>
      <c r="OGZ20" s="91"/>
      <c r="OHC20" s="89"/>
      <c r="OHE20" s="91"/>
      <c r="OHH20" s="89"/>
      <c r="OHJ20" s="91"/>
      <c r="OHM20" s="89"/>
      <c r="OHO20" s="91"/>
      <c r="OHR20" s="89"/>
      <c r="OHT20" s="91"/>
      <c r="OHW20" s="89"/>
      <c r="OHY20" s="91"/>
      <c r="OIB20" s="89"/>
      <c r="OID20" s="91"/>
      <c r="OIG20" s="89"/>
      <c r="OII20" s="91"/>
      <c r="OIL20" s="89"/>
      <c r="OIN20" s="91"/>
      <c r="OIQ20" s="89"/>
      <c r="OIS20" s="91"/>
      <c r="OIV20" s="89"/>
      <c r="OIX20" s="91"/>
      <c r="OJA20" s="89"/>
      <c r="OJC20" s="91"/>
      <c r="OJF20" s="89"/>
      <c r="OJH20" s="91"/>
      <c r="OJK20" s="89"/>
      <c r="OJM20" s="91"/>
      <c r="OJP20" s="89"/>
      <c r="OJR20" s="91"/>
      <c r="OJU20" s="89"/>
      <c r="OJW20" s="91"/>
      <c r="OJZ20" s="89"/>
      <c r="OKB20" s="91"/>
      <c r="OKE20" s="89"/>
      <c r="OKG20" s="91"/>
      <c r="OKJ20" s="89"/>
      <c r="OKL20" s="91"/>
      <c r="OKO20" s="89"/>
      <c r="OKQ20" s="91"/>
      <c r="OKT20" s="89"/>
      <c r="OKV20" s="91"/>
      <c r="OKY20" s="89"/>
      <c r="OLA20" s="91"/>
      <c r="OLD20" s="89"/>
      <c r="OLF20" s="91"/>
      <c r="OLI20" s="89"/>
      <c r="OLK20" s="91"/>
      <c r="OLN20" s="89"/>
      <c r="OLP20" s="91"/>
      <c r="OLS20" s="89"/>
      <c r="OLU20" s="91"/>
      <c r="OLX20" s="89"/>
      <c r="OLZ20" s="91"/>
      <c r="OMC20" s="89"/>
      <c r="OME20" s="91"/>
      <c r="OMH20" s="89"/>
      <c r="OMJ20" s="91"/>
      <c r="OMM20" s="89"/>
      <c r="OMO20" s="91"/>
      <c r="OMR20" s="89"/>
      <c r="OMT20" s="91"/>
      <c r="OMW20" s="89"/>
      <c r="OMY20" s="91"/>
      <c r="ONB20" s="89"/>
      <c r="OND20" s="91"/>
      <c r="ONG20" s="89"/>
      <c r="ONI20" s="91"/>
      <c r="ONL20" s="89"/>
      <c r="ONN20" s="91"/>
      <c r="ONQ20" s="89"/>
      <c r="ONS20" s="91"/>
      <c r="ONV20" s="89"/>
      <c r="ONX20" s="91"/>
      <c r="OOA20" s="89"/>
      <c r="OOC20" s="91"/>
      <c r="OOF20" s="89"/>
      <c r="OOH20" s="91"/>
      <c r="OOK20" s="89"/>
      <c r="OOM20" s="91"/>
      <c r="OOP20" s="89"/>
      <c r="OOR20" s="91"/>
      <c r="OOU20" s="89"/>
      <c r="OOW20" s="91"/>
      <c r="OOZ20" s="89"/>
      <c r="OPB20" s="91"/>
      <c r="OPE20" s="89"/>
      <c r="OPG20" s="91"/>
      <c r="OPJ20" s="89"/>
      <c r="OPL20" s="91"/>
      <c r="OPO20" s="89"/>
      <c r="OPQ20" s="91"/>
      <c r="OPT20" s="89"/>
      <c r="OPV20" s="91"/>
      <c r="OPY20" s="89"/>
      <c r="OQA20" s="91"/>
      <c r="OQD20" s="89"/>
      <c r="OQF20" s="91"/>
      <c r="OQI20" s="89"/>
      <c r="OQK20" s="91"/>
      <c r="OQN20" s="89"/>
      <c r="OQP20" s="91"/>
      <c r="OQS20" s="89"/>
      <c r="OQU20" s="91"/>
      <c r="OQX20" s="89"/>
      <c r="OQZ20" s="91"/>
      <c r="ORC20" s="89"/>
      <c r="ORE20" s="91"/>
      <c r="ORH20" s="89"/>
      <c r="ORJ20" s="91"/>
      <c r="ORM20" s="89"/>
      <c r="ORO20" s="91"/>
      <c r="ORR20" s="89"/>
      <c r="ORT20" s="91"/>
      <c r="ORW20" s="89"/>
      <c r="ORY20" s="91"/>
      <c r="OSB20" s="89"/>
      <c r="OSD20" s="91"/>
      <c r="OSG20" s="89"/>
      <c r="OSI20" s="91"/>
      <c r="OSL20" s="89"/>
      <c r="OSN20" s="91"/>
      <c r="OSQ20" s="89"/>
      <c r="OSS20" s="91"/>
      <c r="OSV20" s="89"/>
      <c r="OSX20" s="91"/>
      <c r="OTA20" s="89"/>
      <c r="OTC20" s="91"/>
      <c r="OTF20" s="89"/>
      <c r="OTH20" s="91"/>
      <c r="OTK20" s="89"/>
      <c r="OTM20" s="91"/>
      <c r="OTP20" s="89"/>
      <c r="OTR20" s="91"/>
      <c r="OTU20" s="89"/>
      <c r="OTW20" s="91"/>
      <c r="OTZ20" s="89"/>
      <c r="OUB20" s="91"/>
      <c r="OUE20" s="89"/>
      <c r="OUG20" s="91"/>
      <c r="OUJ20" s="89"/>
      <c r="OUL20" s="91"/>
      <c r="OUO20" s="89"/>
      <c r="OUQ20" s="91"/>
      <c r="OUT20" s="89"/>
      <c r="OUV20" s="91"/>
      <c r="OUY20" s="89"/>
      <c r="OVA20" s="91"/>
      <c r="OVD20" s="89"/>
      <c r="OVF20" s="91"/>
      <c r="OVI20" s="89"/>
      <c r="OVK20" s="91"/>
      <c r="OVN20" s="89"/>
      <c r="OVP20" s="91"/>
      <c r="OVS20" s="89"/>
      <c r="OVU20" s="91"/>
      <c r="OVX20" s="89"/>
      <c r="OVZ20" s="91"/>
      <c r="OWC20" s="89"/>
      <c r="OWE20" s="91"/>
      <c r="OWH20" s="89"/>
      <c r="OWJ20" s="91"/>
      <c r="OWM20" s="89"/>
      <c r="OWO20" s="91"/>
      <c r="OWR20" s="89"/>
      <c r="OWT20" s="91"/>
      <c r="OWW20" s="89"/>
      <c r="OWY20" s="91"/>
      <c r="OXB20" s="89"/>
      <c r="OXD20" s="91"/>
      <c r="OXG20" s="89"/>
      <c r="OXI20" s="91"/>
      <c r="OXL20" s="89"/>
      <c r="OXN20" s="91"/>
      <c r="OXQ20" s="89"/>
      <c r="OXS20" s="91"/>
      <c r="OXV20" s="89"/>
      <c r="OXX20" s="91"/>
      <c r="OYA20" s="89"/>
      <c r="OYC20" s="91"/>
      <c r="OYF20" s="89"/>
      <c r="OYH20" s="91"/>
      <c r="OYK20" s="89"/>
      <c r="OYM20" s="91"/>
      <c r="OYP20" s="89"/>
      <c r="OYR20" s="91"/>
      <c r="OYU20" s="89"/>
      <c r="OYW20" s="91"/>
      <c r="OYZ20" s="89"/>
      <c r="OZB20" s="91"/>
      <c r="OZE20" s="89"/>
      <c r="OZG20" s="91"/>
      <c r="OZJ20" s="89"/>
      <c r="OZL20" s="91"/>
      <c r="OZO20" s="89"/>
      <c r="OZQ20" s="91"/>
      <c r="OZT20" s="89"/>
      <c r="OZV20" s="91"/>
      <c r="OZY20" s="89"/>
      <c r="PAA20" s="91"/>
      <c r="PAD20" s="89"/>
      <c r="PAF20" s="91"/>
      <c r="PAI20" s="89"/>
      <c r="PAK20" s="91"/>
      <c r="PAN20" s="89"/>
      <c r="PAP20" s="91"/>
      <c r="PAS20" s="89"/>
      <c r="PAU20" s="91"/>
      <c r="PAX20" s="89"/>
      <c r="PAZ20" s="91"/>
      <c r="PBC20" s="89"/>
      <c r="PBE20" s="91"/>
      <c r="PBH20" s="89"/>
      <c r="PBJ20" s="91"/>
      <c r="PBM20" s="89"/>
      <c r="PBO20" s="91"/>
      <c r="PBR20" s="89"/>
      <c r="PBT20" s="91"/>
      <c r="PBW20" s="89"/>
      <c r="PBY20" s="91"/>
      <c r="PCB20" s="89"/>
      <c r="PCD20" s="91"/>
      <c r="PCG20" s="89"/>
      <c r="PCI20" s="91"/>
      <c r="PCL20" s="89"/>
      <c r="PCN20" s="91"/>
      <c r="PCQ20" s="89"/>
      <c r="PCS20" s="91"/>
      <c r="PCV20" s="89"/>
      <c r="PCX20" s="91"/>
      <c r="PDA20" s="89"/>
      <c r="PDC20" s="91"/>
      <c r="PDF20" s="89"/>
      <c r="PDH20" s="91"/>
      <c r="PDK20" s="89"/>
      <c r="PDM20" s="91"/>
      <c r="PDP20" s="89"/>
      <c r="PDR20" s="91"/>
      <c r="PDU20" s="89"/>
      <c r="PDW20" s="91"/>
      <c r="PDZ20" s="89"/>
      <c r="PEB20" s="91"/>
      <c r="PEE20" s="89"/>
      <c r="PEG20" s="91"/>
      <c r="PEJ20" s="89"/>
      <c r="PEL20" s="91"/>
      <c r="PEO20" s="89"/>
      <c r="PEQ20" s="91"/>
      <c r="PET20" s="89"/>
      <c r="PEV20" s="91"/>
      <c r="PEY20" s="89"/>
      <c r="PFA20" s="91"/>
      <c r="PFD20" s="89"/>
      <c r="PFF20" s="91"/>
      <c r="PFI20" s="89"/>
      <c r="PFK20" s="91"/>
      <c r="PFN20" s="89"/>
      <c r="PFP20" s="91"/>
      <c r="PFS20" s="89"/>
      <c r="PFU20" s="91"/>
      <c r="PFX20" s="89"/>
      <c r="PFZ20" s="91"/>
      <c r="PGC20" s="89"/>
      <c r="PGE20" s="91"/>
      <c r="PGH20" s="89"/>
      <c r="PGJ20" s="91"/>
      <c r="PGM20" s="89"/>
      <c r="PGO20" s="91"/>
      <c r="PGR20" s="89"/>
      <c r="PGT20" s="91"/>
      <c r="PGW20" s="89"/>
      <c r="PGY20" s="91"/>
      <c r="PHB20" s="89"/>
      <c r="PHD20" s="91"/>
      <c r="PHG20" s="89"/>
      <c r="PHI20" s="91"/>
      <c r="PHL20" s="89"/>
      <c r="PHN20" s="91"/>
      <c r="PHQ20" s="89"/>
      <c r="PHS20" s="91"/>
      <c r="PHV20" s="89"/>
      <c r="PHX20" s="91"/>
      <c r="PIA20" s="89"/>
      <c r="PIC20" s="91"/>
      <c r="PIF20" s="89"/>
      <c r="PIH20" s="91"/>
      <c r="PIK20" s="89"/>
      <c r="PIM20" s="91"/>
      <c r="PIP20" s="89"/>
      <c r="PIR20" s="91"/>
      <c r="PIU20" s="89"/>
      <c r="PIW20" s="91"/>
      <c r="PIZ20" s="89"/>
      <c r="PJB20" s="91"/>
      <c r="PJE20" s="89"/>
      <c r="PJG20" s="91"/>
      <c r="PJJ20" s="89"/>
      <c r="PJL20" s="91"/>
      <c r="PJO20" s="89"/>
      <c r="PJQ20" s="91"/>
      <c r="PJT20" s="89"/>
      <c r="PJV20" s="91"/>
      <c r="PJY20" s="89"/>
      <c r="PKA20" s="91"/>
      <c r="PKD20" s="89"/>
      <c r="PKF20" s="91"/>
      <c r="PKI20" s="89"/>
      <c r="PKK20" s="91"/>
      <c r="PKN20" s="89"/>
      <c r="PKP20" s="91"/>
      <c r="PKS20" s="89"/>
      <c r="PKU20" s="91"/>
      <c r="PKX20" s="89"/>
      <c r="PKZ20" s="91"/>
      <c r="PLC20" s="89"/>
      <c r="PLE20" s="91"/>
      <c r="PLH20" s="89"/>
      <c r="PLJ20" s="91"/>
      <c r="PLM20" s="89"/>
      <c r="PLO20" s="91"/>
      <c r="PLR20" s="89"/>
      <c r="PLT20" s="91"/>
      <c r="PLW20" s="89"/>
      <c r="PLY20" s="91"/>
      <c r="PMB20" s="89"/>
      <c r="PMD20" s="91"/>
      <c r="PMG20" s="89"/>
      <c r="PMI20" s="91"/>
      <c r="PML20" s="89"/>
      <c r="PMN20" s="91"/>
      <c r="PMQ20" s="89"/>
      <c r="PMS20" s="91"/>
      <c r="PMV20" s="89"/>
      <c r="PMX20" s="91"/>
      <c r="PNA20" s="89"/>
      <c r="PNC20" s="91"/>
      <c r="PNF20" s="89"/>
      <c r="PNH20" s="91"/>
      <c r="PNK20" s="89"/>
      <c r="PNM20" s="91"/>
      <c r="PNP20" s="89"/>
      <c r="PNR20" s="91"/>
      <c r="PNU20" s="89"/>
      <c r="PNW20" s="91"/>
      <c r="PNZ20" s="89"/>
      <c r="POB20" s="91"/>
      <c r="POE20" s="89"/>
      <c r="POG20" s="91"/>
      <c r="POJ20" s="89"/>
      <c r="POL20" s="91"/>
      <c r="POO20" s="89"/>
      <c r="POQ20" s="91"/>
      <c r="POT20" s="89"/>
      <c r="POV20" s="91"/>
      <c r="POY20" s="89"/>
      <c r="PPA20" s="91"/>
      <c r="PPD20" s="89"/>
      <c r="PPF20" s="91"/>
      <c r="PPI20" s="89"/>
      <c r="PPK20" s="91"/>
      <c r="PPN20" s="89"/>
      <c r="PPP20" s="91"/>
      <c r="PPS20" s="89"/>
      <c r="PPU20" s="91"/>
      <c r="PPX20" s="89"/>
      <c r="PPZ20" s="91"/>
      <c r="PQC20" s="89"/>
      <c r="PQE20" s="91"/>
      <c r="PQH20" s="89"/>
      <c r="PQJ20" s="91"/>
      <c r="PQM20" s="89"/>
      <c r="PQO20" s="91"/>
      <c r="PQR20" s="89"/>
      <c r="PQT20" s="91"/>
      <c r="PQW20" s="89"/>
      <c r="PQY20" s="91"/>
      <c r="PRB20" s="89"/>
      <c r="PRD20" s="91"/>
      <c r="PRG20" s="89"/>
      <c r="PRI20" s="91"/>
      <c r="PRL20" s="89"/>
      <c r="PRN20" s="91"/>
      <c r="PRQ20" s="89"/>
      <c r="PRS20" s="91"/>
      <c r="PRV20" s="89"/>
      <c r="PRX20" s="91"/>
      <c r="PSA20" s="89"/>
      <c r="PSC20" s="91"/>
      <c r="PSF20" s="89"/>
      <c r="PSH20" s="91"/>
      <c r="PSK20" s="89"/>
      <c r="PSM20" s="91"/>
      <c r="PSP20" s="89"/>
      <c r="PSR20" s="91"/>
      <c r="PSU20" s="89"/>
      <c r="PSW20" s="91"/>
      <c r="PSZ20" s="89"/>
      <c r="PTB20" s="91"/>
      <c r="PTE20" s="89"/>
      <c r="PTG20" s="91"/>
      <c r="PTJ20" s="89"/>
      <c r="PTL20" s="91"/>
      <c r="PTO20" s="89"/>
      <c r="PTQ20" s="91"/>
      <c r="PTT20" s="89"/>
      <c r="PTV20" s="91"/>
      <c r="PTY20" s="89"/>
      <c r="PUA20" s="91"/>
      <c r="PUD20" s="89"/>
      <c r="PUF20" s="91"/>
      <c r="PUI20" s="89"/>
      <c r="PUK20" s="91"/>
      <c r="PUN20" s="89"/>
      <c r="PUP20" s="91"/>
      <c r="PUS20" s="89"/>
      <c r="PUU20" s="91"/>
      <c r="PUX20" s="89"/>
      <c r="PUZ20" s="91"/>
      <c r="PVC20" s="89"/>
      <c r="PVE20" s="91"/>
      <c r="PVH20" s="89"/>
      <c r="PVJ20" s="91"/>
      <c r="PVM20" s="89"/>
      <c r="PVO20" s="91"/>
      <c r="PVR20" s="89"/>
      <c r="PVT20" s="91"/>
      <c r="PVW20" s="89"/>
      <c r="PVY20" s="91"/>
      <c r="PWB20" s="89"/>
      <c r="PWD20" s="91"/>
      <c r="PWG20" s="89"/>
      <c r="PWI20" s="91"/>
      <c r="PWL20" s="89"/>
      <c r="PWN20" s="91"/>
      <c r="PWQ20" s="89"/>
      <c r="PWS20" s="91"/>
      <c r="PWV20" s="89"/>
      <c r="PWX20" s="91"/>
      <c r="PXA20" s="89"/>
      <c r="PXC20" s="91"/>
      <c r="PXF20" s="89"/>
      <c r="PXH20" s="91"/>
      <c r="PXK20" s="89"/>
      <c r="PXM20" s="91"/>
      <c r="PXP20" s="89"/>
      <c r="PXR20" s="91"/>
      <c r="PXU20" s="89"/>
      <c r="PXW20" s="91"/>
      <c r="PXZ20" s="89"/>
      <c r="PYB20" s="91"/>
      <c r="PYE20" s="89"/>
      <c r="PYG20" s="91"/>
      <c r="PYJ20" s="89"/>
      <c r="PYL20" s="91"/>
      <c r="PYO20" s="89"/>
      <c r="PYQ20" s="91"/>
      <c r="PYT20" s="89"/>
      <c r="PYV20" s="91"/>
      <c r="PYY20" s="89"/>
      <c r="PZA20" s="91"/>
      <c r="PZD20" s="89"/>
      <c r="PZF20" s="91"/>
      <c r="PZI20" s="89"/>
      <c r="PZK20" s="91"/>
      <c r="PZN20" s="89"/>
      <c r="PZP20" s="91"/>
      <c r="PZS20" s="89"/>
      <c r="PZU20" s="91"/>
      <c r="PZX20" s="89"/>
      <c r="PZZ20" s="91"/>
      <c r="QAC20" s="89"/>
      <c r="QAE20" s="91"/>
      <c r="QAH20" s="89"/>
      <c r="QAJ20" s="91"/>
      <c r="QAM20" s="89"/>
      <c r="QAO20" s="91"/>
      <c r="QAR20" s="89"/>
      <c r="QAT20" s="91"/>
      <c r="QAW20" s="89"/>
      <c r="QAY20" s="91"/>
      <c r="QBB20" s="89"/>
      <c r="QBD20" s="91"/>
      <c r="QBG20" s="89"/>
      <c r="QBI20" s="91"/>
      <c r="QBL20" s="89"/>
      <c r="QBN20" s="91"/>
      <c r="QBQ20" s="89"/>
      <c r="QBS20" s="91"/>
      <c r="QBV20" s="89"/>
      <c r="QBX20" s="91"/>
      <c r="QCA20" s="89"/>
      <c r="QCC20" s="91"/>
      <c r="QCF20" s="89"/>
      <c r="QCH20" s="91"/>
      <c r="QCK20" s="89"/>
      <c r="QCM20" s="91"/>
      <c r="QCP20" s="89"/>
      <c r="QCR20" s="91"/>
      <c r="QCU20" s="89"/>
      <c r="QCW20" s="91"/>
      <c r="QCZ20" s="89"/>
      <c r="QDB20" s="91"/>
      <c r="QDE20" s="89"/>
      <c r="QDG20" s="91"/>
      <c r="QDJ20" s="89"/>
      <c r="QDL20" s="91"/>
      <c r="QDO20" s="89"/>
      <c r="QDQ20" s="91"/>
      <c r="QDT20" s="89"/>
      <c r="QDV20" s="91"/>
      <c r="QDY20" s="89"/>
      <c r="QEA20" s="91"/>
      <c r="QED20" s="89"/>
      <c r="QEF20" s="91"/>
      <c r="QEI20" s="89"/>
      <c r="QEK20" s="91"/>
      <c r="QEN20" s="89"/>
      <c r="QEP20" s="91"/>
      <c r="QES20" s="89"/>
      <c r="QEU20" s="91"/>
      <c r="QEX20" s="89"/>
      <c r="QEZ20" s="91"/>
      <c r="QFC20" s="89"/>
      <c r="QFE20" s="91"/>
      <c r="QFH20" s="89"/>
      <c r="QFJ20" s="91"/>
      <c r="QFM20" s="89"/>
      <c r="QFO20" s="91"/>
      <c r="QFR20" s="89"/>
      <c r="QFT20" s="91"/>
      <c r="QFW20" s="89"/>
      <c r="QFY20" s="91"/>
      <c r="QGB20" s="89"/>
      <c r="QGD20" s="91"/>
      <c r="QGG20" s="89"/>
      <c r="QGI20" s="91"/>
      <c r="QGL20" s="89"/>
      <c r="QGN20" s="91"/>
      <c r="QGQ20" s="89"/>
      <c r="QGS20" s="91"/>
      <c r="QGV20" s="89"/>
      <c r="QGX20" s="91"/>
      <c r="QHA20" s="89"/>
      <c r="QHC20" s="91"/>
      <c r="QHF20" s="89"/>
      <c r="QHH20" s="91"/>
      <c r="QHK20" s="89"/>
      <c r="QHM20" s="91"/>
      <c r="QHP20" s="89"/>
      <c r="QHR20" s="91"/>
      <c r="QHU20" s="89"/>
      <c r="QHW20" s="91"/>
      <c r="QHZ20" s="89"/>
      <c r="QIB20" s="91"/>
      <c r="QIE20" s="89"/>
      <c r="QIG20" s="91"/>
      <c r="QIJ20" s="89"/>
      <c r="QIL20" s="91"/>
      <c r="QIO20" s="89"/>
      <c r="QIQ20" s="91"/>
      <c r="QIT20" s="89"/>
      <c r="QIV20" s="91"/>
      <c r="QIY20" s="89"/>
      <c r="QJA20" s="91"/>
      <c r="QJD20" s="89"/>
      <c r="QJF20" s="91"/>
      <c r="QJI20" s="89"/>
      <c r="QJK20" s="91"/>
      <c r="QJN20" s="89"/>
      <c r="QJP20" s="91"/>
      <c r="QJS20" s="89"/>
      <c r="QJU20" s="91"/>
      <c r="QJX20" s="89"/>
      <c r="QJZ20" s="91"/>
      <c r="QKC20" s="89"/>
      <c r="QKE20" s="91"/>
      <c r="QKH20" s="89"/>
      <c r="QKJ20" s="91"/>
      <c r="QKM20" s="89"/>
      <c r="QKO20" s="91"/>
      <c r="QKR20" s="89"/>
      <c r="QKT20" s="91"/>
      <c r="QKW20" s="89"/>
      <c r="QKY20" s="91"/>
      <c r="QLB20" s="89"/>
      <c r="QLD20" s="91"/>
      <c r="QLG20" s="89"/>
      <c r="QLI20" s="91"/>
      <c r="QLL20" s="89"/>
      <c r="QLN20" s="91"/>
      <c r="QLQ20" s="89"/>
      <c r="QLS20" s="91"/>
      <c r="QLV20" s="89"/>
      <c r="QLX20" s="91"/>
      <c r="QMA20" s="89"/>
      <c r="QMC20" s="91"/>
      <c r="QMF20" s="89"/>
      <c r="QMH20" s="91"/>
      <c r="QMK20" s="89"/>
      <c r="QMM20" s="91"/>
      <c r="QMP20" s="89"/>
      <c r="QMR20" s="91"/>
      <c r="QMU20" s="89"/>
      <c r="QMW20" s="91"/>
      <c r="QMZ20" s="89"/>
      <c r="QNB20" s="91"/>
      <c r="QNE20" s="89"/>
      <c r="QNG20" s="91"/>
      <c r="QNJ20" s="89"/>
      <c r="QNL20" s="91"/>
      <c r="QNO20" s="89"/>
      <c r="QNQ20" s="91"/>
      <c r="QNT20" s="89"/>
      <c r="QNV20" s="91"/>
      <c r="QNY20" s="89"/>
      <c r="QOA20" s="91"/>
      <c r="QOD20" s="89"/>
      <c r="QOF20" s="91"/>
      <c r="QOI20" s="89"/>
      <c r="QOK20" s="91"/>
      <c r="QON20" s="89"/>
      <c r="QOP20" s="91"/>
      <c r="QOS20" s="89"/>
      <c r="QOU20" s="91"/>
      <c r="QOX20" s="89"/>
      <c r="QOZ20" s="91"/>
      <c r="QPC20" s="89"/>
      <c r="QPE20" s="91"/>
      <c r="QPH20" s="89"/>
      <c r="QPJ20" s="91"/>
      <c r="QPM20" s="89"/>
      <c r="QPO20" s="91"/>
      <c r="QPR20" s="89"/>
      <c r="QPT20" s="91"/>
      <c r="QPW20" s="89"/>
      <c r="QPY20" s="91"/>
      <c r="QQB20" s="89"/>
      <c r="QQD20" s="91"/>
      <c r="QQG20" s="89"/>
      <c r="QQI20" s="91"/>
      <c r="QQL20" s="89"/>
      <c r="QQN20" s="91"/>
      <c r="QQQ20" s="89"/>
      <c r="QQS20" s="91"/>
      <c r="QQV20" s="89"/>
      <c r="QQX20" s="91"/>
      <c r="QRA20" s="89"/>
      <c r="QRC20" s="91"/>
      <c r="QRF20" s="89"/>
      <c r="QRH20" s="91"/>
      <c r="QRK20" s="89"/>
      <c r="QRM20" s="91"/>
      <c r="QRP20" s="89"/>
      <c r="QRR20" s="91"/>
      <c r="QRU20" s="89"/>
      <c r="QRW20" s="91"/>
      <c r="QRZ20" s="89"/>
      <c r="QSB20" s="91"/>
      <c r="QSE20" s="89"/>
      <c r="QSG20" s="91"/>
      <c r="QSJ20" s="89"/>
      <c r="QSL20" s="91"/>
      <c r="QSO20" s="89"/>
      <c r="QSQ20" s="91"/>
      <c r="QST20" s="89"/>
      <c r="QSV20" s="91"/>
      <c r="QSY20" s="89"/>
      <c r="QTA20" s="91"/>
      <c r="QTD20" s="89"/>
      <c r="QTF20" s="91"/>
      <c r="QTI20" s="89"/>
      <c r="QTK20" s="91"/>
      <c r="QTN20" s="89"/>
      <c r="QTP20" s="91"/>
      <c r="QTS20" s="89"/>
      <c r="QTU20" s="91"/>
      <c r="QTX20" s="89"/>
      <c r="QTZ20" s="91"/>
      <c r="QUC20" s="89"/>
      <c r="QUE20" s="91"/>
      <c r="QUH20" s="89"/>
      <c r="QUJ20" s="91"/>
      <c r="QUM20" s="89"/>
      <c r="QUO20" s="91"/>
      <c r="QUR20" s="89"/>
      <c r="QUT20" s="91"/>
      <c r="QUW20" s="89"/>
      <c r="QUY20" s="91"/>
      <c r="QVB20" s="89"/>
      <c r="QVD20" s="91"/>
      <c r="QVG20" s="89"/>
      <c r="QVI20" s="91"/>
      <c r="QVL20" s="89"/>
      <c r="QVN20" s="91"/>
      <c r="QVQ20" s="89"/>
      <c r="QVS20" s="91"/>
      <c r="QVV20" s="89"/>
      <c r="QVX20" s="91"/>
      <c r="QWA20" s="89"/>
      <c r="QWC20" s="91"/>
      <c r="QWF20" s="89"/>
      <c r="QWH20" s="91"/>
      <c r="QWK20" s="89"/>
      <c r="QWM20" s="91"/>
      <c r="QWP20" s="89"/>
      <c r="QWR20" s="91"/>
      <c r="QWU20" s="89"/>
      <c r="QWW20" s="91"/>
      <c r="QWZ20" s="89"/>
      <c r="QXB20" s="91"/>
      <c r="QXE20" s="89"/>
      <c r="QXG20" s="91"/>
      <c r="QXJ20" s="89"/>
      <c r="QXL20" s="91"/>
      <c r="QXO20" s="89"/>
      <c r="QXQ20" s="91"/>
      <c r="QXT20" s="89"/>
      <c r="QXV20" s="91"/>
      <c r="QXY20" s="89"/>
      <c r="QYA20" s="91"/>
      <c r="QYD20" s="89"/>
      <c r="QYF20" s="91"/>
      <c r="QYI20" s="89"/>
      <c r="QYK20" s="91"/>
      <c r="QYN20" s="89"/>
      <c r="QYP20" s="91"/>
      <c r="QYS20" s="89"/>
      <c r="QYU20" s="91"/>
      <c r="QYX20" s="89"/>
      <c r="QYZ20" s="91"/>
      <c r="QZC20" s="89"/>
      <c r="QZE20" s="91"/>
      <c r="QZH20" s="89"/>
      <c r="QZJ20" s="91"/>
      <c r="QZM20" s="89"/>
      <c r="QZO20" s="91"/>
      <c r="QZR20" s="89"/>
      <c r="QZT20" s="91"/>
      <c r="QZW20" s="89"/>
      <c r="QZY20" s="91"/>
      <c r="RAB20" s="89"/>
      <c r="RAD20" s="91"/>
      <c r="RAG20" s="89"/>
      <c r="RAI20" s="91"/>
      <c r="RAL20" s="89"/>
      <c r="RAN20" s="91"/>
      <c r="RAQ20" s="89"/>
      <c r="RAS20" s="91"/>
      <c r="RAV20" s="89"/>
      <c r="RAX20" s="91"/>
      <c r="RBA20" s="89"/>
      <c r="RBC20" s="91"/>
      <c r="RBF20" s="89"/>
      <c r="RBH20" s="91"/>
      <c r="RBK20" s="89"/>
      <c r="RBM20" s="91"/>
      <c r="RBP20" s="89"/>
      <c r="RBR20" s="91"/>
      <c r="RBU20" s="89"/>
      <c r="RBW20" s="91"/>
      <c r="RBZ20" s="89"/>
      <c r="RCB20" s="91"/>
      <c r="RCE20" s="89"/>
      <c r="RCG20" s="91"/>
      <c r="RCJ20" s="89"/>
      <c r="RCL20" s="91"/>
      <c r="RCO20" s="89"/>
      <c r="RCQ20" s="91"/>
      <c r="RCT20" s="89"/>
      <c r="RCV20" s="91"/>
      <c r="RCY20" s="89"/>
      <c r="RDA20" s="91"/>
      <c r="RDD20" s="89"/>
      <c r="RDF20" s="91"/>
      <c r="RDI20" s="89"/>
      <c r="RDK20" s="91"/>
      <c r="RDN20" s="89"/>
      <c r="RDP20" s="91"/>
      <c r="RDS20" s="89"/>
      <c r="RDU20" s="91"/>
      <c r="RDX20" s="89"/>
      <c r="RDZ20" s="91"/>
      <c r="REC20" s="89"/>
      <c r="REE20" s="91"/>
      <c r="REH20" s="89"/>
      <c r="REJ20" s="91"/>
      <c r="REM20" s="89"/>
      <c r="REO20" s="91"/>
      <c r="RER20" s="89"/>
      <c r="RET20" s="91"/>
      <c r="REW20" s="89"/>
      <c r="REY20" s="91"/>
      <c r="RFB20" s="89"/>
      <c r="RFD20" s="91"/>
      <c r="RFG20" s="89"/>
      <c r="RFI20" s="91"/>
      <c r="RFL20" s="89"/>
      <c r="RFN20" s="91"/>
      <c r="RFQ20" s="89"/>
      <c r="RFS20" s="91"/>
      <c r="RFV20" s="89"/>
      <c r="RFX20" s="91"/>
      <c r="RGA20" s="89"/>
      <c r="RGC20" s="91"/>
      <c r="RGF20" s="89"/>
      <c r="RGH20" s="91"/>
      <c r="RGK20" s="89"/>
      <c r="RGM20" s="91"/>
      <c r="RGP20" s="89"/>
      <c r="RGR20" s="91"/>
      <c r="RGU20" s="89"/>
      <c r="RGW20" s="91"/>
      <c r="RGZ20" s="89"/>
      <c r="RHB20" s="91"/>
      <c r="RHE20" s="89"/>
      <c r="RHG20" s="91"/>
      <c r="RHJ20" s="89"/>
      <c r="RHL20" s="91"/>
      <c r="RHO20" s="89"/>
      <c r="RHQ20" s="91"/>
      <c r="RHT20" s="89"/>
      <c r="RHV20" s="91"/>
      <c r="RHY20" s="89"/>
      <c r="RIA20" s="91"/>
      <c r="RID20" s="89"/>
      <c r="RIF20" s="91"/>
      <c r="RII20" s="89"/>
      <c r="RIK20" s="91"/>
      <c r="RIN20" s="89"/>
      <c r="RIP20" s="91"/>
      <c r="RIS20" s="89"/>
      <c r="RIU20" s="91"/>
      <c r="RIX20" s="89"/>
      <c r="RIZ20" s="91"/>
      <c r="RJC20" s="89"/>
      <c r="RJE20" s="91"/>
      <c r="RJH20" s="89"/>
      <c r="RJJ20" s="91"/>
      <c r="RJM20" s="89"/>
      <c r="RJO20" s="91"/>
      <c r="RJR20" s="89"/>
      <c r="RJT20" s="91"/>
      <c r="RJW20" s="89"/>
      <c r="RJY20" s="91"/>
      <c r="RKB20" s="89"/>
      <c r="RKD20" s="91"/>
      <c r="RKG20" s="89"/>
      <c r="RKI20" s="91"/>
      <c r="RKL20" s="89"/>
      <c r="RKN20" s="91"/>
      <c r="RKQ20" s="89"/>
      <c r="RKS20" s="91"/>
      <c r="RKV20" s="89"/>
      <c r="RKX20" s="91"/>
      <c r="RLA20" s="89"/>
      <c r="RLC20" s="91"/>
      <c r="RLF20" s="89"/>
      <c r="RLH20" s="91"/>
      <c r="RLK20" s="89"/>
      <c r="RLM20" s="91"/>
      <c r="RLP20" s="89"/>
      <c r="RLR20" s="91"/>
      <c r="RLU20" s="89"/>
      <c r="RLW20" s="91"/>
      <c r="RLZ20" s="89"/>
      <c r="RMB20" s="91"/>
      <c r="RME20" s="89"/>
      <c r="RMG20" s="91"/>
      <c r="RMJ20" s="89"/>
      <c r="RML20" s="91"/>
      <c r="RMO20" s="89"/>
      <c r="RMQ20" s="91"/>
      <c r="RMT20" s="89"/>
      <c r="RMV20" s="91"/>
      <c r="RMY20" s="89"/>
      <c r="RNA20" s="91"/>
      <c r="RND20" s="89"/>
      <c r="RNF20" s="91"/>
      <c r="RNI20" s="89"/>
      <c r="RNK20" s="91"/>
      <c r="RNN20" s="89"/>
      <c r="RNP20" s="91"/>
      <c r="RNS20" s="89"/>
      <c r="RNU20" s="91"/>
      <c r="RNX20" s="89"/>
      <c r="RNZ20" s="91"/>
      <c r="ROC20" s="89"/>
      <c r="ROE20" s="91"/>
      <c r="ROH20" s="89"/>
      <c r="ROJ20" s="91"/>
      <c r="ROM20" s="89"/>
      <c r="ROO20" s="91"/>
      <c r="ROR20" s="89"/>
      <c r="ROT20" s="91"/>
      <c r="ROW20" s="89"/>
      <c r="ROY20" s="91"/>
      <c r="RPB20" s="89"/>
      <c r="RPD20" s="91"/>
      <c r="RPG20" s="89"/>
      <c r="RPI20" s="91"/>
      <c r="RPL20" s="89"/>
      <c r="RPN20" s="91"/>
      <c r="RPQ20" s="89"/>
      <c r="RPS20" s="91"/>
      <c r="RPV20" s="89"/>
      <c r="RPX20" s="91"/>
      <c r="RQA20" s="89"/>
      <c r="RQC20" s="91"/>
      <c r="RQF20" s="89"/>
      <c r="RQH20" s="91"/>
      <c r="RQK20" s="89"/>
      <c r="RQM20" s="91"/>
      <c r="RQP20" s="89"/>
      <c r="RQR20" s="91"/>
      <c r="RQU20" s="89"/>
      <c r="RQW20" s="91"/>
      <c r="RQZ20" s="89"/>
      <c r="RRB20" s="91"/>
      <c r="RRE20" s="89"/>
      <c r="RRG20" s="91"/>
      <c r="RRJ20" s="89"/>
      <c r="RRL20" s="91"/>
      <c r="RRO20" s="89"/>
      <c r="RRQ20" s="91"/>
      <c r="RRT20" s="89"/>
      <c r="RRV20" s="91"/>
      <c r="RRY20" s="89"/>
      <c r="RSA20" s="91"/>
      <c r="RSD20" s="89"/>
      <c r="RSF20" s="91"/>
      <c r="RSI20" s="89"/>
      <c r="RSK20" s="91"/>
      <c r="RSN20" s="89"/>
      <c r="RSP20" s="91"/>
      <c r="RSS20" s="89"/>
      <c r="RSU20" s="91"/>
      <c r="RSX20" s="89"/>
      <c r="RSZ20" s="91"/>
      <c r="RTC20" s="89"/>
      <c r="RTE20" s="91"/>
      <c r="RTH20" s="89"/>
      <c r="RTJ20" s="91"/>
      <c r="RTM20" s="89"/>
      <c r="RTO20" s="91"/>
      <c r="RTR20" s="89"/>
      <c r="RTT20" s="91"/>
      <c r="RTW20" s="89"/>
      <c r="RTY20" s="91"/>
      <c r="RUB20" s="89"/>
      <c r="RUD20" s="91"/>
      <c r="RUG20" s="89"/>
      <c r="RUI20" s="91"/>
      <c r="RUL20" s="89"/>
      <c r="RUN20" s="91"/>
      <c r="RUQ20" s="89"/>
      <c r="RUS20" s="91"/>
      <c r="RUV20" s="89"/>
      <c r="RUX20" s="91"/>
      <c r="RVA20" s="89"/>
      <c r="RVC20" s="91"/>
      <c r="RVF20" s="89"/>
      <c r="RVH20" s="91"/>
      <c r="RVK20" s="89"/>
      <c r="RVM20" s="91"/>
      <c r="RVP20" s="89"/>
      <c r="RVR20" s="91"/>
      <c r="RVU20" s="89"/>
      <c r="RVW20" s="91"/>
      <c r="RVZ20" s="89"/>
      <c r="RWB20" s="91"/>
      <c r="RWE20" s="89"/>
      <c r="RWG20" s="91"/>
      <c r="RWJ20" s="89"/>
      <c r="RWL20" s="91"/>
      <c r="RWO20" s="89"/>
      <c r="RWQ20" s="91"/>
      <c r="RWT20" s="89"/>
      <c r="RWV20" s="91"/>
      <c r="RWY20" s="89"/>
      <c r="RXA20" s="91"/>
      <c r="RXD20" s="89"/>
      <c r="RXF20" s="91"/>
      <c r="RXI20" s="89"/>
      <c r="RXK20" s="91"/>
      <c r="RXN20" s="89"/>
      <c r="RXP20" s="91"/>
      <c r="RXS20" s="89"/>
      <c r="RXU20" s="91"/>
      <c r="RXX20" s="89"/>
      <c r="RXZ20" s="91"/>
      <c r="RYC20" s="89"/>
      <c r="RYE20" s="91"/>
      <c r="RYH20" s="89"/>
      <c r="RYJ20" s="91"/>
      <c r="RYM20" s="89"/>
      <c r="RYO20" s="91"/>
      <c r="RYR20" s="89"/>
      <c r="RYT20" s="91"/>
      <c r="RYW20" s="89"/>
      <c r="RYY20" s="91"/>
      <c r="RZB20" s="89"/>
      <c r="RZD20" s="91"/>
      <c r="RZG20" s="89"/>
      <c r="RZI20" s="91"/>
      <c r="RZL20" s="89"/>
      <c r="RZN20" s="91"/>
      <c r="RZQ20" s="89"/>
      <c r="RZS20" s="91"/>
      <c r="RZV20" s="89"/>
      <c r="RZX20" s="91"/>
      <c r="SAA20" s="89"/>
      <c r="SAC20" s="91"/>
      <c r="SAF20" s="89"/>
      <c r="SAH20" s="91"/>
      <c r="SAK20" s="89"/>
      <c r="SAM20" s="91"/>
      <c r="SAP20" s="89"/>
      <c r="SAR20" s="91"/>
      <c r="SAU20" s="89"/>
      <c r="SAW20" s="91"/>
      <c r="SAZ20" s="89"/>
      <c r="SBB20" s="91"/>
      <c r="SBE20" s="89"/>
      <c r="SBG20" s="91"/>
      <c r="SBJ20" s="89"/>
      <c r="SBL20" s="91"/>
      <c r="SBO20" s="89"/>
      <c r="SBQ20" s="91"/>
      <c r="SBT20" s="89"/>
      <c r="SBV20" s="91"/>
      <c r="SBY20" s="89"/>
      <c r="SCA20" s="91"/>
      <c r="SCD20" s="89"/>
      <c r="SCF20" s="91"/>
      <c r="SCI20" s="89"/>
      <c r="SCK20" s="91"/>
      <c r="SCN20" s="89"/>
      <c r="SCP20" s="91"/>
      <c r="SCS20" s="89"/>
      <c r="SCU20" s="91"/>
      <c r="SCX20" s="89"/>
      <c r="SCZ20" s="91"/>
      <c r="SDC20" s="89"/>
      <c r="SDE20" s="91"/>
      <c r="SDH20" s="89"/>
      <c r="SDJ20" s="91"/>
      <c r="SDM20" s="89"/>
      <c r="SDO20" s="91"/>
      <c r="SDR20" s="89"/>
      <c r="SDT20" s="91"/>
      <c r="SDW20" s="89"/>
      <c r="SDY20" s="91"/>
      <c r="SEB20" s="89"/>
      <c r="SED20" s="91"/>
      <c r="SEG20" s="89"/>
      <c r="SEI20" s="91"/>
      <c r="SEL20" s="89"/>
      <c r="SEN20" s="91"/>
      <c r="SEQ20" s="89"/>
      <c r="SES20" s="91"/>
      <c r="SEV20" s="89"/>
      <c r="SEX20" s="91"/>
      <c r="SFA20" s="89"/>
      <c r="SFC20" s="91"/>
      <c r="SFF20" s="89"/>
      <c r="SFH20" s="91"/>
      <c r="SFK20" s="89"/>
      <c r="SFM20" s="91"/>
      <c r="SFP20" s="89"/>
      <c r="SFR20" s="91"/>
      <c r="SFU20" s="89"/>
      <c r="SFW20" s="91"/>
      <c r="SFZ20" s="89"/>
      <c r="SGB20" s="91"/>
      <c r="SGE20" s="89"/>
      <c r="SGG20" s="91"/>
      <c r="SGJ20" s="89"/>
      <c r="SGL20" s="91"/>
      <c r="SGO20" s="89"/>
      <c r="SGQ20" s="91"/>
      <c r="SGT20" s="89"/>
      <c r="SGV20" s="91"/>
      <c r="SGY20" s="89"/>
      <c r="SHA20" s="91"/>
      <c r="SHD20" s="89"/>
      <c r="SHF20" s="91"/>
      <c r="SHI20" s="89"/>
      <c r="SHK20" s="91"/>
      <c r="SHN20" s="89"/>
      <c r="SHP20" s="91"/>
      <c r="SHS20" s="89"/>
      <c r="SHU20" s="91"/>
      <c r="SHX20" s="89"/>
      <c r="SHZ20" s="91"/>
      <c r="SIC20" s="89"/>
      <c r="SIE20" s="91"/>
      <c r="SIH20" s="89"/>
      <c r="SIJ20" s="91"/>
      <c r="SIM20" s="89"/>
      <c r="SIO20" s="91"/>
      <c r="SIR20" s="89"/>
      <c r="SIT20" s="91"/>
      <c r="SIW20" s="89"/>
      <c r="SIY20" s="91"/>
      <c r="SJB20" s="89"/>
      <c r="SJD20" s="91"/>
      <c r="SJG20" s="89"/>
      <c r="SJI20" s="91"/>
      <c r="SJL20" s="89"/>
      <c r="SJN20" s="91"/>
      <c r="SJQ20" s="89"/>
      <c r="SJS20" s="91"/>
      <c r="SJV20" s="89"/>
      <c r="SJX20" s="91"/>
      <c r="SKA20" s="89"/>
      <c r="SKC20" s="91"/>
      <c r="SKF20" s="89"/>
      <c r="SKH20" s="91"/>
      <c r="SKK20" s="89"/>
      <c r="SKM20" s="91"/>
      <c r="SKP20" s="89"/>
      <c r="SKR20" s="91"/>
      <c r="SKU20" s="89"/>
      <c r="SKW20" s="91"/>
      <c r="SKZ20" s="89"/>
      <c r="SLB20" s="91"/>
      <c r="SLE20" s="89"/>
      <c r="SLG20" s="91"/>
      <c r="SLJ20" s="89"/>
      <c r="SLL20" s="91"/>
      <c r="SLO20" s="89"/>
      <c r="SLQ20" s="91"/>
      <c r="SLT20" s="89"/>
      <c r="SLV20" s="91"/>
      <c r="SLY20" s="89"/>
      <c r="SMA20" s="91"/>
      <c r="SMD20" s="89"/>
      <c r="SMF20" s="91"/>
      <c r="SMI20" s="89"/>
      <c r="SMK20" s="91"/>
      <c r="SMN20" s="89"/>
      <c r="SMP20" s="91"/>
      <c r="SMS20" s="89"/>
      <c r="SMU20" s="91"/>
      <c r="SMX20" s="89"/>
      <c r="SMZ20" s="91"/>
      <c r="SNC20" s="89"/>
      <c r="SNE20" s="91"/>
      <c r="SNH20" s="89"/>
      <c r="SNJ20" s="91"/>
      <c r="SNM20" s="89"/>
      <c r="SNO20" s="91"/>
      <c r="SNR20" s="89"/>
      <c r="SNT20" s="91"/>
      <c r="SNW20" s="89"/>
      <c r="SNY20" s="91"/>
      <c r="SOB20" s="89"/>
      <c r="SOD20" s="91"/>
      <c r="SOG20" s="89"/>
      <c r="SOI20" s="91"/>
      <c r="SOL20" s="89"/>
      <c r="SON20" s="91"/>
      <c r="SOQ20" s="89"/>
      <c r="SOS20" s="91"/>
      <c r="SOV20" s="89"/>
      <c r="SOX20" s="91"/>
      <c r="SPA20" s="89"/>
      <c r="SPC20" s="91"/>
      <c r="SPF20" s="89"/>
      <c r="SPH20" s="91"/>
      <c r="SPK20" s="89"/>
      <c r="SPM20" s="91"/>
      <c r="SPP20" s="89"/>
      <c r="SPR20" s="91"/>
      <c r="SPU20" s="89"/>
      <c r="SPW20" s="91"/>
      <c r="SPZ20" s="89"/>
      <c r="SQB20" s="91"/>
      <c r="SQE20" s="89"/>
      <c r="SQG20" s="91"/>
      <c r="SQJ20" s="89"/>
      <c r="SQL20" s="91"/>
      <c r="SQO20" s="89"/>
      <c r="SQQ20" s="91"/>
      <c r="SQT20" s="89"/>
      <c r="SQV20" s="91"/>
      <c r="SQY20" s="89"/>
      <c r="SRA20" s="91"/>
      <c r="SRD20" s="89"/>
      <c r="SRF20" s="91"/>
      <c r="SRI20" s="89"/>
      <c r="SRK20" s="91"/>
      <c r="SRN20" s="89"/>
      <c r="SRP20" s="91"/>
      <c r="SRS20" s="89"/>
      <c r="SRU20" s="91"/>
      <c r="SRX20" s="89"/>
      <c r="SRZ20" s="91"/>
      <c r="SSC20" s="89"/>
      <c r="SSE20" s="91"/>
      <c r="SSH20" s="89"/>
      <c r="SSJ20" s="91"/>
      <c r="SSM20" s="89"/>
      <c r="SSO20" s="91"/>
      <c r="SSR20" s="89"/>
      <c r="SST20" s="91"/>
      <c r="SSW20" s="89"/>
      <c r="SSY20" s="91"/>
      <c r="STB20" s="89"/>
      <c r="STD20" s="91"/>
      <c r="STG20" s="89"/>
      <c r="STI20" s="91"/>
      <c r="STL20" s="89"/>
      <c r="STN20" s="91"/>
      <c r="STQ20" s="89"/>
      <c r="STS20" s="91"/>
      <c r="STV20" s="89"/>
      <c r="STX20" s="91"/>
      <c r="SUA20" s="89"/>
      <c r="SUC20" s="91"/>
      <c r="SUF20" s="89"/>
      <c r="SUH20" s="91"/>
      <c r="SUK20" s="89"/>
      <c r="SUM20" s="91"/>
      <c r="SUP20" s="89"/>
      <c r="SUR20" s="91"/>
      <c r="SUU20" s="89"/>
      <c r="SUW20" s="91"/>
      <c r="SUZ20" s="89"/>
      <c r="SVB20" s="91"/>
      <c r="SVE20" s="89"/>
      <c r="SVG20" s="91"/>
      <c r="SVJ20" s="89"/>
      <c r="SVL20" s="91"/>
      <c r="SVO20" s="89"/>
      <c r="SVQ20" s="91"/>
      <c r="SVT20" s="89"/>
      <c r="SVV20" s="91"/>
      <c r="SVY20" s="89"/>
      <c r="SWA20" s="91"/>
      <c r="SWD20" s="89"/>
      <c r="SWF20" s="91"/>
      <c r="SWI20" s="89"/>
      <c r="SWK20" s="91"/>
      <c r="SWN20" s="89"/>
      <c r="SWP20" s="91"/>
      <c r="SWS20" s="89"/>
      <c r="SWU20" s="91"/>
      <c r="SWX20" s="89"/>
      <c r="SWZ20" s="91"/>
      <c r="SXC20" s="89"/>
      <c r="SXE20" s="91"/>
      <c r="SXH20" s="89"/>
      <c r="SXJ20" s="91"/>
      <c r="SXM20" s="89"/>
      <c r="SXO20" s="91"/>
      <c r="SXR20" s="89"/>
      <c r="SXT20" s="91"/>
      <c r="SXW20" s="89"/>
      <c r="SXY20" s="91"/>
      <c r="SYB20" s="89"/>
      <c r="SYD20" s="91"/>
      <c r="SYG20" s="89"/>
      <c r="SYI20" s="91"/>
      <c r="SYL20" s="89"/>
      <c r="SYN20" s="91"/>
      <c r="SYQ20" s="89"/>
      <c r="SYS20" s="91"/>
      <c r="SYV20" s="89"/>
      <c r="SYX20" s="91"/>
      <c r="SZA20" s="89"/>
      <c r="SZC20" s="91"/>
      <c r="SZF20" s="89"/>
      <c r="SZH20" s="91"/>
      <c r="SZK20" s="89"/>
      <c r="SZM20" s="91"/>
      <c r="SZP20" s="89"/>
      <c r="SZR20" s="91"/>
      <c r="SZU20" s="89"/>
      <c r="SZW20" s="91"/>
      <c r="SZZ20" s="89"/>
      <c r="TAB20" s="91"/>
      <c r="TAE20" s="89"/>
      <c r="TAG20" s="91"/>
      <c r="TAJ20" s="89"/>
      <c r="TAL20" s="91"/>
      <c r="TAO20" s="89"/>
      <c r="TAQ20" s="91"/>
      <c r="TAT20" s="89"/>
      <c r="TAV20" s="91"/>
      <c r="TAY20" s="89"/>
      <c r="TBA20" s="91"/>
      <c r="TBD20" s="89"/>
      <c r="TBF20" s="91"/>
      <c r="TBI20" s="89"/>
      <c r="TBK20" s="91"/>
      <c r="TBN20" s="89"/>
      <c r="TBP20" s="91"/>
      <c r="TBS20" s="89"/>
      <c r="TBU20" s="91"/>
      <c r="TBX20" s="89"/>
      <c r="TBZ20" s="91"/>
      <c r="TCC20" s="89"/>
      <c r="TCE20" s="91"/>
      <c r="TCH20" s="89"/>
      <c r="TCJ20" s="91"/>
      <c r="TCM20" s="89"/>
      <c r="TCO20" s="91"/>
      <c r="TCR20" s="89"/>
      <c r="TCT20" s="91"/>
      <c r="TCW20" s="89"/>
      <c r="TCY20" s="91"/>
      <c r="TDB20" s="89"/>
      <c r="TDD20" s="91"/>
      <c r="TDG20" s="89"/>
      <c r="TDI20" s="91"/>
      <c r="TDL20" s="89"/>
      <c r="TDN20" s="91"/>
      <c r="TDQ20" s="89"/>
      <c r="TDS20" s="91"/>
      <c r="TDV20" s="89"/>
      <c r="TDX20" s="91"/>
      <c r="TEA20" s="89"/>
      <c r="TEC20" s="91"/>
      <c r="TEF20" s="89"/>
      <c r="TEH20" s="91"/>
      <c r="TEK20" s="89"/>
      <c r="TEM20" s="91"/>
      <c r="TEP20" s="89"/>
      <c r="TER20" s="91"/>
      <c r="TEU20" s="89"/>
      <c r="TEW20" s="91"/>
      <c r="TEZ20" s="89"/>
      <c r="TFB20" s="91"/>
      <c r="TFE20" s="89"/>
      <c r="TFG20" s="91"/>
      <c r="TFJ20" s="89"/>
      <c r="TFL20" s="91"/>
      <c r="TFO20" s="89"/>
      <c r="TFQ20" s="91"/>
      <c r="TFT20" s="89"/>
      <c r="TFV20" s="91"/>
      <c r="TFY20" s="89"/>
      <c r="TGA20" s="91"/>
      <c r="TGD20" s="89"/>
      <c r="TGF20" s="91"/>
      <c r="TGI20" s="89"/>
      <c r="TGK20" s="91"/>
      <c r="TGN20" s="89"/>
      <c r="TGP20" s="91"/>
      <c r="TGS20" s="89"/>
      <c r="TGU20" s="91"/>
      <c r="TGX20" s="89"/>
      <c r="TGZ20" s="91"/>
      <c r="THC20" s="89"/>
      <c r="THE20" s="91"/>
      <c r="THH20" s="89"/>
      <c r="THJ20" s="91"/>
      <c r="THM20" s="89"/>
      <c r="THO20" s="91"/>
      <c r="THR20" s="89"/>
      <c r="THT20" s="91"/>
      <c r="THW20" s="89"/>
      <c r="THY20" s="91"/>
      <c r="TIB20" s="89"/>
      <c r="TID20" s="91"/>
      <c r="TIG20" s="89"/>
      <c r="TII20" s="91"/>
      <c r="TIL20" s="89"/>
      <c r="TIN20" s="91"/>
      <c r="TIQ20" s="89"/>
      <c r="TIS20" s="91"/>
      <c r="TIV20" s="89"/>
      <c r="TIX20" s="91"/>
      <c r="TJA20" s="89"/>
      <c r="TJC20" s="91"/>
      <c r="TJF20" s="89"/>
      <c r="TJH20" s="91"/>
      <c r="TJK20" s="89"/>
      <c r="TJM20" s="91"/>
      <c r="TJP20" s="89"/>
      <c r="TJR20" s="91"/>
      <c r="TJU20" s="89"/>
      <c r="TJW20" s="91"/>
      <c r="TJZ20" s="89"/>
      <c r="TKB20" s="91"/>
      <c r="TKE20" s="89"/>
      <c r="TKG20" s="91"/>
      <c r="TKJ20" s="89"/>
      <c r="TKL20" s="91"/>
      <c r="TKO20" s="89"/>
      <c r="TKQ20" s="91"/>
      <c r="TKT20" s="89"/>
      <c r="TKV20" s="91"/>
      <c r="TKY20" s="89"/>
      <c r="TLA20" s="91"/>
      <c r="TLD20" s="89"/>
      <c r="TLF20" s="91"/>
      <c r="TLI20" s="89"/>
      <c r="TLK20" s="91"/>
      <c r="TLN20" s="89"/>
      <c r="TLP20" s="91"/>
      <c r="TLS20" s="89"/>
      <c r="TLU20" s="91"/>
      <c r="TLX20" s="89"/>
      <c r="TLZ20" s="91"/>
      <c r="TMC20" s="89"/>
      <c r="TME20" s="91"/>
      <c r="TMH20" s="89"/>
      <c r="TMJ20" s="91"/>
      <c r="TMM20" s="89"/>
      <c r="TMO20" s="91"/>
      <c r="TMR20" s="89"/>
      <c r="TMT20" s="91"/>
      <c r="TMW20" s="89"/>
      <c r="TMY20" s="91"/>
      <c r="TNB20" s="89"/>
      <c r="TND20" s="91"/>
      <c r="TNG20" s="89"/>
      <c r="TNI20" s="91"/>
      <c r="TNL20" s="89"/>
      <c r="TNN20" s="91"/>
      <c r="TNQ20" s="89"/>
      <c r="TNS20" s="91"/>
      <c r="TNV20" s="89"/>
      <c r="TNX20" s="91"/>
      <c r="TOA20" s="89"/>
      <c r="TOC20" s="91"/>
      <c r="TOF20" s="89"/>
      <c r="TOH20" s="91"/>
      <c r="TOK20" s="89"/>
      <c r="TOM20" s="91"/>
      <c r="TOP20" s="89"/>
      <c r="TOR20" s="91"/>
      <c r="TOU20" s="89"/>
      <c r="TOW20" s="91"/>
      <c r="TOZ20" s="89"/>
      <c r="TPB20" s="91"/>
      <c r="TPE20" s="89"/>
      <c r="TPG20" s="91"/>
      <c r="TPJ20" s="89"/>
      <c r="TPL20" s="91"/>
      <c r="TPO20" s="89"/>
      <c r="TPQ20" s="91"/>
      <c r="TPT20" s="89"/>
      <c r="TPV20" s="91"/>
      <c r="TPY20" s="89"/>
      <c r="TQA20" s="91"/>
      <c r="TQD20" s="89"/>
      <c r="TQF20" s="91"/>
      <c r="TQI20" s="89"/>
      <c r="TQK20" s="91"/>
      <c r="TQN20" s="89"/>
      <c r="TQP20" s="91"/>
      <c r="TQS20" s="89"/>
      <c r="TQU20" s="91"/>
      <c r="TQX20" s="89"/>
      <c r="TQZ20" s="91"/>
      <c r="TRC20" s="89"/>
      <c r="TRE20" s="91"/>
      <c r="TRH20" s="89"/>
      <c r="TRJ20" s="91"/>
      <c r="TRM20" s="89"/>
      <c r="TRO20" s="91"/>
      <c r="TRR20" s="89"/>
      <c r="TRT20" s="91"/>
      <c r="TRW20" s="89"/>
      <c r="TRY20" s="91"/>
      <c r="TSB20" s="89"/>
      <c r="TSD20" s="91"/>
      <c r="TSG20" s="89"/>
      <c r="TSI20" s="91"/>
      <c r="TSL20" s="89"/>
      <c r="TSN20" s="91"/>
      <c r="TSQ20" s="89"/>
      <c r="TSS20" s="91"/>
      <c r="TSV20" s="89"/>
      <c r="TSX20" s="91"/>
      <c r="TTA20" s="89"/>
      <c r="TTC20" s="91"/>
      <c r="TTF20" s="89"/>
      <c r="TTH20" s="91"/>
      <c r="TTK20" s="89"/>
      <c r="TTM20" s="91"/>
      <c r="TTP20" s="89"/>
      <c r="TTR20" s="91"/>
      <c r="TTU20" s="89"/>
      <c r="TTW20" s="91"/>
      <c r="TTZ20" s="89"/>
      <c r="TUB20" s="91"/>
      <c r="TUE20" s="89"/>
      <c r="TUG20" s="91"/>
      <c r="TUJ20" s="89"/>
      <c r="TUL20" s="91"/>
      <c r="TUO20" s="89"/>
      <c r="TUQ20" s="91"/>
      <c r="TUT20" s="89"/>
      <c r="TUV20" s="91"/>
      <c r="TUY20" s="89"/>
      <c r="TVA20" s="91"/>
      <c r="TVD20" s="89"/>
      <c r="TVF20" s="91"/>
      <c r="TVI20" s="89"/>
      <c r="TVK20" s="91"/>
      <c r="TVN20" s="89"/>
      <c r="TVP20" s="91"/>
      <c r="TVS20" s="89"/>
      <c r="TVU20" s="91"/>
      <c r="TVX20" s="89"/>
      <c r="TVZ20" s="91"/>
      <c r="TWC20" s="89"/>
      <c r="TWE20" s="91"/>
      <c r="TWH20" s="89"/>
      <c r="TWJ20" s="91"/>
      <c r="TWM20" s="89"/>
      <c r="TWO20" s="91"/>
      <c r="TWR20" s="89"/>
      <c r="TWT20" s="91"/>
      <c r="TWW20" s="89"/>
      <c r="TWY20" s="91"/>
      <c r="TXB20" s="89"/>
      <c r="TXD20" s="91"/>
      <c r="TXG20" s="89"/>
      <c r="TXI20" s="91"/>
      <c r="TXL20" s="89"/>
      <c r="TXN20" s="91"/>
      <c r="TXQ20" s="89"/>
      <c r="TXS20" s="91"/>
      <c r="TXV20" s="89"/>
      <c r="TXX20" s="91"/>
      <c r="TYA20" s="89"/>
      <c r="TYC20" s="91"/>
      <c r="TYF20" s="89"/>
      <c r="TYH20" s="91"/>
      <c r="TYK20" s="89"/>
      <c r="TYM20" s="91"/>
      <c r="TYP20" s="89"/>
      <c r="TYR20" s="91"/>
      <c r="TYU20" s="89"/>
      <c r="TYW20" s="91"/>
      <c r="TYZ20" s="89"/>
      <c r="TZB20" s="91"/>
      <c r="TZE20" s="89"/>
      <c r="TZG20" s="91"/>
      <c r="TZJ20" s="89"/>
      <c r="TZL20" s="91"/>
      <c r="TZO20" s="89"/>
      <c r="TZQ20" s="91"/>
      <c r="TZT20" s="89"/>
      <c r="TZV20" s="91"/>
      <c r="TZY20" s="89"/>
      <c r="UAA20" s="91"/>
      <c r="UAD20" s="89"/>
      <c r="UAF20" s="91"/>
      <c r="UAI20" s="89"/>
      <c r="UAK20" s="91"/>
      <c r="UAN20" s="89"/>
      <c r="UAP20" s="91"/>
      <c r="UAS20" s="89"/>
      <c r="UAU20" s="91"/>
      <c r="UAX20" s="89"/>
      <c r="UAZ20" s="91"/>
      <c r="UBC20" s="89"/>
      <c r="UBE20" s="91"/>
      <c r="UBH20" s="89"/>
      <c r="UBJ20" s="91"/>
      <c r="UBM20" s="89"/>
      <c r="UBO20" s="91"/>
      <c r="UBR20" s="89"/>
      <c r="UBT20" s="91"/>
      <c r="UBW20" s="89"/>
      <c r="UBY20" s="91"/>
      <c r="UCB20" s="89"/>
      <c r="UCD20" s="91"/>
      <c r="UCG20" s="89"/>
      <c r="UCI20" s="91"/>
      <c r="UCL20" s="89"/>
      <c r="UCN20" s="91"/>
      <c r="UCQ20" s="89"/>
      <c r="UCS20" s="91"/>
      <c r="UCV20" s="89"/>
      <c r="UCX20" s="91"/>
      <c r="UDA20" s="89"/>
      <c r="UDC20" s="91"/>
      <c r="UDF20" s="89"/>
      <c r="UDH20" s="91"/>
      <c r="UDK20" s="89"/>
      <c r="UDM20" s="91"/>
      <c r="UDP20" s="89"/>
      <c r="UDR20" s="91"/>
      <c r="UDU20" s="89"/>
      <c r="UDW20" s="91"/>
      <c r="UDZ20" s="89"/>
      <c r="UEB20" s="91"/>
      <c r="UEE20" s="89"/>
      <c r="UEG20" s="91"/>
      <c r="UEJ20" s="89"/>
      <c r="UEL20" s="91"/>
      <c r="UEO20" s="89"/>
      <c r="UEQ20" s="91"/>
      <c r="UET20" s="89"/>
      <c r="UEV20" s="91"/>
      <c r="UEY20" s="89"/>
      <c r="UFA20" s="91"/>
      <c r="UFD20" s="89"/>
      <c r="UFF20" s="91"/>
      <c r="UFI20" s="89"/>
      <c r="UFK20" s="91"/>
      <c r="UFN20" s="89"/>
      <c r="UFP20" s="91"/>
      <c r="UFS20" s="89"/>
      <c r="UFU20" s="91"/>
      <c r="UFX20" s="89"/>
      <c r="UFZ20" s="91"/>
      <c r="UGC20" s="89"/>
      <c r="UGE20" s="91"/>
      <c r="UGH20" s="89"/>
      <c r="UGJ20" s="91"/>
      <c r="UGM20" s="89"/>
      <c r="UGO20" s="91"/>
      <c r="UGR20" s="89"/>
      <c r="UGT20" s="91"/>
      <c r="UGW20" s="89"/>
      <c r="UGY20" s="91"/>
      <c r="UHB20" s="89"/>
      <c r="UHD20" s="91"/>
      <c r="UHG20" s="89"/>
      <c r="UHI20" s="91"/>
      <c r="UHL20" s="89"/>
      <c r="UHN20" s="91"/>
      <c r="UHQ20" s="89"/>
      <c r="UHS20" s="91"/>
      <c r="UHV20" s="89"/>
      <c r="UHX20" s="91"/>
      <c r="UIA20" s="89"/>
      <c r="UIC20" s="91"/>
      <c r="UIF20" s="89"/>
      <c r="UIH20" s="91"/>
      <c r="UIK20" s="89"/>
      <c r="UIM20" s="91"/>
      <c r="UIP20" s="89"/>
      <c r="UIR20" s="91"/>
      <c r="UIU20" s="89"/>
      <c r="UIW20" s="91"/>
      <c r="UIZ20" s="89"/>
      <c r="UJB20" s="91"/>
      <c r="UJE20" s="89"/>
      <c r="UJG20" s="91"/>
      <c r="UJJ20" s="89"/>
      <c r="UJL20" s="91"/>
      <c r="UJO20" s="89"/>
      <c r="UJQ20" s="91"/>
      <c r="UJT20" s="89"/>
      <c r="UJV20" s="91"/>
      <c r="UJY20" s="89"/>
      <c r="UKA20" s="91"/>
      <c r="UKD20" s="89"/>
      <c r="UKF20" s="91"/>
      <c r="UKI20" s="89"/>
      <c r="UKK20" s="91"/>
      <c r="UKN20" s="89"/>
      <c r="UKP20" s="91"/>
      <c r="UKS20" s="89"/>
      <c r="UKU20" s="91"/>
      <c r="UKX20" s="89"/>
      <c r="UKZ20" s="91"/>
      <c r="ULC20" s="89"/>
      <c r="ULE20" s="91"/>
      <c r="ULH20" s="89"/>
      <c r="ULJ20" s="91"/>
      <c r="ULM20" s="89"/>
      <c r="ULO20" s="91"/>
      <c r="ULR20" s="89"/>
      <c r="ULT20" s="91"/>
      <c r="ULW20" s="89"/>
      <c r="ULY20" s="91"/>
      <c r="UMB20" s="89"/>
      <c r="UMD20" s="91"/>
      <c r="UMG20" s="89"/>
      <c r="UMI20" s="91"/>
      <c r="UML20" s="89"/>
      <c r="UMN20" s="91"/>
      <c r="UMQ20" s="89"/>
      <c r="UMS20" s="91"/>
      <c r="UMV20" s="89"/>
      <c r="UMX20" s="91"/>
      <c r="UNA20" s="89"/>
      <c r="UNC20" s="91"/>
      <c r="UNF20" s="89"/>
      <c r="UNH20" s="91"/>
      <c r="UNK20" s="89"/>
      <c r="UNM20" s="91"/>
      <c r="UNP20" s="89"/>
      <c r="UNR20" s="91"/>
      <c r="UNU20" s="89"/>
      <c r="UNW20" s="91"/>
      <c r="UNZ20" s="89"/>
      <c r="UOB20" s="91"/>
      <c r="UOE20" s="89"/>
      <c r="UOG20" s="91"/>
      <c r="UOJ20" s="89"/>
      <c r="UOL20" s="91"/>
      <c r="UOO20" s="89"/>
      <c r="UOQ20" s="91"/>
      <c r="UOT20" s="89"/>
      <c r="UOV20" s="91"/>
      <c r="UOY20" s="89"/>
      <c r="UPA20" s="91"/>
      <c r="UPD20" s="89"/>
      <c r="UPF20" s="91"/>
      <c r="UPI20" s="89"/>
      <c r="UPK20" s="91"/>
      <c r="UPN20" s="89"/>
      <c r="UPP20" s="91"/>
      <c r="UPS20" s="89"/>
      <c r="UPU20" s="91"/>
      <c r="UPX20" s="89"/>
      <c r="UPZ20" s="91"/>
      <c r="UQC20" s="89"/>
      <c r="UQE20" s="91"/>
      <c r="UQH20" s="89"/>
      <c r="UQJ20" s="91"/>
      <c r="UQM20" s="89"/>
      <c r="UQO20" s="91"/>
      <c r="UQR20" s="89"/>
      <c r="UQT20" s="91"/>
      <c r="UQW20" s="89"/>
      <c r="UQY20" s="91"/>
      <c r="URB20" s="89"/>
      <c r="URD20" s="91"/>
      <c r="URG20" s="89"/>
      <c r="URI20" s="91"/>
      <c r="URL20" s="89"/>
      <c r="URN20" s="91"/>
      <c r="URQ20" s="89"/>
      <c r="URS20" s="91"/>
      <c r="URV20" s="89"/>
      <c r="URX20" s="91"/>
      <c r="USA20" s="89"/>
      <c r="USC20" s="91"/>
      <c r="USF20" s="89"/>
      <c r="USH20" s="91"/>
      <c r="USK20" s="89"/>
      <c r="USM20" s="91"/>
      <c r="USP20" s="89"/>
      <c r="USR20" s="91"/>
      <c r="USU20" s="89"/>
      <c r="USW20" s="91"/>
      <c r="USZ20" s="89"/>
      <c r="UTB20" s="91"/>
      <c r="UTE20" s="89"/>
      <c r="UTG20" s="91"/>
      <c r="UTJ20" s="89"/>
      <c r="UTL20" s="91"/>
      <c r="UTO20" s="89"/>
      <c r="UTQ20" s="91"/>
      <c r="UTT20" s="89"/>
      <c r="UTV20" s="91"/>
      <c r="UTY20" s="89"/>
      <c r="UUA20" s="91"/>
      <c r="UUD20" s="89"/>
      <c r="UUF20" s="91"/>
      <c r="UUI20" s="89"/>
      <c r="UUK20" s="91"/>
      <c r="UUN20" s="89"/>
      <c r="UUP20" s="91"/>
      <c r="UUS20" s="89"/>
      <c r="UUU20" s="91"/>
      <c r="UUX20" s="89"/>
      <c r="UUZ20" s="91"/>
      <c r="UVC20" s="89"/>
      <c r="UVE20" s="91"/>
      <c r="UVH20" s="89"/>
      <c r="UVJ20" s="91"/>
      <c r="UVM20" s="89"/>
      <c r="UVO20" s="91"/>
      <c r="UVR20" s="89"/>
      <c r="UVT20" s="91"/>
      <c r="UVW20" s="89"/>
      <c r="UVY20" s="91"/>
      <c r="UWB20" s="89"/>
      <c r="UWD20" s="91"/>
      <c r="UWG20" s="89"/>
      <c r="UWI20" s="91"/>
      <c r="UWL20" s="89"/>
      <c r="UWN20" s="91"/>
      <c r="UWQ20" s="89"/>
      <c r="UWS20" s="91"/>
      <c r="UWV20" s="89"/>
      <c r="UWX20" s="91"/>
      <c r="UXA20" s="89"/>
      <c r="UXC20" s="91"/>
      <c r="UXF20" s="89"/>
      <c r="UXH20" s="91"/>
      <c r="UXK20" s="89"/>
      <c r="UXM20" s="91"/>
      <c r="UXP20" s="89"/>
      <c r="UXR20" s="91"/>
      <c r="UXU20" s="89"/>
      <c r="UXW20" s="91"/>
      <c r="UXZ20" s="89"/>
      <c r="UYB20" s="91"/>
      <c r="UYE20" s="89"/>
      <c r="UYG20" s="91"/>
      <c r="UYJ20" s="89"/>
      <c r="UYL20" s="91"/>
      <c r="UYO20" s="89"/>
      <c r="UYQ20" s="91"/>
      <c r="UYT20" s="89"/>
      <c r="UYV20" s="91"/>
      <c r="UYY20" s="89"/>
      <c r="UZA20" s="91"/>
      <c r="UZD20" s="89"/>
      <c r="UZF20" s="91"/>
      <c r="UZI20" s="89"/>
      <c r="UZK20" s="91"/>
      <c r="UZN20" s="89"/>
      <c r="UZP20" s="91"/>
      <c r="UZS20" s="89"/>
      <c r="UZU20" s="91"/>
      <c r="UZX20" s="89"/>
      <c r="UZZ20" s="91"/>
      <c r="VAC20" s="89"/>
      <c r="VAE20" s="91"/>
      <c r="VAH20" s="89"/>
      <c r="VAJ20" s="91"/>
      <c r="VAM20" s="89"/>
      <c r="VAO20" s="91"/>
      <c r="VAR20" s="89"/>
      <c r="VAT20" s="91"/>
      <c r="VAW20" s="89"/>
      <c r="VAY20" s="91"/>
      <c r="VBB20" s="89"/>
      <c r="VBD20" s="91"/>
      <c r="VBG20" s="89"/>
      <c r="VBI20" s="91"/>
      <c r="VBL20" s="89"/>
      <c r="VBN20" s="91"/>
      <c r="VBQ20" s="89"/>
      <c r="VBS20" s="91"/>
      <c r="VBV20" s="89"/>
      <c r="VBX20" s="91"/>
      <c r="VCA20" s="89"/>
      <c r="VCC20" s="91"/>
      <c r="VCF20" s="89"/>
      <c r="VCH20" s="91"/>
      <c r="VCK20" s="89"/>
      <c r="VCM20" s="91"/>
      <c r="VCP20" s="89"/>
      <c r="VCR20" s="91"/>
      <c r="VCU20" s="89"/>
      <c r="VCW20" s="91"/>
      <c r="VCZ20" s="89"/>
      <c r="VDB20" s="91"/>
      <c r="VDE20" s="89"/>
      <c r="VDG20" s="91"/>
      <c r="VDJ20" s="89"/>
      <c r="VDL20" s="91"/>
      <c r="VDO20" s="89"/>
      <c r="VDQ20" s="91"/>
      <c r="VDT20" s="89"/>
      <c r="VDV20" s="91"/>
      <c r="VDY20" s="89"/>
      <c r="VEA20" s="91"/>
      <c r="VED20" s="89"/>
      <c r="VEF20" s="91"/>
      <c r="VEI20" s="89"/>
      <c r="VEK20" s="91"/>
      <c r="VEN20" s="89"/>
      <c r="VEP20" s="91"/>
      <c r="VES20" s="89"/>
      <c r="VEU20" s="91"/>
      <c r="VEX20" s="89"/>
      <c r="VEZ20" s="91"/>
      <c r="VFC20" s="89"/>
      <c r="VFE20" s="91"/>
      <c r="VFH20" s="89"/>
      <c r="VFJ20" s="91"/>
      <c r="VFM20" s="89"/>
      <c r="VFO20" s="91"/>
      <c r="VFR20" s="89"/>
      <c r="VFT20" s="91"/>
      <c r="VFW20" s="89"/>
      <c r="VFY20" s="91"/>
      <c r="VGB20" s="89"/>
      <c r="VGD20" s="91"/>
      <c r="VGG20" s="89"/>
      <c r="VGI20" s="91"/>
      <c r="VGL20" s="89"/>
      <c r="VGN20" s="91"/>
      <c r="VGQ20" s="89"/>
      <c r="VGS20" s="91"/>
      <c r="VGV20" s="89"/>
      <c r="VGX20" s="91"/>
      <c r="VHA20" s="89"/>
      <c r="VHC20" s="91"/>
      <c r="VHF20" s="89"/>
      <c r="VHH20" s="91"/>
      <c r="VHK20" s="89"/>
      <c r="VHM20" s="91"/>
      <c r="VHP20" s="89"/>
      <c r="VHR20" s="91"/>
      <c r="VHU20" s="89"/>
      <c r="VHW20" s="91"/>
      <c r="VHZ20" s="89"/>
      <c r="VIB20" s="91"/>
      <c r="VIE20" s="89"/>
      <c r="VIG20" s="91"/>
      <c r="VIJ20" s="89"/>
      <c r="VIL20" s="91"/>
      <c r="VIO20" s="89"/>
      <c r="VIQ20" s="91"/>
      <c r="VIT20" s="89"/>
      <c r="VIV20" s="91"/>
      <c r="VIY20" s="89"/>
      <c r="VJA20" s="91"/>
      <c r="VJD20" s="89"/>
      <c r="VJF20" s="91"/>
      <c r="VJI20" s="89"/>
      <c r="VJK20" s="91"/>
      <c r="VJN20" s="89"/>
      <c r="VJP20" s="91"/>
      <c r="VJS20" s="89"/>
      <c r="VJU20" s="91"/>
      <c r="VJX20" s="89"/>
      <c r="VJZ20" s="91"/>
      <c r="VKC20" s="89"/>
      <c r="VKE20" s="91"/>
      <c r="VKH20" s="89"/>
      <c r="VKJ20" s="91"/>
      <c r="VKM20" s="89"/>
      <c r="VKO20" s="91"/>
      <c r="VKR20" s="89"/>
      <c r="VKT20" s="91"/>
      <c r="VKW20" s="89"/>
      <c r="VKY20" s="91"/>
      <c r="VLB20" s="89"/>
      <c r="VLD20" s="91"/>
      <c r="VLG20" s="89"/>
      <c r="VLI20" s="91"/>
      <c r="VLL20" s="89"/>
      <c r="VLN20" s="91"/>
      <c r="VLQ20" s="89"/>
      <c r="VLS20" s="91"/>
      <c r="VLV20" s="89"/>
      <c r="VLX20" s="91"/>
      <c r="VMA20" s="89"/>
      <c r="VMC20" s="91"/>
      <c r="VMF20" s="89"/>
      <c r="VMH20" s="91"/>
      <c r="VMK20" s="89"/>
      <c r="VMM20" s="91"/>
      <c r="VMP20" s="89"/>
      <c r="VMR20" s="91"/>
      <c r="VMU20" s="89"/>
      <c r="VMW20" s="91"/>
      <c r="VMZ20" s="89"/>
      <c r="VNB20" s="91"/>
      <c r="VNE20" s="89"/>
      <c r="VNG20" s="91"/>
      <c r="VNJ20" s="89"/>
      <c r="VNL20" s="91"/>
      <c r="VNO20" s="89"/>
      <c r="VNQ20" s="91"/>
      <c r="VNT20" s="89"/>
      <c r="VNV20" s="91"/>
      <c r="VNY20" s="89"/>
      <c r="VOA20" s="91"/>
      <c r="VOD20" s="89"/>
      <c r="VOF20" s="91"/>
      <c r="VOI20" s="89"/>
      <c r="VOK20" s="91"/>
      <c r="VON20" s="89"/>
      <c r="VOP20" s="91"/>
      <c r="VOS20" s="89"/>
      <c r="VOU20" s="91"/>
      <c r="VOX20" s="89"/>
      <c r="VOZ20" s="91"/>
      <c r="VPC20" s="89"/>
      <c r="VPE20" s="91"/>
      <c r="VPH20" s="89"/>
      <c r="VPJ20" s="91"/>
      <c r="VPM20" s="89"/>
      <c r="VPO20" s="91"/>
      <c r="VPR20" s="89"/>
      <c r="VPT20" s="91"/>
      <c r="VPW20" s="89"/>
      <c r="VPY20" s="91"/>
      <c r="VQB20" s="89"/>
      <c r="VQD20" s="91"/>
      <c r="VQG20" s="89"/>
      <c r="VQI20" s="91"/>
      <c r="VQL20" s="89"/>
      <c r="VQN20" s="91"/>
      <c r="VQQ20" s="89"/>
      <c r="VQS20" s="91"/>
      <c r="VQV20" s="89"/>
      <c r="VQX20" s="91"/>
      <c r="VRA20" s="89"/>
      <c r="VRC20" s="91"/>
      <c r="VRF20" s="89"/>
      <c r="VRH20" s="91"/>
      <c r="VRK20" s="89"/>
      <c r="VRM20" s="91"/>
      <c r="VRP20" s="89"/>
      <c r="VRR20" s="91"/>
      <c r="VRU20" s="89"/>
      <c r="VRW20" s="91"/>
      <c r="VRZ20" s="89"/>
      <c r="VSB20" s="91"/>
      <c r="VSE20" s="89"/>
      <c r="VSG20" s="91"/>
      <c r="VSJ20" s="89"/>
      <c r="VSL20" s="91"/>
      <c r="VSO20" s="89"/>
      <c r="VSQ20" s="91"/>
      <c r="VST20" s="89"/>
      <c r="VSV20" s="91"/>
      <c r="VSY20" s="89"/>
      <c r="VTA20" s="91"/>
      <c r="VTD20" s="89"/>
      <c r="VTF20" s="91"/>
      <c r="VTI20" s="89"/>
      <c r="VTK20" s="91"/>
      <c r="VTN20" s="89"/>
      <c r="VTP20" s="91"/>
      <c r="VTS20" s="89"/>
      <c r="VTU20" s="91"/>
      <c r="VTX20" s="89"/>
      <c r="VTZ20" s="91"/>
      <c r="VUC20" s="89"/>
      <c r="VUE20" s="91"/>
      <c r="VUH20" s="89"/>
      <c r="VUJ20" s="91"/>
      <c r="VUM20" s="89"/>
      <c r="VUO20" s="91"/>
      <c r="VUR20" s="89"/>
      <c r="VUT20" s="91"/>
      <c r="VUW20" s="89"/>
      <c r="VUY20" s="91"/>
      <c r="VVB20" s="89"/>
      <c r="VVD20" s="91"/>
      <c r="VVG20" s="89"/>
      <c r="VVI20" s="91"/>
      <c r="VVL20" s="89"/>
      <c r="VVN20" s="91"/>
      <c r="VVQ20" s="89"/>
      <c r="VVS20" s="91"/>
      <c r="VVV20" s="89"/>
      <c r="VVX20" s="91"/>
      <c r="VWA20" s="89"/>
      <c r="VWC20" s="91"/>
      <c r="VWF20" s="89"/>
      <c r="VWH20" s="91"/>
      <c r="VWK20" s="89"/>
      <c r="VWM20" s="91"/>
      <c r="VWP20" s="89"/>
      <c r="VWR20" s="91"/>
      <c r="VWU20" s="89"/>
      <c r="VWW20" s="91"/>
      <c r="VWZ20" s="89"/>
      <c r="VXB20" s="91"/>
      <c r="VXE20" s="89"/>
      <c r="VXG20" s="91"/>
      <c r="VXJ20" s="89"/>
      <c r="VXL20" s="91"/>
      <c r="VXO20" s="89"/>
      <c r="VXQ20" s="91"/>
      <c r="VXT20" s="89"/>
      <c r="VXV20" s="91"/>
      <c r="VXY20" s="89"/>
      <c r="VYA20" s="91"/>
      <c r="VYD20" s="89"/>
      <c r="VYF20" s="91"/>
      <c r="VYI20" s="89"/>
      <c r="VYK20" s="91"/>
      <c r="VYN20" s="89"/>
      <c r="VYP20" s="91"/>
      <c r="VYS20" s="89"/>
      <c r="VYU20" s="91"/>
      <c r="VYX20" s="89"/>
      <c r="VYZ20" s="91"/>
      <c r="VZC20" s="89"/>
      <c r="VZE20" s="91"/>
      <c r="VZH20" s="89"/>
      <c r="VZJ20" s="91"/>
      <c r="VZM20" s="89"/>
      <c r="VZO20" s="91"/>
      <c r="VZR20" s="89"/>
      <c r="VZT20" s="91"/>
      <c r="VZW20" s="89"/>
      <c r="VZY20" s="91"/>
      <c r="WAB20" s="89"/>
      <c r="WAD20" s="91"/>
      <c r="WAG20" s="89"/>
      <c r="WAI20" s="91"/>
      <c r="WAL20" s="89"/>
      <c r="WAN20" s="91"/>
      <c r="WAQ20" s="89"/>
      <c r="WAS20" s="91"/>
      <c r="WAV20" s="89"/>
      <c r="WAX20" s="91"/>
      <c r="WBA20" s="89"/>
      <c r="WBC20" s="91"/>
      <c r="WBF20" s="89"/>
      <c r="WBH20" s="91"/>
      <c r="WBK20" s="89"/>
      <c r="WBM20" s="91"/>
      <c r="WBP20" s="89"/>
      <c r="WBR20" s="91"/>
      <c r="WBU20" s="89"/>
      <c r="WBW20" s="91"/>
      <c r="WBZ20" s="89"/>
      <c r="WCB20" s="91"/>
      <c r="WCE20" s="89"/>
      <c r="WCG20" s="91"/>
      <c r="WCJ20" s="89"/>
      <c r="WCL20" s="91"/>
      <c r="WCO20" s="89"/>
      <c r="WCQ20" s="91"/>
      <c r="WCT20" s="89"/>
      <c r="WCV20" s="91"/>
      <c r="WCY20" s="89"/>
      <c r="WDA20" s="91"/>
      <c r="WDD20" s="89"/>
      <c r="WDF20" s="91"/>
      <c r="WDI20" s="89"/>
      <c r="WDK20" s="91"/>
      <c r="WDN20" s="89"/>
      <c r="WDP20" s="91"/>
      <c r="WDS20" s="89"/>
      <c r="WDU20" s="91"/>
      <c r="WDX20" s="89"/>
      <c r="WDZ20" s="91"/>
      <c r="WEC20" s="89"/>
      <c r="WEE20" s="91"/>
      <c r="WEH20" s="89"/>
      <c r="WEJ20" s="91"/>
      <c r="WEM20" s="89"/>
      <c r="WEO20" s="91"/>
      <c r="WER20" s="89"/>
      <c r="WET20" s="91"/>
      <c r="WEW20" s="89"/>
      <c r="WEY20" s="91"/>
      <c r="WFB20" s="89"/>
      <c r="WFD20" s="91"/>
      <c r="WFG20" s="89"/>
      <c r="WFI20" s="91"/>
      <c r="WFL20" s="89"/>
      <c r="WFN20" s="91"/>
      <c r="WFQ20" s="89"/>
      <c r="WFS20" s="91"/>
      <c r="WFV20" s="89"/>
      <c r="WFX20" s="91"/>
      <c r="WGA20" s="89"/>
      <c r="WGC20" s="91"/>
      <c r="WGF20" s="89"/>
      <c r="WGH20" s="91"/>
      <c r="WGK20" s="89"/>
      <c r="WGM20" s="91"/>
      <c r="WGP20" s="89"/>
      <c r="WGR20" s="91"/>
      <c r="WGU20" s="89"/>
      <c r="WGW20" s="91"/>
      <c r="WGZ20" s="89"/>
      <c r="WHB20" s="91"/>
      <c r="WHE20" s="89"/>
      <c r="WHG20" s="91"/>
      <c r="WHJ20" s="89"/>
      <c r="WHL20" s="91"/>
      <c r="WHO20" s="89"/>
      <c r="WHQ20" s="91"/>
      <c r="WHT20" s="89"/>
      <c r="WHV20" s="91"/>
      <c r="WHY20" s="89"/>
      <c r="WIA20" s="91"/>
      <c r="WID20" s="89"/>
      <c r="WIF20" s="91"/>
      <c r="WII20" s="89"/>
      <c r="WIK20" s="91"/>
      <c r="WIN20" s="89"/>
      <c r="WIP20" s="91"/>
      <c r="WIS20" s="89"/>
      <c r="WIU20" s="91"/>
      <c r="WIX20" s="89"/>
      <c r="WIZ20" s="91"/>
      <c r="WJC20" s="89"/>
      <c r="WJE20" s="91"/>
      <c r="WJH20" s="89"/>
      <c r="WJJ20" s="91"/>
      <c r="WJM20" s="89"/>
      <c r="WJO20" s="91"/>
      <c r="WJR20" s="89"/>
      <c r="WJT20" s="91"/>
      <c r="WJW20" s="89"/>
      <c r="WJY20" s="91"/>
      <c r="WKB20" s="89"/>
      <c r="WKD20" s="91"/>
      <c r="WKG20" s="89"/>
      <c r="WKI20" s="91"/>
      <c r="WKL20" s="89"/>
      <c r="WKN20" s="91"/>
      <c r="WKQ20" s="89"/>
      <c r="WKS20" s="91"/>
      <c r="WKV20" s="89"/>
      <c r="WKX20" s="91"/>
      <c r="WLA20" s="89"/>
      <c r="WLC20" s="91"/>
      <c r="WLF20" s="89"/>
      <c r="WLH20" s="91"/>
      <c r="WLK20" s="89"/>
      <c r="WLM20" s="91"/>
      <c r="WLP20" s="89"/>
      <c r="WLR20" s="91"/>
      <c r="WLU20" s="89"/>
      <c r="WLW20" s="91"/>
      <c r="WLZ20" s="89"/>
      <c r="WMB20" s="91"/>
      <c r="WME20" s="89"/>
      <c r="WMG20" s="91"/>
      <c r="WMJ20" s="89"/>
      <c r="WML20" s="91"/>
      <c r="WMO20" s="89"/>
      <c r="WMQ20" s="91"/>
      <c r="WMT20" s="89"/>
      <c r="WMV20" s="91"/>
      <c r="WMY20" s="89"/>
      <c r="WNA20" s="91"/>
      <c r="WND20" s="89"/>
      <c r="WNF20" s="91"/>
      <c r="WNI20" s="89"/>
      <c r="WNK20" s="91"/>
      <c r="WNN20" s="89"/>
      <c r="WNP20" s="91"/>
      <c r="WNS20" s="89"/>
      <c r="WNU20" s="91"/>
      <c r="WNX20" s="89"/>
      <c r="WNZ20" s="91"/>
      <c r="WOC20" s="89"/>
      <c r="WOE20" s="91"/>
      <c r="WOH20" s="89"/>
      <c r="WOJ20" s="91"/>
      <c r="WOM20" s="89"/>
      <c r="WOO20" s="91"/>
      <c r="WOR20" s="89"/>
      <c r="WOT20" s="91"/>
      <c r="WOW20" s="89"/>
      <c r="WOY20" s="91"/>
      <c r="WPB20" s="89"/>
      <c r="WPD20" s="91"/>
      <c r="WPG20" s="89"/>
      <c r="WPI20" s="91"/>
      <c r="WPL20" s="89"/>
      <c r="WPN20" s="91"/>
      <c r="WPQ20" s="89"/>
      <c r="WPS20" s="91"/>
      <c r="WPV20" s="89"/>
      <c r="WPX20" s="91"/>
      <c r="WQA20" s="89"/>
      <c r="WQC20" s="91"/>
      <c r="WQF20" s="89"/>
      <c r="WQH20" s="91"/>
      <c r="WQK20" s="89"/>
      <c r="WQM20" s="91"/>
      <c r="WQP20" s="89"/>
      <c r="WQR20" s="91"/>
      <c r="WQU20" s="89"/>
      <c r="WQW20" s="91"/>
      <c r="WQZ20" s="89"/>
      <c r="WRB20" s="91"/>
      <c r="WRE20" s="89"/>
      <c r="WRG20" s="91"/>
      <c r="WRJ20" s="89"/>
      <c r="WRL20" s="91"/>
      <c r="WRO20" s="89"/>
      <c r="WRQ20" s="91"/>
      <c r="WRT20" s="89"/>
      <c r="WRV20" s="91"/>
      <c r="WRY20" s="89"/>
      <c r="WSA20" s="91"/>
      <c r="WSD20" s="89"/>
      <c r="WSF20" s="91"/>
      <c r="WSI20" s="89"/>
      <c r="WSK20" s="91"/>
      <c r="WSN20" s="89"/>
      <c r="WSP20" s="91"/>
      <c r="WSS20" s="89"/>
      <c r="WSU20" s="91"/>
      <c r="WSX20" s="89"/>
      <c r="WSZ20" s="91"/>
      <c r="WTC20" s="89"/>
      <c r="WTE20" s="91"/>
      <c r="WTH20" s="89"/>
      <c r="WTJ20" s="91"/>
      <c r="WTM20" s="89"/>
      <c r="WTO20" s="91"/>
      <c r="WTR20" s="89"/>
      <c r="WTT20" s="91"/>
      <c r="WTW20" s="89"/>
      <c r="WTY20" s="91"/>
      <c r="WUB20" s="89"/>
      <c r="WUD20" s="91"/>
      <c r="WUG20" s="89"/>
      <c r="WUI20" s="91"/>
      <c r="WUL20" s="89"/>
      <c r="WUN20" s="91"/>
      <c r="WUQ20" s="89"/>
      <c r="WUS20" s="91"/>
      <c r="WUV20" s="89"/>
      <c r="WUX20" s="91"/>
      <c r="WVA20" s="89"/>
      <c r="WVC20" s="91"/>
      <c r="WVF20" s="89"/>
      <c r="WVH20" s="91"/>
      <c r="WVK20" s="89"/>
      <c r="WVM20" s="91"/>
      <c r="WVP20" s="89"/>
      <c r="WVR20" s="91"/>
      <c r="WVU20" s="89"/>
      <c r="WVW20" s="91"/>
      <c r="WVZ20" s="89"/>
      <c r="WWB20" s="91"/>
      <c r="WWE20" s="89"/>
      <c r="WWG20" s="91"/>
      <c r="WWJ20" s="89"/>
      <c r="WWL20" s="91"/>
      <c r="WWO20" s="89"/>
      <c r="WWQ20" s="91"/>
      <c r="WWT20" s="89"/>
      <c r="WWV20" s="91"/>
      <c r="WWY20" s="89"/>
      <c r="WXA20" s="91"/>
      <c r="WXD20" s="89"/>
      <c r="WXF20" s="91"/>
      <c r="WXI20" s="89"/>
      <c r="WXK20" s="91"/>
      <c r="WXN20" s="89"/>
      <c r="WXP20" s="91"/>
      <c r="WXS20" s="89"/>
      <c r="WXU20" s="91"/>
      <c r="WXX20" s="89"/>
      <c r="WXZ20" s="91"/>
      <c r="WYC20" s="89"/>
      <c r="WYE20" s="91"/>
      <c r="WYH20" s="89"/>
      <c r="WYJ20" s="91"/>
      <c r="WYM20" s="89"/>
      <c r="WYO20" s="91"/>
      <c r="WYR20" s="89"/>
      <c r="WYT20" s="91"/>
      <c r="WYW20" s="89"/>
      <c r="WYY20" s="91"/>
      <c r="WZB20" s="89"/>
      <c r="WZD20" s="91"/>
      <c r="WZG20" s="89"/>
      <c r="WZI20" s="91"/>
      <c r="WZL20" s="89"/>
      <c r="WZN20" s="91"/>
      <c r="WZQ20" s="89"/>
      <c r="WZS20" s="91"/>
      <c r="WZV20" s="89"/>
      <c r="WZX20" s="91"/>
      <c r="XAA20" s="89"/>
      <c r="XAC20" s="91"/>
      <c r="XAF20" s="89"/>
      <c r="XAH20" s="91"/>
      <c r="XAK20" s="89"/>
      <c r="XAM20" s="91"/>
      <c r="XAP20" s="89"/>
      <c r="XAR20" s="91"/>
      <c r="XAU20" s="89"/>
      <c r="XAW20" s="91"/>
      <c r="XAZ20" s="89"/>
      <c r="XBB20" s="91"/>
      <c r="XBE20" s="89"/>
      <c r="XBG20" s="91"/>
      <c r="XBJ20" s="89"/>
      <c r="XBL20" s="91"/>
      <c r="XBO20" s="89"/>
      <c r="XBQ20" s="91"/>
      <c r="XBT20" s="89"/>
      <c r="XBV20" s="91"/>
      <c r="XBY20" s="89"/>
      <c r="XCA20" s="91"/>
      <c r="XCD20" s="89"/>
      <c r="XCF20" s="91"/>
      <c r="XCI20" s="89"/>
      <c r="XCK20" s="91"/>
      <c r="XCN20" s="89"/>
      <c r="XCP20" s="91"/>
      <c r="XCS20" s="89"/>
      <c r="XCU20" s="91"/>
      <c r="XCX20" s="89"/>
      <c r="XCZ20" s="91"/>
      <c r="XDC20" s="89"/>
      <c r="XDE20" s="91"/>
      <c r="XDH20" s="89"/>
      <c r="XDJ20" s="91"/>
      <c r="XDM20" s="89"/>
      <c r="XDO20" s="91"/>
      <c r="XDR20" s="89"/>
      <c r="XDT20" s="91"/>
      <c r="XDW20" s="89"/>
      <c r="XDY20" s="91"/>
      <c r="XEB20" s="89"/>
      <c r="XED20" s="91"/>
      <c r="XEG20" s="89"/>
      <c r="XEI20" s="91"/>
      <c r="XEL20" s="89"/>
      <c r="XEN20" s="91"/>
      <c r="XEQ20" s="89"/>
      <c r="XES20" s="91"/>
      <c r="XEV20" s="89"/>
      <c r="XEX20" s="91"/>
      <c r="XFA20" s="89"/>
      <c r="XFC20" s="91"/>
    </row>
    <row r="21" spans="1:1023 1026:2048 2051:3071 3073:4096 4098:5118 5121:6143 6146:7168 7171:8191 8193:9216 9218:10238 10241:11263 11266:12288 12291:13311 13313:14336 14338:15358 15361:16383" x14ac:dyDescent="0.2">
      <c r="A21" s="45">
        <v>45692</v>
      </c>
      <c r="B21" s="37" t="s">
        <v>205</v>
      </c>
      <c r="C21" s="46">
        <v>170000</v>
      </c>
      <c r="D21" s="37" t="s">
        <v>206</v>
      </c>
      <c r="E21" s="37" t="s">
        <v>206</v>
      </c>
    </row>
    <row r="22" spans="1:1023 1026:2048 2051:3071 3073:4096 4098:5118 5121:6143 6146:7168 7171:8191 8193:9216 9218:10238 10241:11263 11266:12288 12291:13311 13313:14336 14338:15358 15361:16383" s="90" customFormat="1" x14ac:dyDescent="0.2">
      <c r="A22" s="89"/>
      <c r="B22" s="90" t="str">
        <f>+D21</f>
        <v>Flete</v>
      </c>
      <c r="C22" s="91">
        <f>SUM(C21)</f>
        <v>170000</v>
      </c>
      <c r="F22" s="89"/>
      <c r="H22" s="91"/>
      <c r="K22" s="89"/>
      <c r="M22" s="91"/>
      <c r="P22" s="89"/>
      <c r="R22" s="91"/>
      <c r="U22" s="89"/>
      <c r="W22" s="91"/>
      <c r="Z22" s="89"/>
      <c r="AB22" s="91"/>
      <c r="AE22" s="89"/>
      <c r="AG22" s="91"/>
      <c r="AJ22" s="89"/>
      <c r="AL22" s="91"/>
      <c r="AO22" s="89"/>
      <c r="AQ22" s="91"/>
      <c r="AT22" s="89"/>
      <c r="AV22" s="91"/>
      <c r="AY22" s="89"/>
      <c r="BA22" s="91"/>
      <c r="BD22" s="89"/>
      <c r="BF22" s="91"/>
      <c r="BI22" s="89"/>
      <c r="BK22" s="91"/>
      <c r="BN22" s="89"/>
      <c r="BP22" s="91"/>
      <c r="BS22" s="89"/>
      <c r="BU22" s="91"/>
      <c r="BX22" s="89"/>
      <c r="BZ22" s="91"/>
      <c r="CC22" s="89"/>
      <c r="CE22" s="91"/>
      <c r="CH22" s="89"/>
      <c r="CJ22" s="91"/>
      <c r="CM22" s="89"/>
      <c r="CO22" s="91"/>
      <c r="CR22" s="89"/>
      <c r="CT22" s="91"/>
      <c r="CW22" s="89"/>
      <c r="CY22" s="91"/>
      <c r="DB22" s="89"/>
      <c r="DD22" s="91"/>
      <c r="DG22" s="89"/>
      <c r="DI22" s="91"/>
      <c r="DL22" s="89"/>
      <c r="DN22" s="91"/>
      <c r="DQ22" s="89"/>
      <c r="DS22" s="91"/>
      <c r="DV22" s="89"/>
      <c r="DX22" s="91"/>
      <c r="EA22" s="89"/>
      <c r="EC22" s="91"/>
      <c r="EF22" s="89"/>
      <c r="EH22" s="91"/>
      <c r="EK22" s="89"/>
      <c r="EM22" s="91"/>
      <c r="EP22" s="89"/>
      <c r="ER22" s="91"/>
      <c r="EU22" s="89"/>
      <c r="EW22" s="91"/>
      <c r="EZ22" s="89"/>
      <c r="FB22" s="91"/>
      <c r="FE22" s="89"/>
      <c r="FG22" s="91"/>
      <c r="FJ22" s="89"/>
      <c r="FL22" s="91"/>
      <c r="FO22" s="89"/>
      <c r="FQ22" s="91"/>
      <c r="FT22" s="89"/>
      <c r="FV22" s="91"/>
      <c r="FY22" s="89"/>
      <c r="GA22" s="91"/>
      <c r="GD22" s="89"/>
      <c r="GF22" s="91"/>
      <c r="GI22" s="89"/>
      <c r="GK22" s="91"/>
      <c r="GN22" s="89"/>
      <c r="GP22" s="91"/>
      <c r="GS22" s="89"/>
      <c r="GU22" s="91"/>
      <c r="GX22" s="89"/>
      <c r="GZ22" s="91"/>
      <c r="HC22" s="89"/>
      <c r="HE22" s="91"/>
      <c r="HH22" s="89"/>
      <c r="HJ22" s="91"/>
      <c r="HM22" s="89"/>
      <c r="HO22" s="91"/>
      <c r="HR22" s="89"/>
      <c r="HT22" s="91"/>
      <c r="HW22" s="89"/>
      <c r="HY22" s="91"/>
      <c r="IB22" s="89"/>
      <c r="ID22" s="91"/>
      <c r="IG22" s="89"/>
      <c r="II22" s="91"/>
      <c r="IL22" s="89"/>
      <c r="IN22" s="91"/>
      <c r="IQ22" s="89"/>
      <c r="IS22" s="91"/>
      <c r="IV22" s="89"/>
      <c r="IX22" s="91"/>
      <c r="JA22" s="89"/>
      <c r="JC22" s="91"/>
      <c r="JF22" s="89"/>
      <c r="JH22" s="91"/>
      <c r="JK22" s="89"/>
      <c r="JM22" s="91"/>
      <c r="JP22" s="89"/>
      <c r="JR22" s="91"/>
      <c r="JU22" s="89"/>
      <c r="JW22" s="91"/>
      <c r="JZ22" s="89"/>
      <c r="KB22" s="91"/>
      <c r="KE22" s="89"/>
      <c r="KG22" s="91"/>
      <c r="KJ22" s="89"/>
      <c r="KL22" s="91"/>
      <c r="KO22" s="89"/>
      <c r="KQ22" s="91"/>
      <c r="KT22" s="89"/>
      <c r="KV22" s="91"/>
      <c r="KY22" s="89"/>
      <c r="LA22" s="91"/>
      <c r="LD22" s="89"/>
      <c r="LF22" s="91"/>
      <c r="LI22" s="89"/>
      <c r="LK22" s="91"/>
      <c r="LN22" s="89"/>
      <c r="LP22" s="91"/>
      <c r="LS22" s="89"/>
      <c r="LU22" s="91"/>
      <c r="LX22" s="89"/>
      <c r="LZ22" s="91"/>
      <c r="MC22" s="89"/>
      <c r="ME22" s="91"/>
      <c r="MH22" s="89"/>
      <c r="MJ22" s="91"/>
      <c r="MM22" s="89"/>
      <c r="MO22" s="91"/>
      <c r="MR22" s="89"/>
      <c r="MT22" s="91"/>
      <c r="MW22" s="89"/>
      <c r="MY22" s="91"/>
      <c r="NB22" s="89"/>
      <c r="ND22" s="91"/>
      <c r="NG22" s="89"/>
      <c r="NI22" s="91"/>
      <c r="NL22" s="89"/>
      <c r="NN22" s="91"/>
      <c r="NQ22" s="89"/>
      <c r="NS22" s="91"/>
      <c r="NV22" s="89"/>
      <c r="NX22" s="91"/>
      <c r="OA22" s="89"/>
      <c r="OC22" s="91"/>
      <c r="OF22" s="89"/>
      <c r="OH22" s="91"/>
      <c r="OK22" s="89"/>
      <c r="OM22" s="91"/>
      <c r="OP22" s="89"/>
      <c r="OR22" s="91"/>
      <c r="OU22" s="89"/>
      <c r="OW22" s="91"/>
      <c r="OZ22" s="89"/>
      <c r="PB22" s="91"/>
      <c r="PE22" s="89"/>
      <c r="PG22" s="91"/>
      <c r="PJ22" s="89"/>
      <c r="PL22" s="91"/>
      <c r="PO22" s="89"/>
      <c r="PQ22" s="91"/>
      <c r="PT22" s="89"/>
      <c r="PV22" s="91"/>
      <c r="PY22" s="89"/>
      <c r="QA22" s="91"/>
      <c r="QD22" s="89"/>
      <c r="QF22" s="91"/>
      <c r="QI22" s="89"/>
      <c r="QK22" s="91"/>
      <c r="QN22" s="89"/>
      <c r="QP22" s="91"/>
      <c r="QS22" s="89"/>
      <c r="QU22" s="91"/>
      <c r="QX22" s="89"/>
      <c r="QZ22" s="91"/>
      <c r="RC22" s="89"/>
      <c r="RE22" s="91"/>
      <c r="RH22" s="89"/>
      <c r="RJ22" s="91"/>
      <c r="RM22" s="89"/>
      <c r="RO22" s="91"/>
      <c r="RR22" s="89"/>
      <c r="RT22" s="91"/>
      <c r="RW22" s="89"/>
      <c r="RY22" s="91"/>
      <c r="SB22" s="89"/>
      <c r="SD22" s="91"/>
      <c r="SG22" s="89"/>
      <c r="SI22" s="91"/>
      <c r="SL22" s="89"/>
      <c r="SN22" s="91"/>
      <c r="SQ22" s="89"/>
      <c r="SS22" s="91"/>
      <c r="SV22" s="89"/>
      <c r="SX22" s="91"/>
      <c r="TA22" s="89"/>
      <c r="TC22" s="91"/>
      <c r="TF22" s="89"/>
      <c r="TH22" s="91"/>
      <c r="TK22" s="89"/>
      <c r="TM22" s="91"/>
      <c r="TP22" s="89"/>
      <c r="TR22" s="91"/>
      <c r="TU22" s="89"/>
      <c r="TW22" s="91"/>
      <c r="TZ22" s="89"/>
      <c r="UB22" s="91"/>
      <c r="UE22" s="89"/>
      <c r="UG22" s="91"/>
      <c r="UJ22" s="89"/>
      <c r="UL22" s="91"/>
      <c r="UO22" s="89"/>
      <c r="UQ22" s="91"/>
      <c r="UT22" s="89"/>
      <c r="UV22" s="91"/>
      <c r="UY22" s="89"/>
      <c r="VA22" s="91"/>
      <c r="VD22" s="89"/>
      <c r="VF22" s="91"/>
      <c r="VI22" s="89"/>
      <c r="VK22" s="91"/>
      <c r="VN22" s="89"/>
      <c r="VP22" s="91"/>
      <c r="VS22" s="89"/>
      <c r="VU22" s="91"/>
      <c r="VX22" s="89"/>
      <c r="VZ22" s="91"/>
      <c r="WC22" s="89"/>
      <c r="WE22" s="91"/>
      <c r="WH22" s="89"/>
      <c r="WJ22" s="91"/>
      <c r="WM22" s="89"/>
      <c r="WO22" s="91"/>
      <c r="WR22" s="89"/>
      <c r="WT22" s="91"/>
      <c r="WW22" s="89"/>
      <c r="WY22" s="91"/>
      <c r="XB22" s="89"/>
      <c r="XD22" s="91"/>
      <c r="XG22" s="89"/>
      <c r="XI22" s="91"/>
      <c r="XL22" s="89"/>
      <c r="XN22" s="91"/>
      <c r="XQ22" s="89"/>
      <c r="XS22" s="91"/>
      <c r="XV22" s="89"/>
      <c r="XX22" s="91"/>
      <c r="YA22" s="89"/>
      <c r="YC22" s="91"/>
      <c r="YF22" s="89"/>
      <c r="YH22" s="91"/>
      <c r="YK22" s="89"/>
      <c r="YM22" s="91"/>
      <c r="YP22" s="89"/>
      <c r="YR22" s="91"/>
      <c r="YU22" s="89"/>
      <c r="YW22" s="91"/>
      <c r="YZ22" s="89"/>
      <c r="ZB22" s="91"/>
      <c r="ZE22" s="89"/>
      <c r="ZG22" s="91"/>
      <c r="ZJ22" s="89"/>
      <c r="ZL22" s="91"/>
      <c r="ZO22" s="89"/>
      <c r="ZQ22" s="91"/>
      <c r="ZT22" s="89"/>
      <c r="ZV22" s="91"/>
      <c r="ZY22" s="89"/>
      <c r="AAA22" s="91"/>
      <c r="AAD22" s="89"/>
      <c r="AAF22" s="91"/>
      <c r="AAI22" s="89"/>
      <c r="AAK22" s="91"/>
      <c r="AAN22" s="89"/>
      <c r="AAP22" s="91"/>
      <c r="AAS22" s="89"/>
      <c r="AAU22" s="91"/>
      <c r="AAX22" s="89"/>
      <c r="AAZ22" s="91"/>
      <c r="ABC22" s="89"/>
      <c r="ABE22" s="91"/>
      <c r="ABH22" s="89"/>
      <c r="ABJ22" s="91"/>
      <c r="ABM22" s="89"/>
      <c r="ABO22" s="91"/>
      <c r="ABR22" s="89"/>
      <c r="ABT22" s="91"/>
      <c r="ABW22" s="89"/>
      <c r="ABY22" s="91"/>
      <c r="ACB22" s="89"/>
      <c r="ACD22" s="91"/>
      <c r="ACG22" s="89"/>
      <c r="ACI22" s="91"/>
      <c r="ACL22" s="89"/>
      <c r="ACN22" s="91"/>
      <c r="ACQ22" s="89"/>
      <c r="ACS22" s="91"/>
      <c r="ACV22" s="89"/>
      <c r="ACX22" s="91"/>
      <c r="ADA22" s="89"/>
      <c r="ADC22" s="91"/>
      <c r="ADF22" s="89"/>
      <c r="ADH22" s="91"/>
      <c r="ADK22" s="89"/>
      <c r="ADM22" s="91"/>
      <c r="ADP22" s="89"/>
      <c r="ADR22" s="91"/>
      <c r="ADU22" s="89"/>
      <c r="ADW22" s="91"/>
      <c r="ADZ22" s="89"/>
      <c r="AEB22" s="91"/>
      <c r="AEE22" s="89"/>
      <c r="AEG22" s="91"/>
      <c r="AEJ22" s="89"/>
      <c r="AEL22" s="91"/>
      <c r="AEO22" s="89"/>
      <c r="AEQ22" s="91"/>
      <c r="AET22" s="89"/>
      <c r="AEV22" s="91"/>
      <c r="AEY22" s="89"/>
      <c r="AFA22" s="91"/>
      <c r="AFD22" s="89"/>
      <c r="AFF22" s="91"/>
      <c r="AFI22" s="89"/>
      <c r="AFK22" s="91"/>
      <c r="AFN22" s="89"/>
      <c r="AFP22" s="91"/>
      <c r="AFS22" s="89"/>
      <c r="AFU22" s="91"/>
      <c r="AFX22" s="89"/>
      <c r="AFZ22" s="91"/>
      <c r="AGC22" s="89"/>
      <c r="AGE22" s="91"/>
      <c r="AGH22" s="89"/>
      <c r="AGJ22" s="91"/>
      <c r="AGM22" s="89"/>
      <c r="AGO22" s="91"/>
      <c r="AGR22" s="89"/>
      <c r="AGT22" s="91"/>
      <c r="AGW22" s="89"/>
      <c r="AGY22" s="91"/>
      <c r="AHB22" s="89"/>
      <c r="AHD22" s="91"/>
      <c r="AHG22" s="89"/>
      <c r="AHI22" s="91"/>
      <c r="AHL22" s="89"/>
      <c r="AHN22" s="91"/>
      <c r="AHQ22" s="89"/>
      <c r="AHS22" s="91"/>
      <c r="AHV22" s="89"/>
      <c r="AHX22" s="91"/>
      <c r="AIA22" s="89"/>
      <c r="AIC22" s="91"/>
      <c r="AIF22" s="89"/>
      <c r="AIH22" s="91"/>
      <c r="AIK22" s="89"/>
      <c r="AIM22" s="91"/>
      <c r="AIP22" s="89"/>
      <c r="AIR22" s="91"/>
      <c r="AIU22" s="89"/>
      <c r="AIW22" s="91"/>
      <c r="AIZ22" s="89"/>
      <c r="AJB22" s="91"/>
      <c r="AJE22" s="89"/>
      <c r="AJG22" s="91"/>
      <c r="AJJ22" s="89"/>
      <c r="AJL22" s="91"/>
      <c r="AJO22" s="89"/>
      <c r="AJQ22" s="91"/>
      <c r="AJT22" s="89"/>
      <c r="AJV22" s="91"/>
      <c r="AJY22" s="89"/>
      <c r="AKA22" s="91"/>
      <c r="AKD22" s="89"/>
      <c r="AKF22" s="91"/>
      <c r="AKI22" s="89"/>
      <c r="AKK22" s="91"/>
      <c r="AKN22" s="89"/>
      <c r="AKP22" s="91"/>
      <c r="AKS22" s="89"/>
      <c r="AKU22" s="91"/>
      <c r="AKX22" s="89"/>
      <c r="AKZ22" s="91"/>
      <c r="ALC22" s="89"/>
      <c r="ALE22" s="91"/>
      <c r="ALH22" s="89"/>
      <c r="ALJ22" s="91"/>
      <c r="ALM22" s="89"/>
      <c r="ALO22" s="91"/>
      <c r="ALR22" s="89"/>
      <c r="ALT22" s="91"/>
      <c r="ALW22" s="89"/>
      <c r="ALY22" s="91"/>
      <c r="AMB22" s="89"/>
      <c r="AMD22" s="91"/>
      <c r="AMG22" s="89"/>
      <c r="AMI22" s="91"/>
      <c r="AML22" s="89"/>
      <c r="AMN22" s="91"/>
      <c r="AMQ22" s="89"/>
      <c r="AMS22" s="91"/>
      <c r="AMV22" s="89"/>
      <c r="AMX22" s="91"/>
      <c r="ANA22" s="89"/>
      <c r="ANC22" s="91"/>
      <c r="ANF22" s="89"/>
      <c r="ANH22" s="91"/>
      <c r="ANK22" s="89"/>
      <c r="ANM22" s="91"/>
      <c r="ANP22" s="89"/>
      <c r="ANR22" s="91"/>
      <c r="ANU22" s="89"/>
      <c r="ANW22" s="91"/>
      <c r="ANZ22" s="89"/>
      <c r="AOB22" s="91"/>
      <c r="AOE22" s="89"/>
      <c r="AOG22" s="91"/>
      <c r="AOJ22" s="89"/>
      <c r="AOL22" s="91"/>
      <c r="AOO22" s="89"/>
      <c r="AOQ22" s="91"/>
      <c r="AOT22" s="89"/>
      <c r="AOV22" s="91"/>
      <c r="AOY22" s="89"/>
      <c r="APA22" s="91"/>
      <c r="APD22" s="89"/>
      <c r="APF22" s="91"/>
      <c r="API22" s="89"/>
      <c r="APK22" s="91"/>
      <c r="APN22" s="89"/>
      <c r="APP22" s="91"/>
      <c r="APS22" s="89"/>
      <c r="APU22" s="91"/>
      <c r="APX22" s="89"/>
      <c r="APZ22" s="91"/>
      <c r="AQC22" s="89"/>
      <c r="AQE22" s="91"/>
      <c r="AQH22" s="89"/>
      <c r="AQJ22" s="91"/>
      <c r="AQM22" s="89"/>
      <c r="AQO22" s="91"/>
      <c r="AQR22" s="89"/>
      <c r="AQT22" s="91"/>
      <c r="AQW22" s="89"/>
      <c r="AQY22" s="91"/>
      <c r="ARB22" s="89"/>
      <c r="ARD22" s="91"/>
      <c r="ARG22" s="89"/>
      <c r="ARI22" s="91"/>
      <c r="ARL22" s="89"/>
      <c r="ARN22" s="91"/>
      <c r="ARQ22" s="89"/>
      <c r="ARS22" s="91"/>
      <c r="ARV22" s="89"/>
      <c r="ARX22" s="91"/>
      <c r="ASA22" s="89"/>
      <c r="ASC22" s="91"/>
      <c r="ASF22" s="89"/>
      <c r="ASH22" s="91"/>
      <c r="ASK22" s="89"/>
      <c r="ASM22" s="91"/>
      <c r="ASP22" s="89"/>
      <c r="ASR22" s="91"/>
      <c r="ASU22" s="89"/>
      <c r="ASW22" s="91"/>
      <c r="ASZ22" s="89"/>
      <c r="ATB22" s="91"/>
      <c r="ATE22" s="89"/>
      <c r="ATG22" s="91"/>
      <c r="ATJ22" s="89"/>
      <c r="ATL22" s="91"/>
      <c r="ATO22" s="89"/>
      <c r="ATQ22" s="91"/>
      <c r="ATT22" s="89"/>
      <c r="ATV22" s="91"/>
      <c r="ATY22" s="89"/>
      <c r="AUA22" s="91"/>
      <c r="AUD22" s="89"/>
      <c r="AUF22" s="91"/>
      <c r="AUI22" s="89"/>
      <c r="AUK22" s="91"/>
      <c r="AUN22" s="89"/>
      <c r="AUP22" s="91"/>
      <c r="AUS22" s="89"/>
      <c r="AUU22" s="91"/>
      <c r="AUX22" s="89"/>
      <c r="AUZ22" s="91"/>
      <c r="AVC22" s="89"/>
      <c r="AVE22" s="91"/>
      <c r="AVH22" s="89"/>
      <c r="AVJ22" s="91"/>
      <c r="AVM22" s="89"/>
      <c r="AVO22" s="91"/>
      <c r="AVR22" s="89"/>
      <c r="AVT22" s="91"/>
      <c r="AVW22" s="89"/>
      <c r="AVY22" s="91"/>
      <c r="AWB22" s="89"/>
      <c r="AWD22" s="91"/>
      <c r="AWG22" s="89"/>
      <c r="AWI22" s="91"/>
      <c r="AWL22" s="89"/>
      <c r="AWN22" s="91"/>
      <c r="AWQ22" s="89"/>
      <c r="AWS22" s="91"/>
      <c r="AWV22" s="89"/>
      <c r="AWX22" s="91"/>
      <c r="AXA22" s="89"/>
      <c r="AXC22" s="91"/>
      <c r="AXF22" s="89"/>
      <c r="AXH22" s="91"/>
      <c r="AXK22" s="89"/>
      <c r="AXM22" s="91"/>
      <c r="AXP22" s="89"/>
      <c r="AXR22" s="91"/>
      <c r="AXU22" s="89"/>
      <c r="AXW22" s="91"/>
      <c r="AXZ22" s="89"/>
      <c r="AYB22" s="91"/>
      <c r="AYE22" s="89"/>
      <c r="AYG22" s="91"/>
      <c r="AYJ22" s="89"/>
      <c r="AYL22" s="91"/>
      <c r="AYO22" s="89"/>
      <c r="AYQ22" s="91"/>
      <c r="AYT22" s="89"/>
      <c r="AYV22" s="91"/>
      <c r="AYY22" s="89"/>
      <c r="AZA22" s="91"/>
      <c r="AZD22" s="89"/>
      <c r="AZF22" s="91"/>
      <c r="AZI22" s="89"/>
      <c r="AZK22" s="91"/>
      <c r="AZN22" s="89"/>
      <c r="AZP22" s="91"/>
      <c r="AZS22" s="89"/>
      <c r="AZU22" s="91"/>
      <c r="AZX22" s="89"/>
      <c r="AZZ22" s="91"/>
      <c r="BAC22" s="89"/>
      <c r="BAE22" s="91"/>
      <c r="BAH22" s="89"/>
      <c r="BAJ22" s="91"/>
      <c r="BAM22" s="89"/>
      <c r="BAO22" s="91"/>
      <c r="BAR22" s="89"/>
      <c r="BAT22" s="91"/>
      <c r="BAW22" s="89"/>
      <c r="BAY22" s="91"/>
      <c r="BBB22" s="89"/>
      <c r="BBD22" s="91"/>
      <c r="BBG22" s="89"/>
      <c r="BBI22" s="91"/>
      <c r="BBL22" s="89"/>
      <c r="BBN22" s="91"/>
      <c r="BBQ22" s="89"/>
      <c r="BBS22" s="91"/>
      <c r="BBV22" s="89"/>
      <c r="BBX22" s="91"/>
      <c r="BCA22" s="89"/>
      <c r="BCC22" s="91"/>
      <c r="BCF22" s="89"/>
      <c r="BCH22" s="91"/>
      <c r="BCK22" s="89"/>
      <c r="BCM22" s="91"/>
      <c r="BCP22" s="89"/>
      <c r="BCR22" s="91"/>
      <c r="BCU22" s="89"/>
      <c r="BCW22" s="91"/>
      <c r="BCZ22" s="89"/>
      <c r="BDB22" s="91"/>
      <c r="BDE22" s="89"/>
      <c r="BDG22" s="91"/>
      <c r="BDJ22" s="89"/>
      <c r="BDL22" s="91"/>
      <c r="BDO22" s="89"/>
      <c r="BDQ22" s="91"/>
      <c r="BDT22" s="89"/>
      <c r="BDV22" s="91"/>
      <c r="BDY22" s="89"/>
      <c r="BEA22" s="91"/>
      <c r="BED22" s="89"/>
      <c r="BEF22" s="91"/>
      <c r="BEI22" s="89"/>
      <c r="BEK22" s="91"/>
      <c r="BEN22" s="89"/>
      <c r="BEP22" s="91"/>
      <c r="BES22" s="89"/>
      <c r="BEU22" s="91"/>
      <c r="BEX22" s="89"/>
      <c r="BEZ22" s="91"/>
      <c r="BFC22" s="89"/>
      <c r="BFE22" s="91"/>
      <c r="BFH22" s="89"/>
      <c r="BFJ22" s="91"/>
      <c r="BFM22" s="89"/>
      <c r="BFO22" s="91"/>
      <c r="BFR22" s="89"/>
      <c r="BFT22" s="91"/>
      <c r="BFW22" s="89"/>
      <c r="BFY22" s="91"/>
      <c r="BGB22" s="89"/>
      <c r="BGD22" s="91"/>
      <c r="BGG22" s="89"/>
      <c r="BGI22" s="91"/>
      <c r="BGL22" s="89"/>
      <c r="BGN22" s="91"/>
      <c r="BGQ22" s="89"/>
      <c r="BGS22" s="91"/>
      <c r="BGV22" s="89"/>
      <c r="BGX22" s="91"/>
      <c r="BHA22" s="89"/>
      <c r="BHC22" s="91"/>
      <c r="BHF22" s="89"/>
      <c r="BHH22" s="91"/>
      <c r="BHK22" s="89"/>
      <c r="BHM22" s="91"/>
      <c r="BHP22" s="89"/>
      <c r="BHR22" s="91"/>
      <c r="BHU22" s="89"/>
      <c r="BHW22" s="91"/>
      <c r="BHZ22" s="89"/>
      <c r="BIB22" s="91"/>
      <c r="BIE22" s="89"/>
      <c r="BIG22" s="91"/>
      <c r="BIJ22" s="89"/>
      <c r="BIL22" s="91"/>
      <c r="BIO22" s="89"/>
      <c r="BIQ22" s="91"/>
      <c r="BIT22" s="89"/>
      <c r="BIV22" s="91"/>
      <c r="BIY22" s="89"/>
      <c r="BJA22" s="91"/>
      <c r="BJD22" s="89"/>
      <c r="BJF22" s="91"/>
      <c r="BJI22" s="89"/>
      <c r="BJK22" s="91"/>
      <c r="BJN22" s="89"/>
      <c r="BJP22" s="91"/>
      <c r="BJS22" s="89"/>
      <c r="BJU22" s="91"/>
      <c r="BJX22" s="89"/>
      <c r="BJZ22" s="91"/>
      <c r="BKC22" s="89"/>
      <c r="BKE22" s="91"/>
      <c r="BKH22" s="89"/>
      <c r="BKJ22" s="91"/>
      <c r="BKM22" s="89"/>
      <c r="BKO22" s="91"/>
      <c r="BKR22" s="89"/>
      <c r="BKT22" s="91"/>
      <c r="BKW22" s="89"/>
      <c r="BKY22" s="91"/>
      <c r="BLB22" s="89"/>
      <c r="BLD22" s="91"/>
      <c r="BLG22" s="89"/>
      <c r="BLI22" s="91"/>
      <c r="BLL22" s="89"/>
      <c r="BLN22" s="91"/>
      <c r="BLQ22" s="89"/>
      <c r="BLS22" s="91"/>
      <c r="BLV22" s="89"/>
      <c r="BLX22" s="91"/>
      <c r="BMA22" s="89"/>
      <c r="BMC22" s="91"/>
      <c r="BMF22" s="89"/>
      <c r="BMH22" s="91"/>
      <c r="BMK22" s="89"/>
      <c r="BMM22" s="91"/>
      <c r="BMP22" s="89"/>
      <c r="BMR22" s="91"/>
      <c r="BMU22" s="89"/>
      <c r="BMW22" s="91"/>
      <c r="BMZ22" s="89"/>
      <c r="BNB22" s="91"/>
      <c r="BNE22" s="89"/>
      <c r="BNG22" s="91"/>
      <c r="BNJ22" s="89"/>
      <c r="BNL22" s="91"/>
      <c r="BNO22" s="89"/>
      <c r="BNQ22" s="91"/>
      <c r="BNT22" s="89"/>
      <c r="BNV22" s="91"/>
      <c r="BNY22" s="89"/>
      <c r="BOA22" s="91"/>
      <c r="BOD22" s="89"/>
      <c r="BOF22" s="91"/>
      <c r="BOI22" s="89"/>
      <c r="BOK22" s="91"/>
      <c r="BON22" s="89"/>
      <c r="BOP22" s="91"/>
      <c r="BOS22" s="89"/>
      <c r="BOU22" s="91"/>
      <c r="BOX22" s="89"/>
      <c r="BOZ22" s="91"/>
      <c r="BPC22" s="89"/>
      <c r="BPE22" s="91"/>
      <c r="BPH22" s="89"/>
      <c r="BPJ22" s="91"/>
      <c r="BPM22" s="89"/>
      <c r="BPO22" s="91"/>
      <c r="BPR22" s="89"/>
      <c r="BPT22" s="91"/>
      <c r="BPW22" s="89"/>
      <c r="BPY22" s="91"/>
      <c r="BQB22" s="89"/>
      <c r="BQD22" s="91"/>
      <c r="BQG22" s="89"/>
      <c r="BQI22" s="91"/>
      <c r="BQL22" s="89"/>
      <c r="BQN22" s="91"/>
      <c r="BQQ22" s="89"/>
      <c r="BQS22" s="91"/>
      <c r="BQV22" s="89"/>
      <c r="BQX22" s="91"/>
      <c r="BRA22" s="89"/>
      <c r="BRC22" s="91"/>
      <c r="BRF22" s="89"/>
      <c r="BRH22" s="91"/>
      <c r="BRK22" s="89"/>
      <c r="BRM22" s="91"/>
      <c r="BRP22" s="89"/>
      <c r="BRR22" s="91"/>
      <c r="BRU22" s="89"/>
      <c r="BRW22" s="91"/>
      <c r="BRZ22" s="89"/>
      <c r="BSB22" s="91"/>
      <c r="BSE22" s="89"/>
      <c r="BSG22" s="91"/>
      <c r="BSJ22" s="89"/>
      <c r="BSL22" s="91"/>
      <c r="BSO22" s="89"/>
      <c r="BSQ22" s="91"/>
      <c r="BST22" s="89"/>
      <c r="BSV22" s="91"/>
      <c r="BSY22" s="89"/>
      <c r="BTA22" s="91"/>
      <c r="BTD22" s="89"/>
      <c r="BTF22" s="91"/>
      <c r="BTI22" s="89"/>
      <c r="BTK22" s="91"/>
      <c r="BTN22" s="89"/>
      <c r="BTP22" s="91"/>
      <c r="BTS22" s="89"/>
      <c r="BTU22" s="91"/>
      <c r="BTX22" s="89"/>
      <c r="BTZ22" s="91"/>
      <c r="BUC22" s="89"/>
      <c r="BUE22" s="91"/>
      <c r="BUH22" s="89"/>
      <c r="BUJ22" s="91"/>
      <c r="BUM22" s="89"/>
      <c r="BUO22" s="91"/>
      <c r="BUR22" s="89"/>
      <c r="BUT22" s="91"/>
      <c r="BUW22" s="89"/>
      <c r="BUY22" s="91"/>
      <c r="BVB22" s="89"/>
      <c r="BVD22" s="91"/>
      <c r="BVG22" s="89"/>
      <c r="BVI22" s="91"/>
      <c r="BVL22" s="89"/>
      <c r="BVN22" s="91"/>
      <c r="BVQ22" s="89"/>
      <c r="BVS22" s="91"/>
      <c r="BVV22" s="89"/>
      <c r="BVX22" s="91"/>
      <c r="BWA22" s="89"/>
      <c r="BWC22" s="91"/>
      <c r="BWF22" s="89"/>
      <c r="BWH22" s="91"/>
      <c r="BWK22" s="89"/>
      <c r="BWM22" s="91"/>
      <c r="BWP22" s="89"/>
      <c r="BWR22" s="91"/>
      <c r="BWU22" s="89"/>
      <c r="BWW22" s="91"/>
      <c r="BWZ22" s="89"/>
      <c r="BXB22" s="91"/>
      <c r="BXE22" s="89"/>
      <c r="BXG22" s="91"/>
      <c r="BXJ22" s="89"/>
      <c r="BXL22" s="91"/>
      <c r="BXO22" s="89"/>
      <c r="BXQ22" s="91"/>
      <c r="BXT22" s="89"/>
      <c r="BXV22" s="91"/>
      <c r="BXY22" s="89"/>
      <c r="BYA22" s="91"/>
      <c r="BYD22" s="89"/>
      <c r="BYF22" s="91"/>
      <c r="BYI22" s="89"/>
      <c r="BYK22" s="91"/>
      <c r="BYN22" s="89"/>
      <c r="BYP22" s="91"/>
      <c r="BYS22" s="89"/>
      <c r="BYU22" s="91"/>
      <c r="BYX22" s="89"/>
      <c r="BYZ22" s="91"/>
      <c r="BZC22" s="89"/>
      <c r="BZE22" s="91"/>
      <c r="BZH22" s="89"/>
      <c r="BZJ22" s="91"/>
      <c r="BZM22" s="89"/>
      <c r="BZO22" s="91"/>
      <c r="BZR22" s="89"/>
      <c r="BZT22" s="91"/>
      <c r="BZW22" s="89"/>
      <c r="BZY22" s="91"/>
      <c r="CAB22" s="89"/>
      <c r="CAD22" s="91"/>
      <c r="CAG22" s="89"/>
      <c r="CAI22" s="91"/>
      <c r="CAL22" s="89"/>
      <c r="CAN22" s="91"/>
      <c r="CAQ22" s="89"/>
      <c r="CAS22" s="91"/>
      <c r="CAV22" s="89"/>
      <c r="CAX22" s="91"/>
      <c r="CBA22" s="89"/>
      <c r="CBC22" s="91"/>
      <c r="CBF22" s="89"/>
      <c r="CBH22" s="91"/>
      <c r="CBK22" s="89"/>
      <c r="CBM22" s="91"/>
      <c r="CBP22" s="89"/>
      <c r="CBR22" s="91"/>
      <c r="CBU22" s="89"/>
      <c r="CBW22" s="91"/>
      <c r="CBZ22" s="89"/>
      <c r="CCB22" s="91"/>
      <c r="CCE22" s="89"/>
      <c r="CCG22" s="91"/>
      <c r="CCJ22" s="89"/>
      <c r="CCL22" s="91"/>
      <c r="CCO22" s="89"/>
      <c r="CCQ22" s="91"/>
      <c r="CCT22" s="89"/>
      <c r="CCV22" s="91"/>
      <c r="CCY22" s="89"/>
      <c r="CDA22" s="91"/>
      <c r="CDD22" s="89"/>
      <c r="CDF22" s="91"/>
      <c r="CDI22" s="89"/>
      <c r="CDK22" s="91"/>
      <c r="CDN22" s="89"/>
      <c r="CDP22" s="91"/>
      <c r="CDS22" s="89"/>
      <c r="CDU22" s="91"/>
      <c r="CDX22" s="89"/>
      <c r="CDZ22" s="91"/>
      <c r="CEC22" s="89"/>
      <c r="CEE22" s="91"/>
      <c r="CEH22" s="89"/>
      <c r="CEJ22" s="91"/>
      <c r="CEM22" s="89"/>
      <c r="CEO22" s="91"/>
      <c r="CER22" s="89"/>
      <c r="CET22" s="91"/>
      <c r="CEW22" s="89"/>
      <c r="CEY22" s="91"/>
      <c r="CFB22" s="89"/>
      <c r="CFD22" s="91"/>
      <c r="CFG22" s="89"/>
      <c r="CFI22" s="91"/>
      <c r="CFL22" s="89"/>
      <c r="CFN22" s="91"/>
      <c r="CFQ22" s="89"/>
      <c r="CFS22" s="91"/>
      <c r="CFV22" s="89"/>
      <c r="CFX22" s="91"/>
      <c r="CGA22" s="89"/>
      <c r="CGC22" s="91"/>
      <c r="CGF22" s="89"/>
      <c r="CGH22" s="91"/>
      <c r="CGK22" s="89"/>
      <c r="CGM22" s="91"/>
      <c r="CGP22" s="89"/>
      <c r="CGR22" s="91"/>
      <c r="CGU22" s="89"/>
      <c r="CGW22" s="91"/>
      <c r="CGZ22" s="89"/>
      <c r="CHB22" s="91"/>
      <c r="CHE22" s="89"/>
      <c r="CHG22" s="91"/>
      <c r="CHJ22" s="89"/>
      <c r="CHL22" s="91"/>
      <c r="CHO22" s="89"/>
      <c r="CHQ22" s="91"/>
      <c r="CHT22" s="89"/>
      <c r="CHV22" s="91"/>
      <c r="CHY22" s="89"/>
      <c r="CIA22" s="91"/>
      <c r="CID22" s="89"/>
      <c r="CIF22" s="91"/>
      <c r="CII22" s="89"/>
      <c r="CIK22" s="91"/>
      <c r="CIN22" s="89"/>
      <c r="CIP22" s="91"/>
      <c r="CIS22" s="89"/>
      <c r="CIU22" s="91"/>
      <c r="CIX22" s="89"/>
      <c r="CIZ22" s="91"/>
      <c r="CJC22" s="89"/>
      <c r="CJE22" s="91"/>
      <c r="CJH22" s="89"/>
      <c r="CJJ22" s="91"/>
      <c r="CJM22" s="89"/>
      <c r="CJO22" s="91"/>
      <c r="CJR22" s="89"/>
      <c r="CJT22" s="91"/>
      <c r="CJW22" s="89"/>
      <c r="CJY22" s="91"/>
      <c r="CKB22" s="89"/>
      <c r="CKD22" s="91"/>
      <c r="CKG22" s="89"/>
      <c r="CKI22" s="91"/>
      <c r="CKL22" s="89"/>
      <c r="CKN22" s="91"/>
      <c r="CKQ22" s="89"/>
      <c r="CKS22" s="91"/>
      <c r="CKV22" s="89"/>
      <c r="CKX22" s="91"/>
      <c r="CLA22" s="89"/>
      <c r="CLC22" s="91"/>
      <c r="CLF22" s="89"/>
      <c r="CLH22" s="91"/>
      <c r="CLK22" s="89"/>
      <c r="CLM22" s="91"/>
      <c r="CLP22" s="89"/>
      <c r="CLR22" s="91"/>
      <c r="CLU22" s="89"/>
      <c r="CLW22" s="91"/>
      <c r="CLZ22" s="89"/>
      <c r="CMB22" s="91"/>
      <c r="CME22" s="89"/>
      <c r="CMG22" s="91"/>
      <c r="CMJ22" s="89"/>
      <c r="CML22" s="91"/>
      <c r="CMO22" s="89"/>
      <c r="CMQ22" s="91"/>
      <c r="CMT22" s="89"/>
      <c r="CMV22" s="91"/>
      <c r="CMY22" s="89"/>
      <c r="CNA22" s="91"/>
      <c r="CND22" s="89"/>
      <c r="CNF22" s="91"/>
      <c r="CNI22" s="89"/>
      <c r="CNK22" s="91"/>
      <c r="CNN22" s="89"/>
      <c r="CNP22" s="91"/>
      <c r="CNS22" s="89"/>
      <c r="CNU22" s="91"/>
      <c r="CNX22" s="89"/>
      <c r="CNZ22" s="91"/>
      <c r="COC22" s="89"/>
      <c r="COE22" s="91"/>
      <c r="COH22" s="89"/>
      <c r="COJ22" s="91"/>
      <c r="COM22" s="89"/>
      <c r="COO22" s="91"/>
      <c r="COR22" s="89"/>
      <c r="COT22" s="91"/>
      <c r="COW22" s="89"/>
      <c r="COY22" s="91"/>
      <c r="CPB22" s="89"/>
      <c r="CPD22" s="91"/>
      <c r="CPG22" s="89"/>
      <c r="CPI22" s="91"/>
      <c r="CPL22" s="89"/>
      <c r="CPN22" s="91"/>
      <c r="CPQ22" s="89"/>
      <c r="CPS22" s="91"/>
      <c r="CPV22" s="89"/>
      <c r="CPX22" s="91"/>
      <c r="CQA22" s="89"/>
      <c r="CQC22" s="91"/>
      <c r="CQF22" s="89"/>
      <c r="CQH22" s="91"/>
      <c r="CQK22" s="89"/>
      <c r="CQM22" s="91"/>
      <c r="CQP22" s="89"/>
      <c r="CQR22" s="91"/>
      <c r="CQU22" s="89"/>
      <c r="CQW22" s="91"/>
      <c r="CQZ22" s="89"/>
      <c r="CRB22" s="91"/>
      <c r="CRE22" s="89"/>
      <c r="CRG22" s="91"/>
      <c r="CRJ22" s="89"/>
      <c r="CRL22" s="91"/>
      <c r="CRO22" s="89"/>
      <c r="CRQ22" s="91"/>
      <c r="CRT22" s="89"/>
      <c r="CRV22" s="91"/>
      <c r="CRY22" s="89"/>
      <c r="CSA22" s="91"/>
      <c r="CSD22" s="89"/>
      <c r="CSF22" s="91"/>
      <c r="CSI22" s="89"/>
      <c r="CSK22" s="91"/>
      <c r="CSN22" s="89"/>
      <c r="CSP22" s="91"/>
      <c r="CSS22" s="89"/>
      <c r="CSU22" s="91"/>
      <c r="CSX22" s="89"/>
      <c r="CSZ22" s="91"/>
      <c r="CTC22" s="89"/>
      <c r="CTE22" s="91"/>
      <c r="CTH22" s="89"/>
      <c r="CTJ22" s="91"/>
      <c r="CTM22" s="89"/>
      <c r="CTO22" s="91"/>
      <c r="CTR22" s="89"/>
      <c r="CTT22" s="91"/>
      <c r="CTW22" s="89"/>
      <c r="CTY22" s="91"/>
      <c r="CUB22" s="89"/>
      <c r="CUD22" s="91"/>
      <c r="CUG22" s="89"/>
      <c r="CUI22" s="91"/>
      <c r="CUL22" s="89"/>
      <c r="CUN22" s="91"/>
      <c r="CUQ22" s="89"/>
      <c r="CUS22" s="91"/>
      <c r="CUV22" s="89"/>
      <c r="CUX22" s="91"/>
      <c r="CVA22" s="89"/>
      <c r="CVC22" s="91"/>
      <c r="CVF22" s="89"/>
      <c r="CVH22" s="91"/>
      <c r="CVK22" s="89"/>
      <c r="CVM22" s="91"/>
      <c r="CVP22" s="89"/>
      <c r="CVR22" s="91"/>
      <c r="CVU22" s="89"/>
      <c r="CVW22" s="91"/>
      <c r="CVZ22" s="89"/>
      <c r="CWB22" s="91"/>
      <c r="CWE22" s="89"/>
      <c r="CWG22" s="91"/>
      <c r="CWJ22" s="89"/>
      <c r="CWL22" s="91"/>
      <c r="CWO22" s="89"/>
      <c r="CWQ22" s="91"/>
      <c r="CWT22" s="89"/>
      <c r="CWV22" s="91"/>
      <c r="CWY22" s="89"/>
      <c r="CXA22" s="91"/>
      <c r="CXD22" s="89"/>
      <c r="CXF22" s="91"/>
      <c r="CXI22" s="89"/>
      <c r="CXK22" s="91"/>
      <c r="CXN22" s="89"/>
      <c r="CXP22" s="91"/>
      <c r="CXS22" s="89"/>
      <c r="CXU22" s="91"/>
      <c r="CXX22" s="89"/>
      <c r="CXZ22" s="91"/>
      <c r="CYC22" s="89"/>
      <c r="CYE22" s="91"/>
      <c r="CYH22" s="89"/>
      <c r="CYJ22" s="91"/>
      <c r="CYM22" s="89"/>
      <c r="CYO22" s="91"/>
      <c r="CYR22" s="89"/>
      <c r="CYT22" s="91"/>
      <c r="CYW22" s="89"/>
      <c r="CYY22" s="91"/>
      <c r="CZB22" s="89"/>
      <c r="CZD22" s="91"/>
      <c r="CZG22" s="89"/>
      <c r="CZI22" s="91"/>
      <c r="CZL22" s="89"/>
      <c r="CZN22" s="91"/>
      <c r="CZQ22" s="89"/>
      <c r="CZS22" s="91"/>
      <c r="CZV22" s="89"/>
      <c r="CZX22" s="91"/>
      <c r="DAA22" s="89"/>
      <c r="DAC22" s="91"/>
      <c r="DAF22" s="89"/>
      <c r="DAH22" s="91"/>
      <c r="DAK22" s="89"/>
      <c r="DAM22" s="91"/>
      <c r="DAP22" s="89"/>
      <c r="DAR22" s="91"/>
      <c r="DAU22" s="89"/>
      <c r="DAW22" s="91"/>
      <c r="DAZ22" s="89"/>
      <c r="DBB22" s="91"/>
      <c r="DBE22" s="89"/>
      <c r="DBG22" s="91"/>
      <c r="DBJ22" s="89"/>
      <c r="DBL22" s="91"/>
      <c r="DBO22" s="89"/>
      <c r="DBQ22" s="91"/>
      <c r="DBT22" s="89"/>
      <c r="DBV22" s="91"/>
      <c r="DBY22" s="89"/>
      <c r="DCA22" s="91"/>
      <c r="DCD22" s="89"/>
      <c r="DCF22" s="91"/>
      <c r="DCI22" s="89"/>
      <c r="DCK22" s="91"/>
      <c r="DCN22" s="89"/>
      <c r="DCP22" s="91"/>
      <c r="DCS22" s="89"/>
      <c r="DCU22" s="91"/>
      <c r="DCX22" s="89"/>
      <c r="DCZ22" s="91"/>
      <c r="DDC22" s="89"/>
      <c r="DDE22" s="91"/>
      <c r="DDH22" s="89"/>
      <c r="DDJ22" s="91"/>
      <c r="DDM22" s="89"/>
      <c r="DDO22" s="91"/>
      <c r="DDR22" s="89"/>
      <c r="DDT22" s="91"/>
      <c r="DDW22" s="89"/>
      <c r="DDY22" s="91"/>
      <c r="DEB22" s="89"/>
      <c r="DED22" s="91"/>
      <c r="DEG22" s="89"/>
      <c r="DEI22" s="91"/>
      <c r="DEL22" s="89"/>
      <c r="DEN22" s="91"/>
      <c r="DEQ22" s="89"/>
      <c r="DES22" s="91"/>
      <c r="DEV22" s="89"/>
      <c r="DEX22" s="91"/>
      <c r="DFA22" s="89"/>
      <c r="DFC22" s="91"/>
      <c r="DFF22" s="89"/>
      <c r="DFH22" s="91"/>
      <c r="DFK22" s="89"/>
      <c r="DFM22" s="91"/>
      <c r="DFP22" s="89"/>
      <c r="DFR22" s="91"/>
      <c r="DFU22" s="89"/>
      <c r="DFW22" s="91"/>
      <c r="DFZ22" s="89"/>
      <c r="DGB22" s="91"/>
      <c r="DGE22" s="89"/>
      <c r="DGG22" s="91"/>
      <c r="DGJ22" s="89"/>
      <c r="DGL22" s="91"/>
      <c r="DGO22" s="89"/>
      <c r="DGQ22" s="91"/>
      <c r="DGT22" s="89"/>
      <c r="DGV22" s="91"/>
      <c r="DGY22" s="89"/>
      <c r="DHA22" s="91"/>
      <c r="DHD22" s="89"/>
      <c r="DHF22" s="91"/>
      <c r="DHI22" s="89"/>
      <c r="DHK22" s="91"/>
      <c r="DHN22" s="89"/>
      <c r="DHP22" s="91"/>
      <c r="DHS22" s="89"/>
      <c r="DHU22" s="91"/>
      <c r="DHX22" s="89"/>
      <c r="DHZ22" s="91"/>
      <c r="DIC22" s="89"/>
      <c r="DIE22" s="91"/>
      <c r="DIH22" s="89"/>
      <c r="DIJ22" s="91"/>
      <c r="DIM22" s="89"/>
      <c r="DIO22" s="91"/>
      <c r="DIR22" s="89"/>
      <c r="DIT22" s="91"/>
      <c r="DIW22" s="89"/>
      <c r="DIY22" s="91"/>
      <c r="DJB22" s="89"/>
      <c r="DJD22" s="91"/>
      <c r="DJG22" s="89"/>
      <c r="DJI22" s="91"/>
      <c r="DJL22" s="89"/>
      <c r="DJN22" s="91"/>
      <c r="DJQ22" s="89"/>
      <c r="DJS22" s="91"/>
      <c r="DJV22" s="89"/>
      <c r="DJX22" s="91"/>
      <c r="DKA22" s="89"/>
      <c r="DKC22" s="91"/>
      <c r="DKF22" s="89"/>
      <c r="DKH22" s="91"/>
      <c r="DKK22" s="89"/>
      <c r="DKM22" s="91"/>
      <c r="DKP22" s="89"/>
      <c r="DKR22" s="91"/>
      <c r="DKU22" s="89"/>
      <c r="DKW22" s="91"/>
      <c r="DKZ22" s="89"/>
      <c r="DLB22" s="91"/>
      <c r="DLE22" s="89"/>
      <c r="DLG22" s="91"/>
      <c r="DLJ22" s="89"/>
      <c r="DLL22" s="91"/>
      <c r="DLO22" s="89"/>
      <c r="DLQ22" s="91"/>
      <c r="DLT22" s="89"/>
      <c r="DLV22" s="91"/>
      <c r="DLY22" s="89"/>
      <c r="DMA22" s="91"/>
      <c r="DMD22" s="89"/>
      <c r="DMF22" s="91"/>
      <c r="DMI22" s="89"/>
      <c r="DMK22" s="91"/>
      <c r="DMN22" s="89"/>
      <c r="DMP22" s="91"/>
      <c r="DMS22" s="89"/>
      <c r="DMU22" s="91"/>
      <c r="DMX22" s="89"/>
      <c r="DMZ22" s="91"/>
      <c r="DNC22" s="89"/>
      <c r="DNE22" s="91"/>
      <c r="DNH22" s="89"/>
      <c r="DNJ22" s="91"/>
      <c r="DNM22" s="89"/>
      <c r="DNO22" s="91"/>
      <c r="DNR22" s="89"/>
      <c r="DNT22" s="91"/>
      <c r="DNW22" s="89"/>
      <c r="DNY22" s="91"/>
      <c r="DOB22" s="89"/>
      <c r="DOD22" s="91"/>
      <c r="DOG22" s="89"/>
      <c r="DOI22" s="91"/>
      <c r="DOL22" s="89"/>
      <c r="DON22" s="91"/>
      <c r="DOQ22" s="89"/>
      <c r="DOS22" s="91"/>
      <c r="DOV22" s="89"/>
      <c r="DOX22" s="91"/>
      <c r="DPA22" s="89"/>
      <c r="DPC22" s="91"/>
      <c r="DPF22" s="89"/>
      <c r="DPH22" s="91"/>
      <c r="DPK22" s="89"/>
      <c r="DPM22" s="91"/>
      <c r="DPP22" s="89"/>
      <c r="DPR22" s="91"/>
      <c r="DPU22" s="89"/>
      <c r="DPW22" s="91"/>
      <c r="DPZ22" s="89"/>
      <c r="DQB22" s="91"/>
      <c r="DQE22" s="89"/>
      <c r="DQG22" s="91"/>
      <c r="DQJ22" s="89"/>
      <c r="DQL22" s="91"/>
      <c r="DQO22" s="89"/>
      <c r="DQQ22" s="91"/>
      <c r="DQT22" s="89"/>
      <c r="DQV22" s="91"/>
      <c r="DQY22" s="89"/>
      <c r="DRA22" s="91"/>
      <c r="DRD22" s="89"/>
      <c r="DRF22" s="91"/>
      <c r="DRI22" s="89"/>
      <c r="DRK22" s="91"/>
      <c r="DRN22" s="89"/>
      <c r="DRP22" s="91"/>
      <c r="DRS22" s="89"/>
      <c r="DRU22" s="91"/>
      <c r="DRX22" s="89"/>
      <c r="DRZ22" s="91"/>
      <c r="DSC22" s="89"/>
      <c r="DSE22" s="91"/>
      <c r="DSH22" s="89"/>
      <c r="DSJ22" s="91"/>
      <c r="DSM22" s="89"/>
      <c r="DSO22" s="91"/>
      <c r="DSR22" s="89"/>
      <c r="DST22" s="91"/>
      <c r="DSW22" s="89"/>
      <c r="DSY22" s="91"/>
      <c r="DTB22" s="89"/>
      <c r="DTD22" s="91"/>
      <c r="DTG22" s="89"/>
      <c r="DTI22" s="91"/>
      <c r="DTL22" s="89"/>
      <c r="DTN22" s="91"/>
      <c r="DTQ22" s="89"/>
      <c r="DTS22" s="91"/>
      <c r="DTV22" s="89"/>
      <c r="DTX22" s="91"/>
      <c r="DUA22" s="89"/>
      <c r="DUC22" s="91"/>
      <c r="DUF22" s="89"/>
      <c r="DUH22" s="91"/>
      <c r="DUK22" s="89"/>
      <c r="DUM22" s="91"/>
      <c r="DUP22" s="89"/>
      <c r="DUR22" s="91"/>
      <c r="DUU22" s="89"/>
      <c r="DUW22" s="91"/>
      <c r="DUZ22" s="89"/>
      <c r="DVB22" s="91"/>
      <c r="DVE22" s="89"/>
      <c r="DVG22" s="91"/>
      <c r="DVJ22" s="89"/>
      <c r="DVL22" s="91"/>
      <c r="DVO22" s="89"/>
      <c r="DVQ22" s="91"/>
      <c r="DVT22" s="89"/>
      <c r="DVV22" s="91"/>
      <c r="DVY22" s="89"/>
      <c r="DWA22" s="91"/>
      <c r="DWD22" s="89"/>
      <c r="DWF22" s="91"/>
      <c r="DWI22" s="89"/>
      <c r="DWK22" s="91"/>
      <c r="DWN22" s="89"/>
      <c r="DWP22" s="91"/>
      <c r="DWS22" s="89"/>
      <c r="DWU22" s="91"/>
      <c r="DWX22" s="89"/>
      <c r="DWZ22" s="91"/>
      <c r="DXC22" s="89"/>
      <c r="DXE22" s="91"/>
      <c r="DXH22" s="89"/>
      <c r="DXJ22" s="91"/>
      <c r="DXM22" s="89"/>
      <c r="DXO22" s="91"/>
      <c r="DXR22" s="89"/>
      <c r="DXT22" s="91"/>
      <c r="DXW22" s="89"/>
      <c r="DXY22" s="91"/>
      <c r="DYB22" s="89"/>
      <c r="DYD22" s="91"/>
      <c r="DYG22" s="89"/>
      <c r="DYI22" s="91"/>
      <c r="DYL22" s="89"/>
      <c r="DYN22" s="91"/>
      <c r="DYQ22" s="89"/>
      <c r="DYS22" s="91"/>
      <c r="DYV22" s="89"/>
      <c r="DYX22" s="91"/>
      <c r="DZA22" s="89"/>
      <c r="DZC22" s="91"/>
      <c r="DZF22" s="89"/>
      <c r="DZH22" s="91"/>
      <c r="DZK22" s="89"/>
      <c r="DZM22" s="91"/>
      <c r="DZP22" s="89"/>
      <c r="DZR22" s="91"/>
      <c r="DZU22" s="89"/>
      <c r="DZW22" s="91"/>
      <c r="DZZ22" s="89"/>
      <c r="EAB22" s="91"/>
      <c r="EAE22" s="89"/>
      <c r="EAG22" s="91"/>
      <c r="EAJ22" s="89"/>
      <c r="EAL22" s="91"/>
      <c r="EAO22" s="89"/>
      <c r="EAQ22" s="91"/>
      <c r="EAT22" s="89"/>
      <c r="EAV22" s="91"/>
      <c r="EAY22" s="89"/>
      <c r="EBA22" s="91"/>
      <c r="EBD22" s="89"/>
      <c r="EBF22" s="91"/>
      <c r="EBI22" s="89"/>
      <c r="EBK22" s="91"/>
      <c r="EBN22" s="89"/>
      <c r="EBP22" s="91"/>
      <c r="EBS22" s="89"/>
      <c r="EBU22" s="91"/>
      <c r="EBX22" s="89"/>
      <c r="EBZ22" s="91"/>
      <c r="ECC22" s="89"/>
      <c r="ECE22" s="91"/>
      <c r="ECH22" s="89"/>
      <c r="ECJ22" s="91"/>
      <c r="ECM22" s="89"/>
      <c r="ECO22" s="91"/>
      <c r="ECR22" s="89"/>
      <c r="ECT22" s="91"/>
      <c r="ECW22" s="89"/>
      <c r="ECY22" s="91"/>
      <c r="EDB22" s="89"/>
      <c r="EDD22" s="91"/>
      <c r="EDG22" s="89"/>
      <c r="EDI22" s="91"/>
      <c r="EDL22" s="89"/>
      <c r="EDN22" s="91"/>
      <c r="EDQ22" s="89"/>
      <c r="EDS22" s="91"/>
      <c r="EDV22" s="89"/>
      <c r="EDX22" s="91"/>
      <c r="EEA22" s="89"/>
      <c r="EEC22" s="91"/>
      <c r="EEF22" s="89"/>
      <c r="EEH22" s="91"/>
      <c r="EEK22" s="89"/>
      <c r="EEM22" s="91"/>
      <c r="EEP22" s="89"/>
      <c r="EER22" s="91"/>
      <c r="EEU22" s="89"/>
      <c r="EEW22" s="91"/>
      <c r="EEZ22" s="89"/>
      <c r="EFB22" s="91"/>
      <c r="EFE22" s="89"/>
      <c r="EFG22" s="91"/>
      <c r="EFJ22" s="89"/>
      <c r="EFL22" s="91"/>
      <c r="EFO22" s="89"/>
      <c r="EFQ22" s="91"/>
      <c r="EFT22" s="89"/>
      <c r="EFV22" s="91"/>
      <c r="EFY22" s="89"/>
      <c r="EGA22" s="91"/>
      <c r="EGD22" s="89"/>
      <c r="EGF22" s="91"/>
      <c r="EGI22" s="89"/>
      <c r="EGK22" s="91"/>
      <c r="EGN22" s="89"/>
      <c r="EGP22" s="91"/>
      <c r="EGS22" s="89"/>
      <c r="EGU22" s="91"/>
      <c r="EGX22" s="89"/>
      <c r="EGZ22" s="91"/>
      <c r="EHC22" s="89"/>
      <c r="EHE22" s="91"/>
      <c r="EHH22" s="89"/>
      <c r="EHJ22" s="91"/>
      <c r="EHM22" s="89"/>
      <c r="EHO22" s="91"/>
      <c r="EHR22" s="89"/>
      <c r="EHT22" s="91"/>
      <c r="EHW22" s="89"/>
      <c r="EHY22" s="91"/>
      <c r="EIB22" s="89"/>
      <c r="EID22" s="91"/>
      <c r="EIG22" s="89"/>
      <c r="EII22" s="91"/>
      <c r="EIL22" s="89"/>
      <c r="EIN22" s="91"/>
      <c r="EIQ22" s="89"/>
      <c r="EIS22" s="91"/>
      <c r="EIV22" s="89"/>
      <c r="EIX22" s="91"/>
      <c r="EJA22" s="89"/>
      <c r="EJC22" s="91"/>
      <c r="EJF22" s="89"/>
      <c r="EJH22" s="91"/>
      <c r="EJK22" s="89"/>
      <c r="EJM22" s="91"/>
      <c r="EJP22" s="89"/>
      <c r="EJR22" s="91"/>
      <c r="EJU22" s="89"/>
      <c r="EJW22" s="91"/>
      <c r="EJZ22" s="89"/>
      <c r="EKB22" s="91"/>
      <c r="EKE22" s="89"/>
      <c r="EKG22" s="91"/>
      <c r="EKJ22" s="89"/>
      <c r="EKL22" s="91"/>
      <c r="EKO22" s="89"/>
      <c r="EKQ22" s="91"/>
      <c r="EKT22" s="89"/>
      <c r="EKV22" s="91"/>
      <c r="EKY22" s="89"/>
      <c r="ELA22" s="91"/>
      <c r="ELD22" s="89"/>
      <c r="ELF22" s="91"/>
      <c r="ELI22" s="89"/>
      <c r="ELK22" s="91"/>
      <c r="ELN22" s="89"/>
      <c r="ELP22" s="91"/>
      <c r="ELS22" s="89"/>
      <c r="ELU22" s="91"/>
      <c r="ELX22" s="89"/>
      <c r="ELZ22" s="91"/>
      <c r="EMC22" s="89"/>
      <c r="EME22" s="91"/>
      <c r="EMH22" s="89"/>
      <c r="EMJ22" s="91"/>
      <c r="EMM22" s="89"/>
      <c r="EMO22" s="91"/>
      <c r="EMR22" s="89"/>
      <c r="EMT22" s="91"/>
      <c r="EMW22" s="89"/>
      <c r="EMY22" s="91"/>
      <c r="ENB22" s="89"/>
      <c r="END22" s="91"/>
      <c r="ENG22" s="89"/>
      <c r="ENI22" s="91"/>
      <c r="ENL22" s="89"/>
      <c r="ENN22" s="91"/>
      <c r="ENQ22" s="89"/>
      <c r="ENS22" s="91"/>
      <c r="ENV22" s="89"/>
      <c r="ENX22" s="91"/>
      <c r="EOA22" s="89"/>
      <c r="EOC22" s="91"/>
      <c r="EOF22" s="89"/>
      <c r="EOH22" s="91"/>
      <c r="EOK22" s="89"/>
      <c r="EOM22" s="91"/>
      <c r="EOP22" s="89"/>
      <c r="EOR22" s="91"/>
      <c r="EOU22" s="89"/>
      <c r="EOW22" s="91"/>
      <c r="EOZ22" s="89"/>
      <c r="EPB22" s="91"/>
      <c r="EPE22" s="89"/>
      <c r="EPG22" s="91"/>
      <c r="EPJ22" s="89"/>
      <c r="EPL22" s="91"/>
      <c r="EPO22" s="89"/>
      <c r="EPQ22" s="91"/>
      <c r="EPT22" s="89"/>
      <c r="EPV22" s="91"/>
      <c r="EPY22" s="89"/>
      <c r="EQA22" s="91"/>
      <c r="EQD22" s="89"/>
      <c r="EQF22" s="91"/>
      <c r="EQI22" s="89"/>
      <c r="EQK22" s="91"/>
      <c r="EQN22" s="89"/>
      <c r="EQP22" s="91"/>
      <c r="EQS22" s="89"/>
      <c r="EQU22" s="91"/>
      <c r="EQX22" s="89"/>
      <c r="EQZ22" s="91"/>
      <c r="ERC22" s="89"/>
      <c r="ERE22" s="91"/>
      <c r="ERH22" s="89"/>
      <c r="ERJ22" s="91"/>
      <c r="ERM22" s="89"/>
      <c r="ERO22" s="91"/>
      <c r="ERR22" s="89"/>
      <c r="ERT22" s="91"/>
      <c r="ERW22" s="89"/>
      <c r="ERY22" s="91"/>
      <c r="ESB22" s="89"/>
      <c r="ESD22" s="91"/>
      <c r="ESG22" s="89"/>
      <c r="ESI22" s="91"/>
      <c r="ESL22" s="89"/>
      <c r="ESN22" s="91"/>
      <c r="ESQ22" s="89"/>
      <c r="ESS22" s="91"/>
      <c r="ESV22" s="89"/>
      <c r="ESX22" s="91"/>
      <c r="ETA22" s="89"/>
      <c r="ETC22" s="91"/>
      <c r="ETF22" s="89"/>
      <c r="ETH22" s="91"/>
      <c r="ETK22" s="89"/>
      <c r="ETM22" s="91"/>
      <c r="ETP22" s="89"/>
      <c r="ETR22" s="91"/>
      <c r="ETU22" s="89"/>
      <c r="ETW22" s="91"/>
      <c r="ETZ22" s="89"/>
      <c r="EUB22" s="91"/>
      <c r="EUE22" s="89"/>
      <c r="EUG22" s="91"/>
      <c r="EUJ22" s="89"/>
      <c r="EUL22" s="91"/>
      <c r="EUO22" s="89"/>
      <c r="EUQ22" s="91"/>
      <c r="EUT22" s="89"/>
      <c r="EUV22" s="91"/>
      <c r="EUY22" s="89"/>
      <c r="EVA22" s="91"/>
      <c r="EVD22" s="89"/>
      <c r="EVF22" s="91"/>
      <c r="EVI22" s="89"/>
      <c r="EVK22" s="91"/>
      <c r="EVN22" s="89"/>
      <c r="EVP22" s="91"/>
      <c r="EVS22" s="89"/>
      <c r="EVU22" s="91"/>
      <c r="EVX22" s="89"/>
      <c r="EVZ22" s="91"/>
      <c r="EWC22" s="89"/>
      <c r="EWE22" s="91"/>
      <c r="EWH22" s="89"/>
      <c r="EWJ22" s="91"/>
      <c r="EWM22" s="89"/>
      <c r="EWO22" s="91"/>
      <c r="EWR22" s="89"/>
      <c r="EWT22" s="91"/>
      <c r="EWW22" s="89"/>
      <c r="EWY22" s="91"/>
      <c r="EXB22" s="89"/>
      <c r="EXD22" s="91"/>
      <c r="EXG22" s="89"/>
      <c r="EXI22" s="91"/>
      <c r="EXL22" s="89"/>
      <c r="EXN22" s="91"/>
      <c r="EXQ22" s="89"/>
      <c r="EXS22" s="91"/>
      <c r="EXV22" s="89"/>
      <c r="EXX22" s="91"/>
      <c r="EYA22" s="89"/>
      <c r="EYC22" s="91"/>
      <c r="EYF22" s="89"/>
      <c r="EYH22" s="91"/>
      <c r="EYK22" s="89"/>
      <c r="EYM22" s="91"/>
      <c r="EYP22" s="89"/>
      <c r="EYR22" s="91"/>
      <c r="EYU22" s="89"/>
      <c r="EYW22" s="91"/>
      <c r="EYZ22" s="89"/>
      <c r="EZB22" s="91"/>
      <c r="EZE22" s="89"/>
      <c r="EZG22" s="91"/>
      <c r="EZJ22" s="89"/>
      <c r="EZL22" s="91"/>
      <c r="EZO22" s="89"/>
      <c r="EZQ22" s="91"/>
      <c r="EZT22" s="89"/>
      <c r="EZV22" s="91"/>
      <c r="EZY22" s="89"/>
      <c r="FAA22" s="91"/>
      <c r="FAD22" s="89"/>
      <c r="FAF22" s="91"/>
      <c r="FAI22" s="89"/>
      <c r="FAK22" s="91"/>
      <c r="FAN22" s="89"/>
      <c r="FAP22" s="91"/>
      <c r="FAS22" s="89"/>
      <c r="FAU22" s="91"/>
      <c r="FAX22" s="89"/>
      <c r="FAZ22" s="91"/>
      <c r="FBC22" s="89"/>
      <c r="FBE22" s="91"/>
      <c r="FBH22" s="89"/>
      <c r="FBJ22" s="91"/>
      <c r="FBM22" s="89"/>
      <c r="FBO22" s="91"/>
      <c r="FBR22" s="89"/>
      <c r="FBT22" s="91"/>
      <c r="FBW22" s="89"/>
      <c r="FBY22" s="91"/>
      <c r="FCB22" s="89"/>
      <c r="FCD22" s="91"/>
      <c r="FCG22" s="89"/>
      <c r="FCI22" s="91"/>
      <c r="FCL22" s="89"/>
      <c r="FCN22" s="91"/>
      <c r="FCQ22" s="89"/>
      <c r="FCS22" s="91"/>
      <c r="FCV22" s="89"/>
      <c r="FCX22" s="91"/>
      <c r="FDA22" s="89"/>
      <c r="FDC22" s="91"/>
      <c r="FDF22" s="89"/>
      <c r="FDH22" s="91"/>
      <c r="FDK22" s="89"/>
      <c r="FDM22" s="91"/>
      <c r="FDP22" s="89"/>
      <c r="FDR22" s="91"/>
      <c r="FDU22" s="89"/>
      <c r="FDW22" s="91"/>
      <c r="FDZ22" s="89"/>
      <c r="FEB22" s="91"/>
      <c r="FEE22" s="89"/>
      <c r="FEG22" s="91"/>
      <c r="FEJ22" s="89"/>
      <c r="FEL22" s="91"/>
      <c r="FEO22" s="89"/>
      <c r="FEQ22" s="91"/>
      <c r="FET22" s="89"/>
      <c r="FEV22" s="91"/>
      <c r="FEY22" s="89"/>
      <c r="FFA22" s="91"/>
      <c r="FFD22" s="89"/>
      <c r="FFF22" s="91"/>
      <c r="FFI22" s="89"/>
      <c r="FFK22" s="91"/>
      <c r="FFN22" s="89"/>
      <c r="FFP22" s="91"/>
      <c r="FFS22" s="89"/>
      <c r="FFU22" s="91"/>
      <c r="FFX22" s="89"/>
      <c r="FFZ22" s="91"/>
      <c r="FGC22" s="89"/>
      <c r="FGE22" s="91"/>
      <c r="FGH22" s="89"/>
      <c r="FGJ22" s="91"/>
      <c r="FGM22" s="89"/>
      <c r="FGO22" s="91"/>
      <c r="FGR22" s="89"/>
      <c r="FGT22" s="91"/>
      <c r="FGW22" s="89"/>
      <c r="FGY22" s="91"/>
      <c r="FHB22" s="89"/>
      <c r="FHD22" s="91"/>
      <c r="FHG22" s="89"/>
      <c r="FHI22" s="91"/>
      <c r="FHL22" s="89"/>
      <c r="FHN22" s="91"/>
      <c r="FHQ22" s="89"/>
      <c r="FHS22" s="91"/>
      <c r="FHV22" s="89"/>
      <c r="FHX22" s="91"/>
      <c r="FIA22" s="89"/>
      <c r="FIC22" s="91"/>
      <c r="FIF22" s="89"/>
      <c r="FIH22" s="91"/>
      <c r="FIK22" s="89"/>
      <c r="FIM22" s="91"/>
      <c r="FIP22" s="89"/>
      <c r="FIR22" s="91"/>
      <c r="FIU22" s="89"/>
      <c r="FIW22" s="91"/>
      <c r="FIZ22" s="89"/>
      <c r="FJB22" s="91"/>
      <c r="FJE22" s="89"/>
      <c r="FJG22" s="91"/>
      <c r="FJJ22" s="89"/>
      <c r="FJL22" s="91"/>
      <c r="FJO22" s="89"/>
      <c r="FJQ22" s="91"/>
      <c r="FJT22" s="89"/>
      <c r="FJV22" s="91"/>
      <c r="FJY22" s="89"/>
      <c r="FKA22" s="91"/>
      <c r="FKD22" s="89"/>
      <c r="FKF22" s="91"/>
      <c r="FKI22" s="89"/>
      <c r="FKK22" s="91"/>
      <c r="FKN22" s="89"/>
      <c r="FKP22" s="91"/>
      <c r="FKS22" s="89"/>
      <c r="FKU22" s="91"/>
      <c r="FKX22" s="89"/>
      <c r="FKZ22" s="91"/>
      <c r="FLC22" s="89"/>
      <c r="FLE22" s="91"/>
      <c r="FLH22" s="89"/>
      <c r="FLJ22" s="91"/>
      <c r="FLM22" s="89"/>
      <c r="FLO22" s="91"/>
      <c r="FLR22" s="89"/>
      <c r="FLT22" s="91"/>
      <c r="FLW22" s="89"/>
      <c r="FLY22" s="91"/>
      <c r="FMB22" s="89"/>
      <c r="FMD22" s="91"/>
      <c r="FMG22" s="89"/>
      <c r="FMI22" s="91"/>
      <c r="FML22" s="89"/>
      <c r="FMN22" s="91"/>
      <c r="FMQ22" s="89"/>
      <c r="FMS22" s="91"/>
      <c r="FMV22" s="89"/>
      <c r="FMX22" s="91"/>
      <c r="FNA22" s="89"/>
      <c r="FNC22" s="91"/>
      <c r="FNF22" s="89"/>
      <c r="FNH22" s="91"/>
      <c r="FNK22" s="89"/>
      <c r="FNM22" s="91"/>
      <c r="FNP22" s="89"/>
      <c r="FNR22" s="91"/>
      <c r="FNU22" s="89"/>
      <c r="FNW22" s="91"/>
      <c r="FNZ22" s="89"/>
      <c r="FOB22" s="91"/>
      <c r="FOE22" s="89"/>
      <c r="FOG22" s="91"/>
      <c r="FOJ22" s="89"/>
      <c r="FOL22" s="91"/>
      <c r="FOO22" s="89"/>
      <c r="FOQ22" s="91"/>
      <c r="FOT22" s="89"/>
      <c r="FOV22" s="91"/>
      <c r="FOY22" s="89"/>
      <c r="FPA22" s="91"/>
      <c r="FPD22" s="89"/>
      <c r="FPF22" s="91"/>
      <c r="FPI22" s="89"/>
      <c r="FPK22" s="91"/>
      <c r="FPN22" s="89"/>
      <c r="FPP22" s="91"/>
      <c r="FPS22" s="89"/>
      <c r="FPU22" s="91"/>
      <c r="FPX22" s="89"/>
      <c r="FPZ22" s="91"/>
      <c r="FQC22" s="89"/>
      <c r="FQE22" s="91"/>
      <c r="FQH22" s="89"/>
      <c r="FQJ22" s="91"/>
      <c r="FQM22" s="89"/>
      <c r="FQO22" s="91"/>
      <c r="FQR22" s="89"/>
      <c r="FQT22" s="91"/>
      <c r="FQW22" s="89"/>
      <c r="FQY22" s="91"/>
      <c r="FRB22" s="89"/>
      <c r="FRD22" s="91"/>
      <c r="FRG22" s="89"/>
      <c r="FRI22" s="91"/>
      <c r="FRL22" s="89"/>
      <c r="FRN22" s="91"/>
      <c r="FRQ22" s="89"/>
      <c r="FRS22" s="91"/>
      <c r="FRV22" s="89"/>
      <c r="FRX22" s="91"/>
      <c r="FSA22" s="89"/>
      <c r="FSC22" s="91"/>
      <c r="FSF22" s="89"/>
      <c r="FSH22" s="91"/>
      <c r="FSK22" s="89"/>
      <c r="FSM22" s="91"/>
      <c r="FSP22" s="89"/>
      <c r="FSR22" s="91"/>
      <c r="FSU22" s="89"/>
      <c r="FSW22" s="91"/>
      <c r="FSZ22" s="89"/>
      <c r="FTB22" s="91"/>
      <c r="FTE22" s="89"/>
      <c r="FTG22" s="91"/>
      <c r="FTJ22" s="89"/>
      <c r="FTL22" s="91"/>
      <c r="FTO22" s="89"/>
      <c r="FTQ22" s="91"/>
      <c r="FTT22" s="89"/>
      <c r="FTV22" s="91"/>
      <c r="FTY22" s="89"/>
      <c r="FUA22" s="91"/>
      <c r="FUD22" s="89"/>
      <c r="FUF22" s="91"/>
      <c r="FUI22" s="89"/>
      <c r="FUK22" s="91"/>
      <c r="FUN22" s="89"/>
      <c r="FUP22" s="91"/>
      <c r="FUS22" s="89"/>
      <c r="FUU22" s="91"/>
      <c r="FUX22" s="89"/>
      <c r="FUZ22" s="91"/>
      <c r="FVC22" s="89"/>
      <c r="FVE22" s="91"/>
      <c r="FVH22" s="89"/>
      <c r="FVJ22" s="91"/>
      <c r="FVM22" s="89"/>
      <c r="FVO22" s="91"/>
      <c r="FVR22" s="89"/>
      <c r="FVT22" s="91"/>
      <c r="FVW22" s="89"/>
      <c r="FVY22" s="91"/>
      <c r="FWB22" s="89"/>
      <c r="FWD22" s="91"/>
      <c r="FWG22" s="89"/>
      <c r="FWI22" s="91"/>
      <c r="FWL22" s="89"/>
      <c r="FWN22" s="91"/>
      <c r="FWQ22" s="89"/>
      <c r="FWS22" s="91"/>
      <c r="FWV22" s="89"/>
      <c r="FWX22" s="91"/>
      <c r="FXA22" s="89"/>
      <c r="FXC22" s="91"/>
      <c r="FXF22" s="89"/>
      <c r="FXH22" s="91"/>
      <c r="FXK22" s="89"/>
      <c r="FXM22" s="91"/>
      <c r="FXP22" s="89"/>
      <c r="FXR22" s="91"/>
      <c r="FXU22" s="89"/>
      <c r="FXW22" s="91"/>
      <c r="FXZ22" s="89"/>
      <c r="FYB22" s="91"/>
      <c r="FYE22" s="89"/>
      <c r="FYG22" s="91"/>
      <c r="FYJ22" s="89"/>
      <c r="FYL22" s="91"/>
      <c r="FYO22" s="89"/>
      <c r="FYQ22" s="91"/>
      <c r="FYT22" s="89"/>
      <c r="FYV22" s="91"/>
      <c r="FYY22" s="89"/>
      <c r="FZA22" s="91"/>
      <c r="FZD22" s="89"/>
      <c r="FZF22" s="91"/>
      <c r="FZI22" s="89"/>
      <c r="FZK22" s="91"/>
      <c r="FZN22" s="89"/>
      <c r="FZP22" s="91"/>
      <c r="FZS22" s="89"/>
      <c r="FZU22" s="91"/>
      <c r="FZX22" s="89"/>
      <c r="FZZ22" s="91"/>
      <c r="GAC22" s="89"/>
      <c r="GAE22" s="91"/>
      <c r="GAH22" s="89"/>
      <c r="GAJ22" s="91"/>
      <c r="GAM22" s="89"/>
      <c r="GAO22" s="91"/>
      <c r="GAR22" s="89"/>
      <c r="GAT22" s="91"/>
      <c r="GAW22" s="89"/>
      <c r="GAY22" s="91"/>
      <c r="GBB22" s="89"/>
      <c r="GBD22" s="91"/>
      <c r="GBG22" s="89"/>
      <c r="GBI22" s="91"/>
      <c r="GBL22" s="89"/>
      <c r="GBN22" s="91"/>
      <c r="GBQ22" s="89"/>
      <c r="GBS22" s="91"/>
      <c r="GBV22" s="89"/>
      <c r="GBX22" s="91"/>
      <c r="GCA22" s="89"/>
      <c r="GCC22" s="91"/>
      <c r="GCF22" s="89"/>
      <c r="GCH22" s="91"/>
      <c r="GCK22" s="89"/>
      <c r="GCM22" s="91"/>
      <c r="GCP22" s="89"/>
      <c r="GCR22" s="91"/>
      <c r="GCU22" s="89"/>
      <c r="GCW22" s="91"/>
      <c r="GCZ22" s="89"/>
      <c r="GDB22" s="91"/>
      <c r="GDE22" s="89"/>
      <c r="GDG22" s="91"/>
      <c r="GDJ22" s="89"/>
      <c r="GDL22" s="91"/>
      <c r="GDO22" s="89"/>
      <c r="GDQ22" s="91"/>
      <c r="GDT22" s="89"/>
      <c r="GDV22" s="91"/>
      <c r="GDY22" s="89"/>
      <c r="GEA22" s="91"/>
      <c r="GED22" s="89"/>
      <c r="GEF22" s="91"/>
      <c r="GEI22" s="89"/>
      <c r="GEK22" s="91"/>
      <c r="GEN22" s="89"/>
      <c r="GEP22" s="91"/>
      <c r="GES22" s="89"/>
      <c r="GEU22" s="91"/>
      <c r="GEX22" s="89"/>
      <c r="GEZ22" s="91"/>
      <c r="GFC22" s="89"/>
      <c r="GFE22" s="91"/>
      <c r="GFH22" s="89"/>
      <c r="GFJ22" s="91"/>
      <c r="GFM22" s="89"/>
      <c r="GFO22" s="91"/>
      <c r="GFR22" s="89"/>
      <c r="GFT22" s="91"/>
      <c r="GFW22" s="89"/>
      <c r="GFY22" s="91"/>
      <c r="GGB22" s="89"/>
      <c r="GGD22" s="91"/>
      <c r="GGG22" s="89"/>
      <c r="GGI22" s="91"/>
      <c r="GGL22" s="89"/>
      <c r="GGN22" s="91"/>
      <c r="GGQ22" s="89"/>
      <c r="GGS22" s="91"/>
      <c r="GGV22" s="89"/>
      <c r="GGX22" s="91"/>
      <c r="GHA22" s="89"/>
      <c r="GHC22" s="91"/>
      <c r="GHF22" s="89"/>
      <c r="GHH22" s="91"/>
      <c r="GHK22" s="89"/>
      <c r="GHM22" s="91"/>
      <c r="GHP22" s="89"/>
      <c r="GHR22" s="91"/>
      <c r="GHU22" s="89"/>
      <c r="GHW22" s="91"/>
      <c r="GHZ22" s="89"/>
      <c r="GIB22" s="91"/>
      <c r="GIE22" s="89"/>
      <c r="GIG22" s="91"/>
      <c r="GIJ22" s="89"/>
      <c r="GIL22" s="91"/>
      <c r="GIO22" s="89"/>
      <c r="GIQ22" s="91"/>
      <c r="GIT22" s="89"/>
      <c r="GIV22" s="91"/>
      <c r="GIY22" s="89"/>
      <c r="GJA22" s="91"/>
      <c r="GJD22" s="89"/>
      <c r="GJF22" s="91"/>
      <c r="GJI22" s="89"/>
      <c r="GJK22" s="91"/>
      <c r="GJN22" s="89"/>
      <c r="GJP22" s="91"/>
      <c r="GJS22" s="89"/>
      <c r="GJU22" s="91"/>
      <c r="GJX22" s="89"/>
      <c r="GJZ22" s="91"/>
      <c r="GKC22" s="89"/>
      <c r="GKE22" s="91"/>
      <c r="GKH22" s="89"/>
      <c r="GKJ22" s="91"/>
      <c r="GKM22" s="89"/>
      <c r="GKO22" s="91"/>
      <c r="GKR22" s="89"/>
      <c r="GKT22" s="91"/>
      <c r="GKW22" s="89"/>
      <c r="GKY22" s="91"/>
      <c r="GLB22" s="89"/>
      <c r="GLD22" s="91"/>
      <c r="GLG22" s="89"/>
      <c r="GLI22" s="91"/>
      <c r="GLL22" s="89"/>
      <c r="GLN22" s="91"/>
      <c r="GLQ22" s="89"/>
      <c r="GLS22" s="91"/>
      <c r="GLV22" s="89"/>
      <c r="GLX22" s="91"/>
      <c r="GMA22" s="89"/>
      <c r="GMC22" s="91"/>
      <c r="GMF22" s="89"/>
      <c r="GMH22" s="91"/>
      <c r="GMK22" s="89"/>
      <c r="GMM22" s="91"/>
      <c r="GMP22" s="89"/>
      <c r="GMR22" s="91"/>
      <c r="GMU22" s="89"/>
      <c r="GMW22" s="91"/>
      <c r="GMZ22" s="89"/>
      <c r="GNB22" s="91"/>
      <c r="GNE22" s="89"/>
      <c r="GNG22" s="91"/>
      <c r="GNJ22" s="89"/>
      <c r="GNL22" s="91"/>
      <c r="GNO22" s="89"/>
      <c r="GNQ22" s="91"/>
      <c r="GNT22" s="89"/>
      <c r="GNV22" s="91"/>
      <c r="GNY22" s="89"/>
      <c r="GOA22" s="91"/>
      <c r="GOD22" s="89"/>
      <c r="GOF22" s="91"/>
      <c r="GOI22" s="89"/>
      <c r="GOK22" s="91"/>
      <c r="GON22" s="89"/>
      <c r="GOP22" s="91"/>
      <c r="GOS22" s="89"/>
      <c r="GOU22" s="91"/>
      <c r="GOX22" s="89"/>
      <c r="GOZ22" s="91"/>
      <c r="GPC22" s="89"/>
      <c r="GPE22" s="91"/>
      <c r="GPH22" s="89"/>
      <c r="GPJ22" s="91"/>
      <c r="GPM22" s="89"/>
      <c r="GPO22" s="91"/>
      <c r="GPR22" s="89"/>
      <c r="GPT22" s="91"/>
      <c r="GPW22" s="89"/>
      <c r="GPY22" s="91"/>
      <c r="GQB22" s="89"/>
      <c r="GQD22" s="91"/>
      <c r="GQG22" s="89"/>
      <c r="GQI22" s="91"/>
      <c r="GQL22" s="89"/>
      <c r="GQN22" s="91"/>
      <c r="GQQ22" s="89"/>
      <c r="GQS22" s="91"/>
      <c r="GQV22" s="89"/>
      <c r="GQX22" s="91"/>
      <c r="GRA22" s="89"/>
      <c r="GRC22" s="91"/>
      <c r="GRF22" s="89"/>
      <c r="GRH22" s="91"/>
      <c r="GRK22" s="89"/>
      <c r="GRM22" s="91"/>
      <c r="GRP22" s="89"/>
      <c r="GRR22" s="91"/>
      <c r="GRU22" s="89"/>
      <c r="GRW22" s="91"/>
      <c r="GRZ22" s="89"/>
      <c r="GSB22" s="91"/>
      <c r="GSE22" s="89"/>
      <c r="GSG22" s="91"/>
      <c r="GSJ22" s="89"/>
      <c r="GSL22" s="91"/>
      <c r="GSO22" s="89"/>
      <c r="GSQ22" s="91"/>
      <c r="GST22" s="89"/>
      <c r="GSV22" s="91"/>
      <c r="GSY22" s="89"/>
      <c r="GTA22" s="91"/>
      <c r="GTD22" s="89"/>
      <c r="GTF22" s="91"/>
      <c r="GTI22" s="89"/>
      <c r="GTK22" s="91"/>
      <c r="GTN22" s="89"/>
      <c r="GTP22" s="91"/>
      <c r="GTS22" s="89"/>
      <c r="GTU22" s="91"/>
      <c r="GTX22" s="89"/>
      <c r="GTZ22" s="91"/>
      <c r="GUC22" s="89"/>
      <c r="GUE22" s="91"/>
      <c r="GUH22" s="89"/>
      <c r="GUJ22" s="91"/>
      <c r="GUM22" s="89"/>
      <c r="GUO22" s="91"/>
      <c r="GUR22" s="89"/>
      <c r="GUT22" s="91"/>
      <c r="GUW22" s="89"/>
      <c r="GUY22" s="91"/>
      <c r="GVB22" s="89"/>
      <c r="GVD22" s="91"/>
      <c r="GVG22" s="89"/>
      <c r="GVI22" s="91"/>
      <c r="GVL22" s="89"/>
      <c r="GVN22" s="91"/>
      <c r="GVQ22" s="89"/>
      <c r="GVS22" s="91"/>
      <c r="GVV22" s="89"/>
      <c r="GVX22" s="91"/>
      <c r="GWA22" s="89"/>
      <c r="GWC22" s="91"/>
      <c r="GWF22" s="89"/>
      <c r="GWH22" s="91"/>
      <c r="GWK22" s="89"/>
      <c r="GWM22" s="91"/>
      <c r="GWP22" s="89"/>
      <c r="GWR22" s="91"/>
      <c r="GWU22" s="89"/>
      <c r="GWW22" s="91"/>
      <c r="GWZ22" s="89"/>
      <c r="GXB22" s="91"/>
      <c r="GXE22" s="89"/>
      <c r="GXG22" s="91"/>
      <c r="GXJ22" s="89"/>
      <c r="GXL22" s="91"/>
      <c r="GXO22" s="89"/>
      <c r="GXQ22" s="91"/>
      <c r="GXT22" s="89"/>
      <c r="GXV22" s="91"/>
      <c r="GXY22" s="89"/>
      <c r="GYA22" s="91"/>
      <c r="GYD22" s="89"/>
      <c r="GYF22" s="91"/>
      <c r="GYI22" s="89"/>
      <c r="GYK22" s="91"/>
      <c r="GYN22" s="89"/>
      <c r="GYP22" s="91"/>
      <c r="GYS22" s="89"/>
      <c r="GYU22" s="91"/>
      <c r="GYX22" s="89"/>
      <c r="GYZ22" s="91"/>
      <c r="GZC22" s="89"/>
      <c r="GZE22" s="91"/>
      <c r="GZH22" s="89"/>
      <c r="GZJ22" s="91"/>
      <c r="GZM22" s="89"/>
      <c r="GZO22" s="91"/>
      <c r="GZR22" s="89"/>
      <c r="GZT22" s="91"/>
      <c r="GZW22" s="89"/>
      <c r="GZY22" s="91"/>
      <c r="HAB22" s="89"/>
      <c r="HAD22" s="91"/>
      <c r="HAG22" s="89"/>
      <c r="HAI22" s="91"/>
      <c r="HAL22" s="89"/>
      <c r="HAN22" s="91"/>
      <c r="HAQ22" s="89"/>
      <c r="HAS22" s="91"/>
      <c r="HAV22" s="89"/>
      <c r="HAX22" s="91"/>
      <c r="HBA22" s="89"/>
      <c r="HBC22" s="91"/>
      <c r="HBF22" s="89"/>
      <c r="HBH22" s="91"/>
      <c r="HBK22" s="89"/>
      <c r="HBM22" s="91"/>
      <c r="HBP22" s="89"/>
      <c r="HBR22" s="91"/>
      <c r="HBU22" s="89"/>
      <c r="HBW22" s="91"/>
      <c r="HBZ22" s="89"/>
      <c r="HCB22" s="91"/>
      <c r="HCE22" s="89"/>
      <c r="HCG22" s="91"/>
      <c r="HCJ22" s="89"/>
      <c r="HCL22" s="91"/>
      <c r="HCO22" s="89"/>
      <c r="HCQ22" s="91"/>
      <c r="HCT22" s="89"/>
      <c r="HCV22" s="91"/>
      <c r="HCY22" s="89"/>
      <c r="HDA22" s="91"/>
      <c r="HDD22" s="89"/>
      <c r="HDF22" s="91"/>
      <c r="HDI22" s="89"/>
      <c r="HDK22" s="91"/>
      <c r="HDN22" s="89"/>
      <c r="HDP22" s="91"/>
      <c r="HDS22" s="89"/>
      <c r="HDU22" s="91"/>
      <c r="HDX22" s="89"/>
      <c r="HDZ22" s="91"/>
      <c r="HEC22" s="89"/>
      <c r="HEE22" s="91"/>
      <c r="HEH22" s="89"/>
      <c r="HEJ22" s="91"/>
      <c r="HEM22" s="89"/>
      <c r="HEO22" s="91"/>
      <c r="HER22" s="89"/>
      <c r="HET22" s="91"/>
      <c r="HEW22" s="89"/>
      <c r="HEY22" s="91"/>
      <c r="HFB22" s="89"/>
      <c r="HFD22" s="91"/>
      <c r="HFG22" s="89"/>
      <c r="HFI22" s="91"/>
      <c r="HFL22" s="89"/>
      <c r="HFN22" s="91"/>
      <c r="HFQ22" s="89"/>
      <c r="HFS22" s="91"/>
      <c r="HFV22" s="89"/>
      <c r="HFX22" s="91"/>
      <c r="HGA22" s="89"/>
      <c r="HGC22" s="91"/>
      <c r="HGF22" s="89"/>
      <c r="HGH22" s="91"/>
      <c r="HGK22" s="89"/>
      <c r="HGM22" s="91"/>
      <c r="HGP22" s="89"/>
      <c r="HGR22" s="91"/>
      <c r="HGU22" s="89"/>
      <c r="HGW22" s="91"/>
      <c r="HGZ22" s="89"/>
      <c r="HHB22" s="91"/>
      <c r="HHE22" s="89"/>
      <c r="HHG22" s="91"/>
      <c r="HHJ22" s="89"/>
      <c r="HHL22" s="91"/>
      <c r="HHO22" s="89"/>
      <c r="HHQ22" s="91"/>
      <c r="HHT22" s="89"/>
      <c r="HHV22" s="91"/>
      <c r="HHY22" s="89"/>
      <c r="HIA22" s="91"/>
      <c r="HID22" s="89"/>
      <c r="HIF22" s="91"/>
      <c r="HII22" s="89"/>
      <c r="HIK22" s="91"/>
      <c r="HIN22" s="89"/>
      <c r="HIP22" s="91"/>
      <c r="HIS22" s="89"/>
      <c r="HIU22" s="91"/>
      <c r="HIX22" s="89"/>
      <c r="HIZ22" s="91"/>
      <c r="HJC22" s="89"/>
      <c r="HJE22" s="91"/>
      <c r="HJH22" s="89"/>
      <c r="HJJ22" s="91"/>
      <c r="HJM22" s="89"/>
      <c r="HJO22" s="91"/>
      <c r="HJR22" s="89"/>
      <c r="HJT22" s="91"/>
      <c r="HJW22" s="89"/>
      <c r="HJY22" s="91"/>
      <c r="HKB22" s="89"/>
      <c r="HKD22" s="91"/>
      <c r="HKG22" s="89"/>
      <c r="HKI22" s="91"/>
      <c r="HKL22" s="89"/>
      <c r="HKN22" s="91"/>
      <c r="HKQ22" s="89"/>
      <c r="HKS22" s="91"/>
      <c r="HKV22" s="89"/>
      <c r="HKX22" s="91"/>
      <c r="HLA22" s="89"/>
      <c r="HLC22" s="91"/>
      <c r="HLF22" s="89"/>
      <c r="HLH22" s="91"/>
      <c r="HLK22" s="89"/>
      <c r="HLM22" s="91"/>
      <c r="HLP22" s="89"/>
      <c r="HLR22" s="91"/>
      <c r="HLU22" s="89"/>
      <c r="HLW22" s="91"/>
      <c r="HLZ22" s="89"/>
      <c r="HMB22" s="91"/>
      <c r="HME22" s="89"/>
      <c r="HMG22" s="91"/>
      <c r="HMJ22" s="89"/>
      <c r="HML22" s="91"/>
      <c r="HMO22" s="89"/>
      <c r="HMQ22" s="91"/>
      <c r="HMT22" s="89"/>
      <c r="HMV22" s="91"/>
      <c r="HMY22" s="89"/>
      <c r="HNA22" s="91"/>
      <c r="HND22" s="89"/>
      <c r="HNF22" s="91"/>
      <c r="HNI22" s="89"/>
      <c r="HNK22" s="91"/>
      <c r="HNN22" s="89"/>
      <c r="HNP22" s="91"/>
      <c r="HNS22" s="89"/>
      <c r="HNU22" s="91"/>
      <c r="HNX22" s="89"/>
      <c r="HNZ22" s="91"/>
      <c r="HOC22" s="89"/>
      <c r="HOE22" s="91"/>
      <c r="HOH22" s="89"/>
      <c r="HOJ22" s="91"/>
      <c r="HOM22" s="89"/>
      <c r="HOO22" s="91"/>
      <c r="HOR22" s="89"/>
      <c r="HOT22" s="91"/>
      <c r="HOW22" s="89"/>
      <c r="HOY22" s="91"/>
      <c r="HPB22" s="89"/>
      <c r="HPD22" s="91"/>
      <c r="HPG22" s="89"/>
      <c r="HPI22" s="91"/>
      <c r="HPL22" s="89"/>
      <c r="HPN22" s="91"/>
      <c r="HPQ22" s="89"/>
      <c r="HPS22" s="91"/>
      <c r="HPV22" s="89"/>
      <c r="HPX22" s="91"/>
      <c r="HQA22" s="89"/>
      <c r="HQC22" s="91"/>
      <c r="HQF22" s="89"/>
      <c r="HQH22" s="91"/>
      <c r="HQK22" s="89"/>
      <c r="HQM22" s="91"/>
      <c r="HQP22" s="89"/>
      <c r="HQR22" s="91"/>
      <c r="HQU22" s="89"/>
      <c r="HQW22" s="91"/>
      <c r="HQZ22" s="89"/>
      <c r="HRB22" s="91"/>
      <c r="HRE22" s="89"/>
      <c r="HRG22" s="91"/>
      <c r="HRJ22" s="89"/>
      <c r="HRL22" s="91"/>
      <c r="HRO22" s="89"/>
      <c r="HRQ22" s="91"/>
      <c r="HRT22" s="89"/>
      <c r="HRV22" s="91"/>
      <c r="HRY22" s="89"/>
      <c r="HSA22" s="91"/>
      <c r="HSD22" s="89"/>
      <c r="HSF22" s="91"/>
      <c r="HSI22" s="89"/>
      <c r="HSK22" s="91"/>
      <c r="HSN22" s="89"/>
      <c r="HSP22" s="91"/>
      <c r="HSS22" s="89"/>
      <c r="HSU22" s="91"/>
      <c r="HSX22" s="89"/>
      <c r="HSZ22" s="91"/>
      <c r="HTC22" s="89"/>
      <c r="HTE22" s="91"/>
      <c r="HTH22" s="89"/>
      <c r="HTJ22" s="91"/>
      <c r="HTM22" s="89"/>
      <c r="HTO22" s="91"/>
      <c r="HTR22" s="89"/>
      <c r="HTT22" s="91"/>
      <c r="HTW22" s="89"/>
      <c r="HTY22" s="91"/>
      <c r="HUB22" s="89"/>
      <c r="HUD22" s="91"/>
      <c r="HUG22" s="89"/>
      <c r="HUI22" s="91"/>
      <c r="HUL22" s="89"/>
      <c r="HUN22" s="91"/>
      <c r="HUQ22" s="89"/>
      <c r="HUS22" s="91"/>
      <c r="HUV22" s="89"/>
      <c r="HUX22" s="91"/>
      <c r="HVA22" s="89"/>
      <c r="HVC22" s="91"/>
      <c r="HVF22" s="89"/>
      <c r="HVH22" s="91"/>
      <c r="HVK22" s="89"/>
      <c r="HVM22" s="91"/>
      <c r="HVP22" s="89"/>
      <c r="HVR22" s="91"/>
      <c r="HVU22" s="89"/>
      <c r="HVW22" s="91"/>
      <c r="HVZ22" s="89"/>
      <c r="HWB22" s="91"/>
      <c r="HWE22" s="89"/>
      <c r="HWG22" s="91"/>
      <c r="HWJ22" s="89"/>
      <c r="HWL22" s="91"/>
      <c r="HWO22" s="89"/>
      <c r="HWQ22" s="91"/>
      <c r="HWT22" s="89"/>
      <c r="HWV22" s="91"/>
      <c r="HWY22" s="89"/>
      <c r="HXA22" s="91"/>
      <c r="HXD22" s="89"/>
      <c r="HXF22" s="91"/>
      <c r="HXI22" s="89"/>
      <c r="HXK22" s="91"/>
      <c r="HXN22" s="89"/>
      <c r="HXP22" s="91"/>
      <c r="HXS22" s="89"/>
      <c r="HXU22" s="91"/>
      <c r="HXX22" s="89"/>
      <c r="HXZ22" s="91"/>
      <c r="HYC22" s="89"/>
      <c r="HYE22" s="91"/>
      <c r="HYH22" s="89"/>
      <c r="HYJ22" s="91"/>
      <c r="HYM22" s="89"/>
      <c r="HYO22" s="91"/>
      <c r="HYR22" s="89"/>
      <c r="HYT22" s="91"/>
      <c r="HYW22" s="89"/>
      <c r="HYY22" s="91"/>
      <c r="HZB22" s="89"/>
      <c r="HZD22" s="91"/>
      <c r="HZG22" s="89"/>
      <c r="HZI22" s="91"/>
      <c r="HZL22" s="89"/>
      <c r="HZN22" s="91"/>
      <c r="HZQ22" s="89"/>
      <c r="HZS22" s="91"/>
      <c r="HZV22" s="89"/>
      <c r="HZX22" s="91"/>
      <c r="IAA22" s="89"/>
      <c r="IAC22" s="91"/>
      <c r="IAF22" s="89"/>
      <c r="IAH22" s="91"/>
      <c r="IAK22" s="89"/>
      <c r="IAM22" s="91"/>
      <c r="IAP22" s="89"/>
      <c r="IAR22" s="91"/>
      <c r="IAU22" s="89"/>
      <c r="IAW22" s="91"/>
      <c r="IAZ22" s="89"/>
      <c r="IBB22" s="91"/>
      <c r="IBE22" s="89"/>
      <c r="IBG22" s="91"/>
      <c r="IBJ22" s="89"/>
      <c r="IBL22" s="91"/>
      <c r="IBO22" s="89"/>
      <c r="IBQ22" s="91"/>
      <c r="IBT22" s="89"/>
      <c r="IBV22" s="91"/>
      <c r="IBY22" s="89"/>
      <c r="ICA22" s="91"/>
      <c r="ICD22" s="89"/>
      <c r="ICF22" s="91"/>
      <c r="ICI22" s="89"/>
      <c r="ICK22" s="91"/>
      <c r="ICN22" s="89"/>
      <c r="ICP22" s="91"/>
      <c r="ICS22" s="89"/>
      <c r="ICU22" s="91"/>
      <c r="ICX22" s="89"/>
      <c r="ICZ22" s="91"/>
      <c r="IDC22" s="89"/>
      <c r="IDE22" s="91"/>
      <c r="IDH22" s="89"/>
      <c r="IDJ22" s="91"/>
      <c r="IDM22" s="89"/>
      <c r="IDO22" s="91"/>
      <c r="IDR22" s="89"/>
      <c r="IDT22" s="91"/>
      <c r="IDW22" s="89"/>
      <c r="IDY22" s="91"/>
      <c r="IEB22" s="89"/>
      <c r="IED22" s="91"/>
      <c r="IEG22" s="89"/>
      <c r="IEI22" s="91"/>
      <c r="IEL22" s="89"/>
      <c r="IEN22" s="91"/>
      <c r="IEQ22" s="89"/>
      <c r="IES22" s="91"/>
      <c r="IEV22" s="89"/>
      <c r="IEX22" s="91"/>
      <c r="IFA22" s="89"/>
      <c r="IFC22" s="91"/>
      <c r="IFF22" s="89"/>
      <c r="IFH22" s="91"/>
      <c r="IFK22" s="89"/>
      <c r="IFM22" s="91"/>
      <c r="IFP22" s="89"/>
      <c r="IFR22" s="91"/>
      <c r="IFU22" s="89"/>
      <c r="IFW22" s="91"/>
      <c r="IFZ22" s="89"/>
      <c r="IGB22" s="91"/>
      <c r="IGE22" s="89"/>
      <c r="IGG22" s="91"/>
      <c r="IGJ22" s="89"/>
      <c r="IGL22" s="91"/>
      <c r="IGO22" s="89"/>
      <c r="IGQ22" s="91"/>
      <c r="IGT22" s="89"/>
      <c r="IGV22" s="91"/>
      <c r="IGY22" s="89"/>
      <c r="IHA22" s="91"/>
      <c r="IHD22" s="89"/>
      <c r="IHF22" s="91"/>
      <c r="IHI22" s="89"/>
      <c r="IHK22" s="91"/>
      <c r="IHN22" s="89"/>
      <c r="IHP22" s="91"/>
      <c r="IHS22" s="89"/>
      <c r="IHU22" s="91"/>
      <c r="IHX22" s="89"/>
      <c r="IHZ22" s="91"/>
      <c r="IIC22" s="89"/>
      <c r="IIE22" s="91"/>
      <c r="IIH22" s="89"/>
      <c r="IIJ22" s="91"/>
      <c r="IIM22" s="89"/>
      <c r="IIO22" s="91"/>
      <c r="IIR22" s="89"/>
      <c r="IIT22" s="91"/>
      <c r="IIW22" s="89"/>
      <c r="IIY22" s="91"/>
      <c r="IJB22" s="89"/>
      <c r="IJD22" s="91"/>
      <c r="IJG22" s="89"/>
      <c r="IJI22" s="91"/>
      <c r="IJL22" s="89"/>
      <c r="IJN22" s="91"/>
      <c r="IJQ22" s="89"/>
      <c r="IJS22" s="91"/>
      <c r="IJV22" s="89"/>
      <c r="IJX22" s="91"/>
      <c r="IKA22" s="89"/>
      <c r="IKC22" s="91"/>
      <c r="IKF22" s="89"/>
      <c r="IKH22" s="91"/>
      <c r="IKK22" s="89"/>
      <c r="IKM22" s="91"/>
      <c r="IKP22" s="89"/>
      <c r="IKR22" s="91"/>
      <c r="IKU22" s="89"/>
      <c r="IKW22" s="91"/>
      <c r="IKZ22" s="89"/>
      <c r="ILB22" s="91"/>
      <c r="ILE22" s="89"/>
      <c r="ILG22" s="91"/>
      <c r="ILJ22" s="89"/>
      <c r="ILL22" s="91"/>
      <c r="ILO22" s="89"/>
      <c r="ILQ22" s="91"/>
      <c r="ILT22" s="89"/>
      <c r="ILV22" s="91"/>
      <c r="ILY22" s="89"/>
      <c r="IMA22" s="91"/>
      <c r="IMD22" s="89"/>
      <c r="IMF22" s="91"/>
      <c r="IMI22" s="89"/>
      <c r="IMK22" s="91"/>
      <c r="IMN22" s="89"/>
      <c r="IMP22" s="91"/>
      <c r="IMS22" s="89"/>
      <c r="IMU22" s="91"/>
      <c r="IMX22" s="89"/>
      <c r="IMZ22" s="91"/>
      <c r="INC22" s="89"/>
      <c r="INE22" s="91"/>
      <c r="INH22" s="89"/>
      <c r="INJ22" s="91"/>
      <c r="INM22" s="89"/>
      <c r="INO22" s="91"/>
      <c r="INR22" s="89"/>
      <c r="INT22" s="91"/>
      <c r="INW22" s="89"/>
      <c r="INY22" s="91"/>
      <c r="IOB22" s="89"/>
      <c r="IOD22" s="91"/>
      <c r="IOG22" s="89"/>
      <c r="IOI22" s="91"/>
      <c r="IOL22" s="89"/>
      <c r="ION22" s="91"/>
      <c r="IOQ22" s="89"/>
      <c r="IOS22" s="91"/>
      <c r="IOV22" s="89"/>
      <c r="IOX22" s="91"/>
      <c r="IPA22" s="89"/>
      <c r="IPC22" s="91"/>
      <c r="IPF22" s="89"/>
      <c r="IPH22" s="91"/>
      <c r="IPK22" s="89"/>
      <c r="IPM22" s="91"/>
      <c r="IPP22" s="89"/>
      <c r="IPR22" s="91"/>
      <c r="IPU22" s="89"/>
      <c r="IPW22" s="91"/>
      <c r="IPZ22" s="89"/>
      <c r="IQB22" s="91"/>
      <c r="IQE22" s="89"/>
      <c r="IQG22" s="91"/>
      <c r="IQJ22" s="89"/>
      <c r="IQL22" s="91"/>
      <c r="IQO22" s="89"/>
      <c r="IQQ22" s="91"/>
      <c r="IQT22" s="89"/>
      <c r="IQV22" s="91"/>
      <c r="IQY22" s="89"/>
      <c r="IRA22" s="91"/>
      <c r="IRD22" s="89"/>
      <c r="IRF22" s="91"/>
      <c r="IRI22" s="89"/>
      <c r="IRK22" s="91"/>
      <c r="IRN22" s="89"/>
      <c r="IRP22" s="91"/>
      <c r="IRS22" s="89"/>
      <c r="IRU22" s="91"/>
      <c r="IRX22" s="89"/>
      <c r="IRZ22" s="91"/>
      <c r="ISC22" s="89"/>
      <c r="ISE22" s="91"/>
      <c r="ISH22" s="89"/>
      <c r="ISJ22" s="91"/>
      <c r="ISM22" s="89"/>
      <c r="ISO22" s="91"/>
      <c r="ISR22" s="89"/>
      <c r="IST22" s="91"/>
      <c r="ISW22" s="89"/>
      <c r="ISY22" s="91"/>
      <c r="ITB22" s="89"/>
      <c r="ITD22" s="91"/>
      <c r="ITG22" s="89"/>
      <c r="ITI22" s="91"/>
      <c r="ITL22" s="89"/>
      <c r="ITN22" s="91"/>
      <c r="ITQ22" s="89"/>
      <c r="ITS22" s="91"/>
      <c r="ITV22" s="89"/>
      <c r="ITX22" s="91"/>
      <c r="IUA22" s="89"/>
      <c r="IUC22" s="91"/>
      <c r="IUF22" s="89"/>
      <c r="IUH22" s="91"/>
      <c r="IUK22" s="89"/>
      <c r="IUM22" s="91"/>
      <c r="IUP22" s="89"/>
      <c r="IUR22" s="91"/>
      <c r="IUU22" s="89"/>
      <c r="IUW22" s="91"/>
      <c r="IUZ22" s="89"/>
      <c r="IVB22" s="91"/>
      <c r="IVE22" s="89"/>
      <c r="IVG22" s="91"/>
      <c r="IVJ22" s="89"/>
      <c r="IVL22" s="91"/>
      <c r="IVO22" s="89"/>
      <c r="IVQ22" s="91"/>
      <c r="IVT22" s="89"/>
      <c r="IVV22" s="91"/>
      <c r="IVY22" s="89"/>
      <c r="IWA22" s="91"/>
      <c r="IWD22" s="89"/>
      <c r="IWF22" s="91"/>
      <c r="IWI22" s="89"/>
      <c r="IWK22" s="91"/>
      <c r="IWN22" s="89"/>
      <c r="IWP22" s="91"/>
      <c r="IWS22" s="89"/>
      <c r="IWU22" s="91"/>
      <c r="IWX22" s="89"/>
      <c r="IWZ22" s="91"/>
      <c r="IXC22" s="89"/>
      <c r="IXE22" s="91"/>
      <c r="IXH22" s="89"/>
      <c r="IXJ22" s="91"/>
      <c r="IXM22" s="89"/>
      <c r="IXO22" s="91"/>
      <c r="IXR22" s="89"/>
      <c r="IXT22" s="91"/>
      <c r="IXW22" s="89"/>
      <c r="IXY22" s="91"/>
      <c r="IYB22" s="89"/>
      <c r="IYD22" s="91"/>
      <c r="IYG22" s="89"/>
      <c r="IYI22" s="91"/>
      <c r="IYL22" s="89"/>
      <c r="IYN22" s="91"/>
      <c r="IYQ22" s="89"/>
      <c r="IYS22" s="91"/>
      <c r="IYV22" s="89"/>
      <c r="IYX22" s="91"/>
      <c r="IZA22" s="89"/>
      <c r="IZC22" s="91"/>
      <c r="IZF22" s="89"/>
      <c r="IZH22" s="91"/>
      <c r="IZK22" s="89"/>
      <c r="IZM22" s="91"/>
      <c r="IZP22" s="89"/>
      <c r="IZR22" s="91"/>
      <c r="IZU22" s="89"/>
      <c r="IZW22" s="91"/>
      <c r="IZZ22" s="89"/>
      <c r="JAB22" s="91"/>
      <c r="JAE22" s="89"/>
      <c r="JAG22" s="91"/>
      <c r="JAJ22" s="89"/>
      <c r="JAL22" s="91"/>
      <c r="JAO22" s="89"/>
      <c r="JAQ22" s="91"/>
      <c r="JAT22" s="89"/>
      <c r="JAV22" s="91"/>
      <c r="JAY22" s="89"/>
      <c r="JBA22" s="91"/>
      <c r="JBD22" s="89"/>
      <c r="JBF22" s="91"/>
      <c r="JBI22" s="89"/>
      <c r="JBK22" s="91"/>
      <c r="JBN22" s="89"/>
      <c r="JBP22" s="91"/>
      <c r="JBS22" s="89"/>
      <c r="JBU22" s="91"/>
      <c r="JBX22" s="89"/>
      <c r="JBZ22" s="91"/>
      <c r="JCC22" s="89"/>
      <c r="JCE22" s="91"/>
      <c r="JCH22" s="89"/>
      <c r="JCJ22" s="91"/>
      <c r="JCM22" s="89"/>
      <c r="JCO22" s="91"/>
      <c r="JCR22" s="89"/>
      <c r="JCT22" s="91"/>
      <c r="JCW22" s="89"/>
      <c r="JCY22" s="91"/>
      <c r="JDB22" s="89"/>
      <c r="JDD22" s="91"/>
      <c r="JDG22" s="89"/>
      <c r="JDI22" s="91"/>
      <c r="JDL22" s="89"/>
      <c r="JDN22" s="91"/>
      <c r="JDQ22" s="89"/>
      <c r="JDS22" s="91"/>
      <c r="JDV22" s="89"/>
      <c r="JDX22" s="91"/>
      <c r="JEA22" s="89"/>
      <c r="JEC22" s="91"/>
      <c r="JEF22" s="89"/>
      <c r="JEH22" s="91"/>
      <c r="JEK22" s="89"/>
      <c r="JEM22" s="91"/>
      <c r="JEP22" s="89"/>
      <c r="JER22" s="91"/>
      <c r="JEU22" s="89"/>
      <c r="JEW22" s="91"/>
      <c r="JEZ22" s="89"/>
      <c r="JFB22" s="91"/>
      <c r="JFE22" s="89"/>
      <c r="JFG22" s="91"/>
      <c r="JFJ22" s="89"/>
      <c r="JFL22" s="91"/>
      <c r="JFO22" s="89"/>
      <c r="JFQ22" s="91"/>
      <c r="JFT22" s="89"/>
      <c r="JFV22" s="91"/>
      <c r="JFY22" s="89"/>
      <c r="JGA22" s="91"/>
      <c r="JGD22" s="89"/>
      <c r="JGF22" s="91"/>
      <c r="JGI22" s="89"/>
      <c r="JGK22" s="91"/>
      <c r="JGN22" s="89"/>
      <c r="JGP22" s="91"/>
      <c r="JGS22" s="89"/>
      <c r="JGU22" s="91"/>
      <c r="JGX22" s="89"/>
      <c r="JGZ22" s="91"/>
      <c r="JHC22" s="89"/>
      <c r="JHE22" s="91"/>
      <c r="JHH22" s="89"/>
      <c r="JHJ22" s="91"/>
      <c r="JHM22" s="89"/>
      <c r="JHO22" s="91"/>
      <c r="JHR22" s="89"/>
      <c r="JHT22" s="91"/>
      <c r="JHW22" s="89"/>
      <c r="JHY22" s="91"/>
      <c r="JIB22" s="89"/>
      <c r="JID22" s="91"/>
      <c r="JIG22" s="89"/>
      <c r="JII22" s="91"/>
      <c r="JIL22" s="89"/>
      <c r="JIN22" s="91"/>
      <c r="JIQ22" s="89"/>
      <c r="JIS22" s="91"/>
      <c r="JIV22" s="89"/>
      <c r="JIX22" s="91"/>
      <c r="JJA22" s="89"/>
      <c r="JJC22" s="91"/>
      <c r="JJF22" s="89"/>
      <c r="JJH22" s="91"/>
      <c r="JJK22" s="89"/>
      <c r="JJM22" s="91"/>
      <c r="JJP22" s="89"/>
      <c r="JJR22" s="91"/>
      <c r="JJU22" s="89"/>
      <c r="JJW22" s="91"/>
      <c r="JJZ22" s="89"/>
      <c r="JKB22" s="91"/>
      <c r="JKE22" s="89"/>
      <c r="JKG22" s="91"/>
      <c r="JKJ22" s="89"/>
      <c r="JKL22" s="91"/>
      <c r="JKO22" s="89"/>
      <c r="JKQ22" s="91"/>
      <c r="JKT22" s="89"/>
      <c r="JKV22" s="91"/>
      <c r="JKY22" s="89"/>
      <c r="JLA22" s="91"/>
      <c r="JLD22" s="89"/>
      <c r="JLF22" s="91"/>
      <c r="JLI22" s="89"/>
      <c r="JLK22" s="91"/>
      <c r="JLN22" s="89"/>
      <c r="JLP22" s="91"/>
      <c r="JLS22" s="89"/>
      <c r="JLU22" s="91"/>
      <c r="JLX22" s="89"/>
      <c r="JLZ22" s="91"/>
      <c r="JMC22" s="89"/>
      <c r="JME22" s="91"/>
      <c r="JMH22" s="89"/>
      <c r="JMJ22" s="91"/>
      <c r="JMM22" s="89"/>
      <c r="JMO22" s="91"/>
      <c r="JMR22" s="89"/>
      <c r="JMT22" s="91"/>
      <c r="JMW22" s="89"/>
      <c r="JMY22" s="91"/>
      <c r="JNB22" s="89"/>
      <c r="JND22" s="91"/>
      <c r="JNG22" s="89"/>
      <c r="JNI22" s="91"/>
      <c r="JNL22" s="89"/>
      <c r="JNN22" s="91"/>
      <c r="JNQ22" s="89"/>
      <c r="JNS22" s="91"/>
      <c r="JNV22" s="89"/>
      <c r="JNX22" s="91"/>
      <c r="JOA22" s="89"/>
      <c r="JOC22" s="91"/>
      <c r="JOF22" s="89"/>
      <c r="JOH22" s="91"/>
      <c r="JOK22" s="89"/>
      <c r="JOM22" s="91"/>
      <c r="JOP22" s="89"/>
      <c r="JOR22" s="91"/>
      <c r="JOU22" s="89"/>
      <c r="JOW22" s="91"/>
      <c r="JOZ22" s="89"/>
      <c r="JPB22" s="91"/>
      <c r="JPE22" s="89"/>
      <c r="JPG22" s="91"/>
      <c r="JPJ22" s="89"/>
      <c r="JPL22" s="91"/>
      <c r="JPO22" s="89"/>
      <c r="JPQ22" s="91"/>
      <c r="JPT22" s="89"/>
      <c r="JPV22" s="91"/>
      <c r="JPY22" s="89"/>
      <c r="JQA22" s="91"/>
      <c r="JQD22" s="89"/>
      <c r="JQF22" s="91"/>
      <c r="JQI22" s="89"/>
      <c r="JQK22" s="91"/>
      <c r="JQN22" s="89"/>
      <c r="JQP22" s="91"/>
      <c r="JQS22" s="89"/>
      <c r="JQU22" s="91"/>
      <c r="JQX22" s="89"/>
      <c r="JQZ22" s="91"/>
      <c r="JRC22" s="89"/>
      <c r="JRE22" s="91"/>
      <c r="JRH22" s="89"/>
      <c r="JRJ22" s="91"/>
      <c r="JRM22" s="89"/>
      <c r="JRO22" s="91"/>
      <c r="JRR22" s="89"/>
      <c r="JRT22" s="91"/>
      <c r="JRW22" s="89"/>
      <c r="JRY22" s="91"/>
      <c r="JSB22" s="89"/>
      <c r="JSD22" s="91"/>
      <c r="JSG22" s="89"/>
      <c r="JSI22" s="91"/>
      <c r="JSL22" s="89"/>
      <c r="JSN22" s="91"/>
      <c r="JSQ22" s="89"/>
      <c r="JSS22" s="91"/>
      <c r="JSV22" s="89"/>
      <c r="JSX22" s="91"/>
      <c r="JTA22" s="89"/>
      <c r="JTC22" s="91"/>
      <c r="JTF22" s="89"/>
      <c r="JTH22" s="91"/>
      <c r="JTK22" s="89"/>
      <c r="JTM22" s="91"/>
      <c r="JTP22" s="89"/>
      <c r="JTR22" s="91"/>
      <c r="JTU22" s="89"/>
      <c r="JTW22" s="91"/>
      <c r="JTZ22" s="89"/>
      <c r="JUB22" s="91"/>
      <c r="JUE22" s="89"/>
      <c r="JUG22" s="91"/>
      <c r="JUJ22" s="89"/>
      <c r="JUL22" s="91"/>
      <c r="JUO22" s="89"/>
      <c r="JUQ22" s="91"/>
      <c r="JUT22" s="89"/>
      <c r="JUV22" s="91"/>
      <c r="JUY22" s="89"/>
      <c r="JVA22" s="91"/>
      <c r="JVD22" s="89"/>
      <c r="JVF22" s="91"/>
      <c r="JVI22" s="89"/>
      <c r="JVK22" s="91"/>
      <c r="JVN22" s="89"/>
      <c r="JVP22" s="91"/>
      <c r="JVS22" s="89"/>
      <c r="JVU22" s="91"/>
      <c r="JVX22" s="89"/>
      <c r="JVZ22" s="91"/>
      <c r="JWC22" s="89"/>
      <c r="JWE22" s="91"/>
      <c r="JWH22" s="89"/>
      <c r="JWJ22" s="91"/>
      <c r="JWM22" s="89"/>
      <c r="JWO22" s="91"/>
      <c r="JWR22" s="89"/>
      <c r="JWT22" s="91"/>
      <c r="JWW22" s="89"/>
      <c r="JWY22" s="91"/>
      <c r="JXB22" s="89"/>
      <c r="JXD22" s="91"/>
      <c r="JXG22" s="89"/>
      <c r="JXI22" s="91"/>
      <c r="JXL22" s="89"/>
      <c r="JXN22" s="91"/>
      <c r="JXQ22" s="89"/>
      <c r="JXS22" s="91"/>
      <c r="JXV22" s="89"/>
      <c r="JXX22" s="91"/>
      <c r="JYA22" s="89"/>
      <c r="JYC22" s="91"/>
      <c r="JYF22" s="89"/>
      <c r="JYH22" s="91"/>
      <c r="JYK22" s="89"/>
      <c r="JYM22" s="91"/>
      <c r="JYP22" s="89"/>
      <c r="JYR22" s="91"/>
      <c r="JYU22" s="89"/>
      <c r="JYW22" s="91"/>
      <c r="JYZ22" s="89"/>
      <c r="JZB22" s="91"/>
      <c r="JZE22" s="89"/>
      <c r="JZG22" s="91"/>
      <c r="JZJ22" s="89"/>
      <c r="JZL22" s="91"/>
      <c r="JZO22" s="89"/>
      <c r="JZQ22" s="91"/>
      <c r="JZT22" s="89"/>
      <c r="JZV22" s="91"/>
      <c r="JZY22" s="89"/>
      <c r="KAA22" s="91"/>
      <c r="KAD22" s="89"/>
      <c r="KAF22" s="91"/>
      <c r="KAI22" s="89"/>
      <c r="KAK22" s="91"/>
      <c r="KAN22" s="89"/>
      <c r="KAP22" s="91"/>
      <c r="KAS22" s="89"/>
      <c r="KAU22" s="91"/>
      <c r="KAX22" s="89"/>
      <c r="KAZ22" s="91"/>
      <c r="KBC22" s="89"/>
      <c r="KBE22" s="91"/>
      <c r="KBH22" s="89"/>
      <c r="KBJ22" s="91"/>
      <c r="KBM22" s="89"/>
      <c r="KBO22" s="91"/>
      <c r="KBR22" s="89"/>
      <c r="KBT22" s="91"/>
      <c r="KBW22" s="89"/>
      <c r="KBY22" s="91"/>
      <c r="KCB22" s="89"/>
      <c r="KCD22" s="91"/>
      <c r="KCG22" s="89"/>
      <c r="KCI22" s="91"/>
      <c r="KCL22" s="89"/>
      <c r="KCN22" s="91"/>
      <c r="KCQ22" s="89"/>
      <c r="KCS22" s="91"/>
      <c r="KCV22" s="89"/>
      <c r="KCX22" s="91"/>
      <c r="KDA22" s="89"/>
      <c r="KDC22" s="91"/>
      <c r="KDF22" s="89"/>
      <c r="KDH22" s="91"/>
      <c r="KDK22" s="89"/>
      <c r="KDM22" s="91"/>
      <c r="KDP22" s="89"/>
      <c r="KDR22" s="91"/>
      <c r="KDU22" s="89"/>
      <c r="KDW22" s="91"/>
      <c r="KDZ22" s="89"/>
      <c r="KEB22" s="91"/>
      <c r="KEE22" s="89"/>
      <c r="KEG22" s="91"/>
      <c r="KEJ22" s="89"/>
      <c r="KEL22" s="91"/>
      <c r="KEO22" s="89"/>
      <c r="KEQ22" s="91"/>
      <c r="KET22" s="89"/>
      <c r="KEV22" s="91"/>
      <c r="KEY22" s="89"/>
      <c r="KFA22" s="91"/>
      <c r="KFD22" s="89"/>
      <c r="KFF22" s="91"/>
      <c r="KFI22" s="89"/>
      <c r="KFK22" s="91"/>
      <c r="KFN22" s="89"/>
      <c r="KFP22" s="91"/>
      <c r="KFS22" s="89"/>
      <c r="KFU22" s="91"/>
      <c r="KFX22" s="89"/>
      <c r="KFZ22" s="91"/>
      <c r="KGC22" s="89"/>
      <c r="KGE22" s="91"/>
      <c r="KGH22" s="89"/>
      <c r="KGJ22" s="91"/>
      <c r="KGM22" s="89"/>
      <c r="KGO22" s="91"/>
      <c r="KGR22" s="89"/>
      <c r="KGT22" s="91"/>
      <c r="KGW22" s="89"/>
      <c r="KGY22" s="91"/>
      <c r="KHB22" s="89"/>
      <c r="KHD22" s="91"/>
      <c r="KHG22" s="89"/>
      <c r="KHI22" s="91"/>
      <c r="KHL22" s="89"/>
      <c r="KHN22" s="91"/>
      <c r="KHQ22" s="89"/>
      <c r="KHS22" s="91"/>
      <c r="KHV22" s="89"/>
      <c r="KHX22" s="91"/>
      <c r="KIA22" s="89"/>
      <c r="KIC22" s="91"/>
      <c r="KIF22" s="89"/>
      <c r="KIH22" s="91"/>
      <c r="KIK22" s="89"/>
      <c r="KIM22" s="91"/>
      <c r="KIP22" s="89"/>
      <c r="KIR22" s="91"/>
      <c r="KIU22" s="89"/>
      <c r="KIW22" s="91"/>
      <c r="KIZ22" s="89"/>
      <c r="KJB22" s="91"/>
      <c r="KJE22" s="89"/>
      <c r="KJG22" s="91"/>
      <c r="KJJ22" s="89"/>
      <c r="KJL22" s="91"/>
      <c r="KJO22" s="89"/>
      <c r="KJQ22" s="91"/>
      <c r="KJT22" s="89"/>
      <c r="KJV22" s="91"/>
      <c r="KJY22" s="89"/>
      <c r="KKA22" s="91"/>
      <c r="KKD22" s="89"/>
      <c r="KKF22" s="91"/>
      <c r="KKI22" s="89"/>
      <c r="KKK22" s="91"/>
      <c r="KKN22" s="89"/>
      <c r="KKP22" s="91"/>
      <c r="KKS22" s="89"/>
      <c r="KKU22" s="91"/>
      <c r="KKX22" s="89"/>
      <c r="KKZ22" s="91"/>
      <c r="KLC22" s="89"/>
      <c r="KLE22" s="91"/>
      <c r="KLH22" s="89"/>
      <c r="KLJ22" s="91"/>
      <c r="KLM22" s="89"/>
      <c r="KLO22" s="91"/>
      <c r="KLR22" s="89"/>
      <c r="KLT22" s="91"/>
      <c r="KLW22" s="89"/>
      <c r="KLY22" s="91"/>
      <c r="KMB22" s="89"/>
      <c r="KMD22" s="91"/>
      <c r="KMG22" s="89"/>
      <c r="KMI22" s="91"/>
      <c r="KML22" s="89"/>
      <c r="KMN22" s="91"/>
      <c r="KMQ22" s="89"/>
      <c r="KMS22" s="91"/>
      <c r="KMV22" s="89"/>
      <c r="KMX22" s="91"/>
      <c r="KNA22" s="89"/>
      <c r="KNC22" s="91"/>
      <c r="KNF22" s="89"/>
      <c r="KNH22" s="91"/>
      <c r="KNK22" s="89"/>
      <c r="KNM22" s="91"/>
      <c r="KNP22" s="89"/>
      <c r="KNR22" s="91"/>
      <c r="KNU22" s="89"/>
      <c r="KNW22" s="91"/>
      <c r="KNZ22" s="89"/>
      <c r="KOB22" s="91"/>
      <c r="KOE22" s="89"/>
      <c r="KOG22" s="91"/>
      <c r="KOJ22" s="89"/>
      <c r="KOL22" s="91"/>
      <c r="KOO22" s="89"/>
      <c r="KOQ22" s="91"/>
      <c r="KOT22" s="89"/>
      <c r="KOV22" s="91"/>
      <c r="KOY22" s="89"/>
      <c r="KPA22" s="91"/>
      <c r="KPD22" s="89"/>
      <c r="KPF22" s="91"/>
      <c r="KPI22" s="89"/>
      <c r="KPK22" s="91"/>
      <c r="KPN22" s="89"/>
      <c r="KPP22" s="91"/>
      <c r="KPS22" s="89"/>
      <c r="KPU22" s="91"/>
      <c r="KPX22" s="89"/>
      <c r="KPZ22" s="91"/>
      <c r="KQC22" s="89"/>
      <c r="KQE22" s="91"/>
      <c r="KQH22" s="89"/>
      <c r="KQJ22" s="91"/>
      <c r="KQM22" s="89"/>
      <c r="KQO22" s="91"/>
      <c r="KQR22" s="89"/>
      <c r="KQT22" s="91"/>
      <c r="KQW22" s="89"/>
      <c r="KQY22" s="91"/>
      <c r="KRB22" s="89"/>
      <c r="KRD22" s="91"/>
      <c r="KRG22" s="89"/>
      <c r="KRI22" s="91"/>
      <c r="KRL22" s="89"/>
      <c r="KRN22" s="91"/>
      <c r="KRQ22" s="89"/>
      <c r="KRS22" s="91"/>
      <c r="KRV22" s="89"/>
      <c r="KRX22" s="91"/>
      <c r="KSA22" s="89"/>
      <c r="KSC22" s="91"/>
      <c r="KSF22" s="89"/>
      <c r="KSH22" s="91"/>
      <c r="KSK22" s="89"/>
      <c r="KSM22" s="91"/>
      <c r="KSP22" s="89"/>
      <c r="KSR22" s="91"/>
      <c r="KSU22" s="89"/>
      <c r="KSW22" s="91"/>
      <c r="KSZ22" s="89"/>
      <c r="KTB22" s="91"/>
      <c r="KTE22" s="89"/>
      <c r="KTG22" s="91"/>
      <c r="KTJ22" s="89"/>
      <c r="KTL22" s="91"/>
      <c r="KTO22" s="89"/>
      <c r="KTQ22" s="91"/>
      <c r="KTT22" s="89"/>
      <c r="KTV22" s="91"/>
      <c r="KTY22" s="89"/>
      <c r="KUA22" s="91"/>
      <c r="KUD22" s="89"/>
      <c r="KUF22" s="91"/>
      <c r="KUI22" s="89"/>
      <c r="KUK22" s="91"/>
      <c r="KUN22" s="89"/>
      <c r="KUP22" s="91"/>
      <c r="KUS22" s="89"/>
      <c r="KUU22" s="91"/>
      <c r="KUX22" s="89"/>
      <c r="KUZ22" s="91"/>
      <c r="KVC22" s="89"/>
      <c r="KVE22" s="91"/>
      <c r="KVH22" s="89"/>
      <c r="KVJ22" s="91"/>
      <c r="KVM22" s="89"/>
      <c r="KVO22" s="91"/>
      <c r="KVR22" s="89"/>
      <c r="KVT22" s="91"/>
      <c r="KVW22" s="89"/>
      <c r="KVY22" s="91"/>
      <c r="KWB22" s="89"/>
      <c r="KWD22" s="91"/>
      <c r="KWG22" s="89"/>
      <c r="KWI22" s="91"/>
      <c r="KWL22" s="89"/>
      <c r="KWN22" s="91"/>
      <c r="KWQ22" s="89"/>
      <c r="KWS22" s="91"/>
      <c r="KWV22" s="89"/>
      <c r="KWX22" s="91"/>
      <c r="KXA22" s="89"/>
      <c r="KXC22" s="91"/>
      <c r="KXF22" s="89"/>
      <c r="KXH22" s="91"/>
      <c r="KXK22" s="89"/>
      <c r="KXM22" s="91"/>
      <c r="KXP22" s="89"/>
      <c r="KXR22" s="91"/>
      <c r="KXU22" s="89"/>
      <c r="KXW22" s="91"/>
      <c r="KXZ22" s="89"/>
      <c r="KYB22" s="91"/>
      <c r="KYE22" s="89"/>
      <c r="KYG22" s="91"/>
      <c r="KYJ22" s="89"/>
      <c r="KYL22" s="91"/>
      <c r="KYO22" s="89"/>
      <c r="KYQ22" s="91"/>
      <c r="KYT22" s="89"/>
      <c r="KYV22" s="91"/>
      <c r="KYY22" s="89"/>
      <c r="KZA22" s="91"/>
      <c r="KZD22" s="89"/>
      <c r="KZF22" s="91"/>
      <c r="KZI22" s="89"/>
      <c r="KZK22" s="91"/>
      <c r="KZN22" s="89"/>
      <c r="KZP22" s="91"/>
      <c r="KZS22" s="89"/>
      <c r="KZU22" s="91"/>
      <c r="KZX22" s="89"/>
      <c r="KZZ22" s="91"/>
      <c r="LAC22" s="89"/>
      <c r="LAE22" s="91"/>
      <c r="LAH22" s="89"/>
      <c r="LAJ22" s="91"/>
      <c r="LAM22" s="89"/>
      <c r="LAO22" s="91"/>
      <c r="LAR22" s="89"/>
      <c r="LAT22" s="91"/>
      <c r="LAW22" s="89"/>
      <c r="LAY22" s="91"/>
      <c r="LBB22" s="89"/>
      <c r="LBD22" s="91"/>
      <c r="LBG22" s="89"/>
      <c r="LBI22" s="91"/>
      <c r="LBL22" s="89"/>
      <c r="LBN22" s="91"/>
      <c r="LBQ22" s="89"/>
      <c r="LBS22" s="91"/>
      <c r="LBV22" s="89"/>
      <c r="LBX22" s="91"/>
      <c r="LCA22" s="89"/>
      <c r="LCC22" s="91"/>
      <c r="LCF22" s="89"/>
      <c r="LCH22" s="91"/>
      <c r="LCK22" s="89"/>
      <c r="LCM22" s="91"/>
      <c r="LCP22" s="89"/>
      <c r="LCR22" s="91"/>
      <c r="LCU22" s="89"/>
      <c r="LCW22" s="91"/>
      <c r="LCZ22" s="89"/>
      <c r="LDB22" s="91"/>
      <c r="LDE22" s="89"/>
      <c r="LDG22" s="91"/>
      <c r="LDJ22" s="89"/>
      <c r="LDL22" s="91"/>
      <c r="LDO22" s="89"/>
      <c r="LDQ22" s="91"/>
      <c r="LDT22" s="89"/>
      <c r="LDV22" s="91"/>
      <c r="LDY22" s="89"/>
      <c r="LEA22" s="91"/>
      <c r="LED22" s="89"/>
      <c r="LEF22" s="91"/>
      <c r="LEI22" s="89"/>
      <c r="LEK22" s="91"/>
      <c r="LEN22" s="89"/>
      <c r="LEP22" s="91"/>
      <c r="LES22" s="89"/>
      <c r="LEU22" s="91"/>
      <c r="LEX22" s="89"/>
      <c r="LEZ22" s="91"/>
      <c r="LFC22" s="89"/>
      <c r="LFE22" s="91"/>
      <c r="LFH22" s="89"/>
      <c r="LFJ22" s="91"/>
      <c r="LFM22" s="89"/>
      <c r="LFO22" s="91"/>
      <c r="LFR22" s="89"/>
      <c r="LFT22" s="91"/>
      <c r="LFW22" s="89"/>
      <c r="LFY22" s="91"/>
      <c r="LGB22" s="89"/>
      <c r="LGD22" s="91"/>
      <c r="LGG22" s="89"/>
      <c r="LGI22" s="91"/>
      <c r="LGL22" s="89"/>
      <c r="LGN22" s="91"/>
      <c r="LGQ22" s="89"/>
      <c r="LGS22" s="91"/>
      <c r="LGV22" s="89"/>
      <c r="LGX22" s="91"/>
      <c r="LHA22" s="89"/>
      <c r="LHC22" s="91"/>
      <c r="LHF22" s="89"/>
      <c r="LHH22" s="91"/>
      <c r="LHK22" s="89"/>
      <c r="LHM22" s="91"/>
      <c r="LHP22" s="89"/>
      <c r="LHR22" s="91"/>
      <c r="LHU22" s="89"/>
      <c r="LHW22" s="91"/>
      <c r="LHZ22" s="89"/>
      <c r="LIB22" s="91"/>
      <c r="LIE22" s="89"/>
      <c r="LIG22" s="91"/>
      <c r="LIJ22" s="89"/>
      <c r="LIL22" s="91"/>
      <c r="LIO22" s="89"/>
      <c r="LIQ22" s="91"/>
      <c r="LIT22" s="89"/>
      <c r="LIV22" s="91"/>
      <c r="LIY22" s="89"/>
      <c r="LJA22" s="91"/>
      <c r="LJD22" s="89"/>
      <c r="LJF22" s="91"/>
      <c r="LJI22" s="89"/>
      <c r="LJK22" s="91"/>
      <c r="LJN22" s="89"/>
      <c r="LJP22" s="91"/>
      <c r="LJS22" s="89"/>
      <c r="LJU22" s="91"/>
      <c r="LJX22" s="89"/>
      <c r="LJZ22" s="91"/>
      <c r="LKC22" s="89"/>
      <c r="LKE22" s="91"/>
      <c r="LKH22" s="89"/>
      <c r="LKJ22" s="91"/>
      <c r="LKM22" s="89"/>
      <c r="LKO22" s="91"/>
      <c r="LKR22" s="89"/>
      <c r="LKT22" s="91"/>
      <c r="LKW22" s="89"/>
      <c r="LKY22" s="91"/>
      <c r="LLB22" s="89"/>
      <c r="LLD22" s="91"/>
      <c r="LLG22" s="89"/>
      <c r="LLI22" s="91"/>
      <c r="LLL22" s="89"/>
      <c r="LLN22" s="91"/>
      <c r="LLQ22" s="89"/>
      <c r="LLS22" s="91"/>
      <c r="LLV22" s="89"/>
      <c r="LLX22" s="91"/>
      <c r="LMA22" s="89"/>
      <c r="LMC22" s="91"/>
      <c r="LMF22" s="89"/>
      <c r="LMH22" s="91"/>
      <c r="LMK22" s="89"/>
      <c r="LMM22" s="91"/>
      <c r="LMP22" s="89"/>
      <c r="LMR22" s="91"/>
      <c r="LMU22" s="89"/>
      <c r="LMW22" s="91"/>
      <c r="LMZ22" s="89"/>
      <c r="LNB22" s="91"/>
      <c r="LNE22" s="89"/>
      <c r="LNG22" s="91"/>
      <c r="LNJ22" s="89"/>
      <c r="LNL22" s="91"/>
      <c r="LNO22" s="89"/>
      <c r="LNQ22" s="91"/>
      <c r="LNT22" s="89"/>
      <c r="LNV22" s="91"/>
      <c r="LNY22" s="89"/>
      <c r="LOA22" s="91"/>
      <c r="LOD22" s="89"/>
      <c r="LOF22" s="91"/>
      <c r="LOI22" s="89"/>
      <c r="LOK22" s="91"/>
      <c r="LON22" s="89"/>
      <c r="LOP22" s="91"/>
      <c r="LOS22" s="89"/>
      <c r="LOU22" s="91"/>
      <c r="LOX22" s="89"/>
      <c r="LOZ22" s="91"/>
      <c r="LPC22" s="89"/>
      <c r="LPE22" s="91"/>
      <c r="LPH22" s="89"/>
      <c r="LPJ22" s="91"/>
      <c r="LPM22" s="89"/>
      <c r="LPO22" s="91"/>
      <c r="LPR22" s="89"/>
      <c r="LPT22" s="91"/>
      <c r="LPW22" s="89"/>
      <c r="LPY22" s="91"/>
      <c r="LQB22" s="89"/>
      <c r="LQD22" s="91"/>
      <c r="LQG22" s="89"/>
      <c r="LQI22" s="91"/>
      <c r="LQL22" s="89"/>
      <c r="LQN22" s="91"/>
      <c r="LQQ22" s="89"/>
      <c r="LQS22" s="91"/>
      <c r="LQV22" s="89"/>
      <c r="LQX22" s="91"/>
      <c r="LRA22" s="89"/>
      <c r="LRC22" s="91"/>
      <c r="LRF22" s="89"/>
      <c r="LRH22" s="91"/>
      <c r="LRK22" s="89"/>
      <c r="LRM22" s="91"/>
      <c r="LRP22" s="89"/>
      <c r="LRR22" s="91"/>
      <c r="LRU22" s="89"/>
      <c r="LRW22" s="91"/>
      <c r="LRZ22" s="89"/>
      <c r="LSB22" s="91"/>
      <c r="LSE22" s="89"/>
      <c r="LSG22" s="91"/>
      <c r="LSJ22" s="89"/>
      <c r="LSL22" s="91"/>
      <c r="LSO22" s="89"/>
      <c r="LSQ22" s="91"/>
      <c r="LST22" s="89"/>
      <c r="LSV22" s="91"/>
      <c r="LSY22" s="89"/>
      <c r="LTA22" s="91"/>
      <c r="LTD22" s="89"/>
      <c r="LTF22" s="91"/>
      <c r="LTI22" s="89"/>
      <c r="LTK22" s="91"/>
      <c r="LTN22" s="89"/>
      <c r="LTP22" s="91"/>
      <c r="LTS22" s="89"/>
      <c r="LTU22" s="91"/>
      <c r="LTX22" s="89"/>
      <c r="LTZ22" s="91"/>
      <c r="LUC22" s="89"/>
      <c r="LUE22" s="91"/>
      <c r="LUH22" s="89"/>
      <c r="LUJ22" s="91"/>
      <c r="LUM22" s="89"/>
      <c r="LUO22" s="91"/>
      <c r="LUR22" s="89"/>
      <c r="LUT22" s="91"/>
      <c r="LUW22" s="89"/>
      <c r="LUY22" s="91"/>
      <c r="LVB22" s="89"/>
      <c r="LVD22" s="91"/>
      <c r="LVG22" s="89"/>
      <c r="LVI22" s="91"/>
      <c r="LVL22" s="89"/>
      <c r="LVN22" s="91"/>
      <c r="LVQ22" s="89"/>
      <c r="LVS22" s="91"/>
      <c r="LVV22" s="89"/>
      <c r="LVX22" s="91"/>
      <c r="LWA22" s="89"/>
      <c r="LWC22" s="91"/>
      <c r="LWF22" s="89"/>
      <c r="LWH22" s="91"/>
      <c r="LWK22" s="89"/>
      <c r="LWM22" s="91"/>
      <c r="LWP22" s="89"/>
      <c r="LWR22" s="91"/>
      <c r="LWU22" s="89"/>
      <c r="LWW22" s="91"/>
      <c r="LWZ22" s="89"/>
      <c r="LXB22" s="91"/>
      <c r="LXE22" s="89"/>
      <c r="LXG22" s="91"/>
      <c r="LXJ22" s="89"/>
      <c r="LXL22" s="91"/>
      <c r="LXO22" s="89"/>
      <c r="LXQ22" s="91"/>
      <c r="LXT22" s="89"/>
      <c r="LXV22" s="91"/>
      <c r="LXY22" s="89"/>
      <c r="LYA22" s="91"/>
      <c r="LYD22" s="89"/>
      <c r="LYF22" s="91"/>
      <c r="LYI22" s="89"/>
      <c r="LYK22" s="91"/>
      <c r="LYN22" s="89"/>
      <c r="LYP22" s="91"/>
      <c r="LYS22" s="89"/>
      <c r="LYU22" s="91"/>
      <c r="LYX22" s="89"/>
      <c r="LYZ22" s="91"/>
      <c r="LZC22" s="89"/>
      <c r="LZE22" s="91"/>
      <c r="LZH22" s="89"/>
      <c r="LZJ22" s="91"/>
      <c r="LZM22" s="89"/>
      <c r="LZO22" s="91"/>
      <c r="LZR22" s="89"/>
      <c r="LZT22" s="91"/>
      <c r="LZW22" s="89"/>
      <c r="LZY22" s="91"/>
      <c r="MAB22" s="89"/>
      <c r="MAD22" s="91"/>
      <c r="MAG22" s="89"/>
      <c r="MAI22" s="91"/>
      <c r="MAL22" s="89"/>
      <c r="MAN22" s="91"/>
      <c r="MAQ22" s="89"/>
      <c r="MAS22" s="91"/>
      <c r="MAV22" s="89"/>
      <c r="MAX22" s="91"/>
      <c r="MBA22" s="89"/>
      <c r="MBC22" s="91"/>
      <c r="MBF22" s="89"/>
      <c r="MBH22" s="91"/>
      <c r="MBK22" s="89"/>
      <c r="MBM22" s="91"/>
      <c r="MBP22" s="89"/>
      <c r="MBR22" s="91"/>
      <c r="MBU22" s="89"/>
      <c r="MBW22" s="91"/>
      <c r="MBZ22" s="89"/>
      <c r="MCB22" s="91"/>
      <c r="MCE22" s="89"/>
      <c r="MCG22" s="91"/>
      <c r="MCJ22" s="89"/>
      <c r="MCL22" s="91"/>
      <c r="MCO22" s="89"/>
      <c r="MCQ22" s="91"/>
      <c r="MCT22" s="89"/>
      <c r="MCV22" s="91"/>
      <c r="MCY22" s="89"/>
      <c r="MDA22" s="91"/>
      <c r="MDD22" s="89"/>
      <c r="MDF22" s="91"/>
      <c r="MDI22" s="89"/>
      <c r="MDK22" s="91"/>
      <c r="MDN22" s="89"/>
      <c r="MDP22" s="91"/>
      <c r="MDS22" s="89"/>
      <c r="MDU22" s="91"/>
      <c r="MDX22" s="89"/>
      <c r="MDZ22" s="91"/>
      <c r="MEC22" s="89"/>
      <c r="MEE22" s="91"/>
      <c r="MEH22" s="89"/>
      <c r="MEJ22" s="91"/>
      <c r="MEM22" s="89"/>
      <c r="MEO22" s="91"/>
      <c r="MER22" s="89"/>
      <c r="MET22" s="91"/>
      <c r="MEW22" s="89"/>
      <c r="MEY22" s="91"/>
      <c r="MFB22" s="89"/>
      <c r="MFD22" s="91"/>
      <c r="MFG22" s="89"/>
      <c r="MFI22" s="91"/>
      <c r="MFL22" s="89"/>
      <c r="MFN22" s="91"/>
      <c r="MFQ22" s="89"/>
      <c r="MFS22" s="91"/>
      <c r="MFV22" s="89"/>
      <c r="MFX22" s="91"/>
      <c r="MGA22" s="89"/>
      <c r="MGC22" s="91"/>
      <c r="MGF22" s="89"/>
      <c r="MGH22" s="91"/>
      <c r="MGK22" s="89"/>
      <c r="MGM22" s="91"/>
      <c r="MGP22" s="89"/>
      <c r="MGR22" s="91"/>
      <c r="MGU22" s="89"/>
      <c r="MGW22" s="91"/>
      <c r="MGZ22" s="89"/>
      <c r="MHB22" s="91"/>
      <c r="MHE22" s="89"/>
      <c r="MHG22" s="91"/>
      <c r="MHJ22" s="89"/>
      <c r="MHL22" s="91"/>
      <c r="MHO22" s="89"/>
      <c r="MHQ22" s="91"/>
      <c r="MHT22" s="89"/>
      <c r="MHV22" s="91"/>
      <c r="MHY22" s="89"/>
      <c r="MIA22" s="91"/>
      <c r="MID22" s="89"/>
      <c r="MIF22" s="91"/>
      <c r="MII22" s="89"/>
      <c r="MIK22" s="91"/>
      <c r="MIN22" s="89"/>
      <c r="MIP22" s="91"/>
      <c r="MIS22" s="89"/>
      <c r="MIU22" s="91"/>
      <c r="MIX22" s="89"/>
      <c r="MIZ22" s="91"/>
      <c r="MJC22" s="89"/>
      <c r="MJE22" s="91"/>
      <c r="MJH22" s="89"/>
      <c r="MJJ22" s="91"/>
      <c r="MJM22" s="89"/>
      <c r="MJO22" s="91"/>
      <c r="MJR22" s="89"/>
      <c r="MJT22" s="91"/>
      <c r="MJW22" s="89"/>
      <c r="MJY22" s="91"/>
      <c r="MKB22" s="89"/>
      <c r="MKD22" s="91"/>
      <c r="MKG22" s="89"/>
      <c r="MKI22" s="91"/>
      <c r="MKL22" s="89"/>
      <c r="MKN22" s="91"/>
      <c r="MKQ22" s="89"/>
      <c r="MKS22" s="91"/>
      <c r="MKV22" s="89"/>
      <c r="MKX22" s="91"/>
      <c r="MLA22" s="89"/>
      <c r="MLC22" s="91"/>
      <c r="MLF22" s="89"/>
      <c r="MLH22" s="91"/>
      <c r="MLK22" s="89"/>
      <c r="MLM22" s="91"/>
      <c r="MLP22" s="89"/>
      <c r="MLR22" s="91"/>
      <c r="MLU22" s="89"/>
      <c r="MLW22" s="91"/>
      <c r="MLZ22" s="89"/>
      <c r="MMB22" s="91"/>
      <c r="MME22" s="89"/>
      <c r="MMG22" s="91"/>
      <c r="MMJ22" s="89"/>
      <c r="MML22" s="91"/>
      <c r="MMO22" s="89"/>
      <c r="MMQ22" s="91"/>
      <c r="MMT22" s="89"/>
      <c r="MMV22" s="91"/>
      <c r="MMY22" s="89"/>
      <c r="MNA22" s="91"/>
      <c r="MND22" s="89"/>
      <c r="MNF22" s="91"/>
      <c r="MNI22" s="89"/>
      <c r="MNK22" s="91"/>
      <c r="MNN22" s="89"/>
      <c r="MNP22" s="91"/>
      <c r="MNS22" s="89"/>
      <c r="MNU22" s="91"/>
      <c r="MNX22" s="89"/>
      <c r="MNZ22" s="91"/>
      <c r="MOC22" s="89"/>
      <c r="MOE22" s="91"/>
      <c r="MOH22" s="89"/>
      <c r="MOJ22" s="91"/>
      <c r="MOM22" s="89"/>
      <c r="MOO22" s="91"/>
      <c r="MOR22" s="89"/>
      <c r="MOT22" s="91"/>
      <c r="MOW22" s="89"/>
      <c r="MOY22" s="91"/>
      <c r="MPB22" s="89"/>
      <c r="MPD22" s="91"/>
      <c r="MPG22" s="89"/>
      <c r="MPI22" s="91"/>
      <c r="MPL22" s="89"/>
      <c r="MPN22" s="91"/>
      <c r="MPQ22" s="89"/>
      <c r="MPS22" s="91"/>
      <c r="MPV22" s="89"/>
      <c r="MPX22" s="91"/>
      <c r="MQA22" s="89"/>
      <c r="MQC22" s="91"/>
      <c r="MQF22" s="89"/>
      <c r="MQH22" s="91"/>
      <c r="MQK22" s="89"/>
      <c r="MQM22" s="91"/>
      <c r="MQP22" s="89"/>
      <c r="MQR22" s="91"/>
      <c r="MQU22" s="89"/>
      <c r="MQW22" s="91"/>
      <c r="MQZ22" s="89"/>
      <c r="MRB22" s="91"/>
      <c r="MRE22" s="89"/>
      <c r="MRG22" s="91"/>
      <c r="MRJ22" s="89"/>
      <c r="MRL22" s="91"/>
      <c r="MRO22" s="89"/>
      <c r="MRQ22" s="91"/>
      <c r="MRT22" s="89"/>
      <c r="MRV22" s="91"/>
      <c r="MRY22" s="89"/>
      <c r="MSA22" s="91"/>
      <c r="MSD22" s="89"/>
      <c r="MSF22" s="91"/>
      <c r="MSI22" s="89"/>
      <c r="MSK22" s="91"/>
      <c r="MSN22" s="89"/>
      <c r="MSP22" s="91"/>
      <c r="MSS22" s="89"/>
      <c r="MSU22" s="91"/>
      <c r="MSX22" s="89"/>
      <c r="MSZ22" s="91"/>
      <c r="MTC22" s="89"/>
      <c r="MTE22" s="91"/>
      <c r="MTH22" s="89"/>
      <c r="MTJ22" s="91"/>
      <c r="MTM22" s="89"/>
      <c r="MTO22" s="91"/>
      <c r="MTR22" s="89"/>
      <c r="MTT22" s="91"/>
      <c r="MTW22" s="89"/>
      <c r="MTY22" s="91"/>
      <c r="MUB22" s="89"/>
      <c r="MUD22" s="91"/>
      <c r="MUG22" s="89"/>
      <c r="MUI22" s="91"/>
      <c r="MUL22" s="89"/>
      <c r="MUN22" s="91"/>
      <c r="MUQ22" s="89"/>
      <c r="MUS22" s="91"/>
      <c r="MUV22" s="89"/>
      <c r="MUX22" s="91"/>
      <c r="MVA22" s="89"/>
      <c r="MVC22" s="91"/>
      <c r="MVF22" s="89"/>
      <c r="MVH22" s="91"/>
      <c r="MVK22" s="89"/>
      <c r="MVM22" s="91"/>
      <c r="MVP22" s="89"/>
      <c r="MVR22" s="91"/>
      <c r="MVU22" s="89"/>
      <c r="MVW22" s="91"/>
      <c r="MVZ22" s="89"/>
      <c r="MWB22" s="91"/>
      <c r="MWE22" s="89"/>
      <c r="MWG22" s="91"/>
      <c r="MWJ22" s="89"/>
      <c r="MWL22" s="91"/>
      <c r="MWO22" s="89"/>
      <c r="MWQ22" s="91"/>
      <c r="MWT22" s="89"/>
      <c r="MWV22" s="91"/>
      <c r="MWY22" s="89"/>
      <c r="MXA22" s="91"/>
      <c r="MXD22" s="89"/>
      <c r="MXF22" s="91"/>
      <c r="MXI22" s="89"/>
      <c r="MXK22" s="91"/>
      <c r="MXN22" s="89"/>
      <c r="MXP22" s="91"/>
      <c r="MXS22" s="89"/>
      <c r="MXU22" s="91"/>
      <c r="MXX22" s="89"/>
      <c r="MXZ22" s="91"/>
      <c r="MYC22" s="89"/>
      <c r="MYE22" s="91"/>
      <c r="MYH22" s="89"/>
      <c r="MYJ22" s="91"/>
      <c r="MYM22" s="89"/>
      <c r="MYO22" s="91"/>
      <c r="MYR22" s="89"/>
      <c r="MYT22" s="91"/>
      <c r="MYW22" s="89"/>
      <c r="MYY22" s="91"/>
      <c r="MZB22" s="89"/>
      <c r="MZD22" s="91"/>
      <c r="MZG22" s="89"/>
      <c r="MZI22" s="91"/>
      <c r="MZL22" s="89"/>
      <c r="MZN22" s="91"/>
      <c r="MZQ22" s="89"/>
      <c r="MZS22" s="91"/>
      <c r="MZV22" s="89"/>
      <c r="MZX22" s="91"/>
      <c r="NAA22" s="89"/>
      <c r="NAC22" s="91"/>
      <c r="NAF22" s="89"/>
      <c r="NAH22" s="91"/>
      <c r="NAK22" s="89"/>
      <c r="NAM22" s="91"/>
      <c r="NAP22" s="89"/>
      <c r="NAR22" s="91"/>
      <c r="NAU22" s="89"/>
      <c r="NAW22" s="91"/>
      <c r="NAZ22" s="89"/>
      <c r="NBB22" s="91"/>
      <c r="NBE22" s="89"/>
      <c r="NBG22" s="91"/>
      <c r="NBJ22" s="89"/>
      <c r="NBL22" s="91"/>
      <c r="NBO22" s="89"/>
      <c r="NBQ22" s="91"/>
      <c r="NBT22" s="89"/>
      <c r="NBV22" s="91"/>
      <c r="NBY22" s="89"/>
      <c r="NCA22" s="91"/>
      <c r="NCD22" s="89"/>
      <c r="NCF22" s="91"/>
      <c r="NCI22" s="89"/>
      <c r="NCK22" s="91"/>
      <c r="NCN22" s="89"/>
      <c r="NCP22" s="91"/>
      <c r="NCS22" s="89"/>
      <c r="NCU22" s="91"/>
      <c r="NCX22" s="89"/>
      <c r="NCZ22" s="91"/>
      <c r="NDC22" s="89"/>
      <c r="NDE22" s="91"/>
      <c r="NDH22" s="89"/>
      <c r="NDJ22" s="91"/>
      <c r="NDM22" s="89"/>
      <c r="NDO22" s="91"/>
      <c r="NDR22" s="89"/>
      <c r="NDT22" s="91"/>
      <c r="NDW22" s="89"/>
      <c r="NDY22" s="91"/>
      <c r="NEB22" s="89"/>
      <c r="NED22" s="91"/>
      <c r="NEG22" s="89"/>
      <c r="NEI22" s="91"/>
      <c r="NEL22" s="89"/>
      <c r="NEN22" s="91"/>
      <c r="NEQ22" s="89"/>
      <c r="NES22" s="91"/>
      <c r="NEV22" s="89"/>
      <c r="NEX22" s="91"/>
      <c r="NFA22" s="89"/>
      <c r="NFC22" s="91"/>
      <c r="NFF22" s="89"/>
      <c r="NFH22" s="91"/>
      <c r="NFK22" s="89"/>
      <c r="NFM22" s="91"/>
      <c r="NFP22" s="89"/>
      <c r="NFR22" s="91"/>
      <c r="NFU22" s="89"/>
      <c r="NFW22" s="91"/>
      <c r="NFZ22" s="89"/>
      <c r="NGB22" s="91"/>
      <c r="NGE22" s="89"/>
      <c r="NGG22" s="91"/>
      <c r="NGJ22" s="89"/>
      <c r="NGL22" s="91"/>
      <c r="NGO22" s="89"/>
      <c r="NGQ22" s="91"/>
      <c r="NGT22" s="89"/>
      <c r="NGV22" s="91"/>
      <c r="NGY22" s="89"/>
      <c r="NHA22" s="91"/>
      <c r="NHD22" s="89"/>
      <c r="NHF22" s="91"/>
      <c r="NHI22" s="89"/>
      <c r="NHK22" s="91"/>
      <c r="NHN22" s="89"/>
      <c r="NHP22" s="91"/>
      <c r="NHS22" s="89"/>
      <c r="NHU22" s="91"/>
      <c r="NHX22" s="89"/>
      <c r="NHZ22" s="91"/>
      <c r="NIC22" s="89"/>
      <c r="NIE22" s="91"/>
      <c r="NIH22" s="89"/>
      <c r="NIJ22" s="91"/>
      <c r="NIM22" s="89"/>
      <c r="NIO22" s="91"/>
      <c r="NIR22" s="89"/>
      <c r="NIT22" s="91"/>
      <c r="NIW22" s="89"/>
      <c r="NIY22" s="91"/>
      <c r="NJB22" s="89"/>
      <c r="NJD22" s="91"/>
      <c r="NJG22" s="89"/>
      <c r="NJI22" s="91"/>
      <c r="NJL22" s="89"/>
      <c r="NJN22" s="91"/>
      <c r="NJQ22" s="89"/>
      <c r="NJS22" s="91"/>
      <c r="NJV22" s="89"/>
      <c r="NJX22" s="91"/>
      <c r="NKA22" s="89"/>
      <c r="NKC22" s="91"/>
      <c r="NKF22" s="89"/>
      <c r="NKH22" s="91"/>
      <c r="NKK22" s="89"/>
      <c r="NKM22" s="91"/>
      <c r="NKP22" s="89"/>
      <c r="NKR22" s="91"/>
      <c r="NKU22" s="89"/>
      <c r="NKW22" s="91"/>
      <c r="NKZ22" s="89"/>
      <c r="NLB22" s="91"/>
      <c r="NLE22" s="89"/>
      <c r="NLG22" s="91"/>
      <c r="NLJ22" s="89"/>
      <c r="NLL22" s="91"/>
      <c r="NLO22" s="89"/>
      <c r="NLQ22" s="91"/>
      <c r="NLT22" s="89"/>
      <c r="NLV22" s="91"/>
      <c r="NLY22" s="89"/>
      <c r="NMA22" s="91"/>
      <c r="NMD22" s="89"/>
      <c r="NMF22" s="91"/>
      <c r="NMI22" s="89"/>
      <c r="NMK22" s="91"/>
      <c r="NMN22" s="89"/>
      <c r="NMP22" s="91"/>
      <c r="NMS22" s="89"/>
      <c r="NMU22" s="91"/>
      <c r="NMX22" s="89"/>
      <c r="NMZ22" s="91"/>
      <c r="NNC22" s="89"/>
      <c r="NNE22" s="91"/>
      <c r="NNH22" s="89"/>
      <c r="NNJ22" s="91"/>
      <c r="NNM22" s="89"/>
      <c r="NNO22" s="91"/>
      <c r="NNR22" s="89"/>
      <c r="NNT22" s="91"/>
      <c r="NNW22" s="89"/>
      <c r="NNY22" s="91"/>
      <c r="NOB22" s="89"/>
      <c r="NOD22" s="91"/>
      <c r="NOG22" s="89"/>
      <c r="NOI22" s="91"/>
      <c r="NOL22" s="89"/>
      <c r="NON22" s="91"/>
      <c r="NOQ22" s="89"/>
      <c r="NOS22" s="91"/>
      <c r="NOV22" s="89"/>
      <c r="NOX22" s="91"/>
      <c r="NPA22" s="89"/>
      <c r="NPC22" s="91"/>
      <c r="NPF22" s="89"/>
      <c r="NPH22" s="91"/>
      <c r="NPK22" s="89"/>
      <c r="NPM22" s="91"/>
      <c r="NPP22" s="89"/>
      <c r="NPR22" s="91"/>
      <c r="NPU22" s="89"/>
      <c r="NPW22" s="91"/>
      <c r="NPZ22" s="89"/>
      <c r="NQB22" s="91"/>
      <c r="NQE22" s="89"/>
      <c r="NQG22" s="91"/>
      <c r="NQJ22" s="89"/>
      <c r="NQL22" s="91"/>
      <c r="NQO22" s="89"/>
      <c r="NQQ22" s="91"/>
      <c r="NQT22" s="89"/>
      <c r="NQV22" s="91"/>
      <c r="NQY22" s="89"/>
      <c r="NRA22" s="91"/>
      <c r="NRD22" s="89"/>
      <c r="NRF22" s="91"/>
      <c r="NRI22" s="89"/>
      <c r="NRK22" s="91"/>
      <c r="NRN22" s="89"/>
      <c r="NRP22" s="91"/>
      <c r="NRS22" s="89"/>
      <c r="NRU22" s="91"/>
      <c r="NRX22" s="89"/>
      <c r="NRZ22" s="91"/>
      <c r="NSC22" s="89"/>
      <c r="NSE22" s="91"/>
      <c r="NSH22" s="89"/>
      <c r="NSJ22" s="91"/>
      <c r="NSM22" s="89"/>
      <c r="NSO22" s="91"/>
      <c r="NSR22" s="89"/>
      <c r="NST22" s="91"/>
      <c r="NSW22" s="89"/>
      <c r="NSY22" s="91"/>
      <c r="NTB22" s="89"/>
      <c r="NTD22" s="91"/>
      <c r="NTG22" s="89"/>
      <c r="NTI22" s="91"/>
      <c r="NTL22" s="89"/>
      <c r="NTN22" s="91"/>
      <c r="NTQ22" s="89"/>
      <c r="NTS22" s="91"/>
      <c r="NTV22" s="89"/>
      <c r="NTX22" s="91"/>
      <c r="NUA22" s="89"/>
      <c r="NUC22" s="91"/>
      <c r="NUF22" s="89"/>
      <c r="NUH22" s="91"/>
      <c r="NUK22" s="89"/>
      <c r="NUM22" s="91"/>
      <c r="NUP22" s="89"/>
      <c r="NUR22" s="91"/>
      <c r="NUU22" s="89"/>
      <c r="NUW22" s="91"/>
      <c r="NUZ22" s="89"/>
      <c r="NVB22" s="91"/>
      <c r="NVE22" s="89"/>
      <c r="NVG22" s="91"/>
      <c r="NVJ22" s="89"/>
      <c r="NVL22" s="91"/>
      <c r="NVO22" s="89"/>
      <c r="NVQ22" s="91"/>
      <c r="NVT22" s="89"/>
      <c r="NVV22" s="91"/>
      <c r="NVY22" s="89"/>
      <c r="NWA22" s="91"/>
      <c r="NWD22" s="89"/>
      <c r="NWF22" s="91"/>
      <c r="NWI22" s="89"/>
      <c r="NWK22" s="91"/>
      <c r="NWN22" s="89"/>
      <c r="NWP22" s="91"/>
      <c r="NWS22" s="89"/>
      <c r="NWU22" s="91"/>
      <c r="NWX22" s="89"/>
      <c r="NWZ22" s="91"/>
      <c r="NXC22" s="89"/>
      <c r="NXE22" s="91"/>
      <c r="NXH22" s="89"/>
      <c r="NXJ22" s="91"/>
      <c r="NXM22" s="89"/>
      <c r="NXO22" s="91"/>
      <c r="NXR22" s="89"/>
      <c r="NXT22" s="91"/>
      <c r="NXW22" s="89"/>
      <c r="NXY22" s="91"/>
      <c r="NYB22" s="89"/>
      <c r="NYD22" s="91"/>
      <c r="NYG22" s="89"/>
      <c r="NYI22" s="91"/>
      <c r="NYL22" s="89"/>
      <c r="NYN22" s="91"/>
      <c r="NYQ22" s="89"/>
      <c r="NYS22" s="91"/>
      <c r="NYV22" s="89"/>
      <c r="NYX22" s="91"/>
      <c r="NZA22" s="89"/>
      <c r="NZC22" s="91"/>
      <c r="NZF22" s="89"/>
      <c r="NZH22" s="91"/>
      <c r="NZK22" s="89"/>
      <c r="NZM22" s="91"/>
      <c r="NZP22" s="89"/>
      <c r="NZR22" s="91"/>
      <c r="NZU22" s="89"/>
      <c r="NZW22" s="91"/>
      <c r="NZZ22" s="89"/>
      <c r="OAB22" s="91"/>
      <c r="OAE22" s="89"/>
      <c r="OAG22" s="91"/>
      <c r="OAJ22" s="89"/>
      <c r="OAL22" s="91"/>
      <c r="OAO22" s="89"/>
      <c r="OAQ22" s="91"/>
      <c r="OAT22" s="89"/>
      <c r="OAV22" s="91"/>
      <c r="OAY22" s="89"/>
      <c r="OBA22" s="91"/>
      <c r="OBD22" s="89"/>
      <c r="OBF22" s="91"/>
      <c r="OBI22" s="89"/>
      <c r="OBK22" s="91"/>
      <c r="OBN22" s="89"/>
      <c r="OBP22" s="91"/>
      <c r="OBS22" s="89"/>
      <c r="OBU22" s="91"/>
      <c r="OBX22" s="89"/>
      <c r="OBZ22" s="91"/>
      <c r="OCC22" s="89"/>
      <c r="OCE22" s="91"/>
      <c r="OCH22" s="89"/>
      <c r="OCJ22" s="91"/>
      <c r="OCM22" s="89"/>
      <c r="OCO22" s="91"/>
      <c r="OCR22" s="89"/>
      <c r="OCT22" s="91"/>
      <c r="OCW22" s="89"/>
      <c r="OCY22" s="91"/>
      <c r="ODB22" s="89"/>
      <c r="ODD22" s="91"/>
      <c r="ODG22" s="89"/>
      <c r="ODI22" s="91"/>
      <c r="ODL22" s="89"/>
      <c r="ODN22" s="91"/>
      <c r="ODQ22" s="89"/>
      <c r="ODS22" s="91"/>
      <c r="ODV22" s="89"/>
      <c r="ODX22" s="91"/>
      <c r="OEA22" s="89"/>
      <c r="OEC22" s="91"/>
      <c r="OEF22" s="89"/>
      <c r="OEH22" s="91"/>
      <c r="OEK22" s="89"/>
      <c r="OEM22" s="91"/>
      <c r="OEP22" s="89"/>
      <c r="OER22" s="91"/>
      <c r="OEU22" s="89"/>
      <c r="OEW22" s="91"/>
      <c r="OEZ22" s="89"/>
      <c r="OFB22" s="91"/>
      <c r="OFE22" s="89"/>
      <c r="OFG22" s="91"/>
      <c r="OFJ22" s="89"/>
      <c r="OFL22" s="91"/>
      <c r="OFO22" s="89"/>
      <c r="OFQ22" s="91"/>
      <c r="OFT22" s="89"/>
      <c r="OFV22" s="91"/>
      <c r="OFY22" s="89"/>
      <c r="OGA22" s="91"/>
      <c r="OGD22" s="89"/>
      <c r="OGF22" s="91"/>
      <c r="OGI22" s="89"/>
      <c r="OGK22" s="91"/>
      <c r="OGN22" s="89"/>
      <c r="OGP22" s="91"/>
      <c r="OGS22" s="89"/>
      <c r="OGU22" s="91"/>
      <c r="OGX22" s="89"/>
      <c r="OGZ22" s="91"/>
      <c r="OHC22" s="89"/>
      <c r="OHE22" s="91"/>
      <c r="OHH22" s="89"/>
      <c r="OHJ22" s="91"/>
      <c r="OHM22" s="89"/>
      <c r="OHO22" s="91"/>
      <c r="OHR22" s="89"/>
      <c r="OHT22" s="91"/>
      <c r="OHW22" s="89"/>
      <c r="OHY22" s="91"/>
      <c r="OIB22" s="89"/>
      <c r="OID22" s="91"/>
      <c r="OIG22" s="89"/>
      <c r="OII22" s="91"/>
      <c r="OIL22" s="89"/>
      <c r="OIN22" s="91"/>
      <c r="OIQ22" s="89"/>
      <c r="OIS22" s="91"/>
      <c r="OIV22" s="89"/>
      <c r="OIX22" s="91"/>
      <c r="OJA22" s="89"/>
      <c r="OJC22" s="91"/>
      <c r="OJF22" s="89"/>
      <c r="OJH22" s="91"/>
      <c r="OJK22" s="89"/>
      <c r="OJM22" s="91"/>
      <c r="OJP22" s="89"/>
      <c r="OJR22" s="91"/>
      <c r="OJU22" s="89"/>
      <c r="OJW22" s="91"/>
      <c r="OJZ22" s="89"/>
      <c r="OKB22" s="91"/>
      <c r="OKE22" s="89"/>
      <c r="OKG22" s="91"/>
      <c r="OKJ22" s="89"/>
      <c r="OKL22" s="91"/>
      <c r="OKO22" s="89"/>
      <c r="OKQ22" s="91"/>
      <c r="OKT22" s="89"/>
      <c r="OKV22" s="91"/>
      <c r="OKY22" s="89"/>
      <c r="OLA22" s="91"/>
      <c r="OLD22" s="89"/>
      <c r="OLF22" s="91"/>
      <c r="OLI22" s="89"/>
      <c r="OLK22" s="91"/>
      <c r="OLN22" s="89"/>
      <c r="OLP22" s="91"/>
      <c r="OLS22" s="89"/>
      <c r="OLU22" s="91"/>
      <c r="OLX22" s="89"/>
      <c r="OLZ22" s="91"/>
      <c r="OMC22" s="89"/>
      <c r="OME22" s="91"/>
      <c r="OMH22" s="89"/>
      <c r="OMJ22" s="91"/>
      <c r="OMM22" s="89"/>
      <c r="OMO22" s="91"/>
      <c r="OMR22" s="89"/>
      <c r="OMT22" s="91"/>
      <c r="OMW22" s="89"/>
      <c r="OMY22" s="91"/>
      <c r="ONB22" s="89"/>
      <c r="OND22" s="91"/>
      <c r="ONG22" s="89"/>
      <c r="ONI22" s="91"/>
      <c r="ONL22" s="89"/>
      <c r="ONN22" s="91"/>
      <c r="ONQ22" s="89"/>
      <c r="ONS22" s="91"/>
      <c r="ONV22" s="89"/>
      <c r="ONX22" s="91"/>
      <c r="OOA22" s="89"/>
      <c r="OOC22" s="91"/>
      <c r="OOF22" s="89"/>
      <c r="OOH22" s="91"/>
      <c r="OOK22" s="89"/>
      <c r="OOM22" s="91"/>
      <c r="OOP22" s="89"/>
      <c r="OOR22" s="91"/>
      <c r="OOU22" s="89"/>
      <c r="OOW22" s="91"/>
      <c r="OOZ22" s="89"/>
      <c r="OPB22" s="91"/>
      <c r="OPE22" s="89"/>
      <c r="OPG22" s="91"/>
      <c r="OPJ22" s="89"/>
      <c r="OPL22" s="91"/>
      <c r="OPO22" s="89"/>
      <c r="OPQ22" s="91"/>
      <c r="OPT22" s="89"/>
      <c r="OPV22" s="91"/>
      <c r="OPY22" s="89"/>
      <c r="OQA22" s="91"/>
      <c r="OQD22" s="89"/>
      <c r="OQF22" s="91"/>
      <c r="OQI22" s="89"/>
      <c r="OQK22" s="91"/>
      <c r="OQN22" s="89"/>
      <c r="OQP22" s="91"/>
      <c r="OQS22" s="89"/>
      <c r="OQU22" s="91"/>
      <c r="OQX22" s="89"/>
      <c r="OQZ22" s="91"/>
      <c r="ORC22" s="89"/>
      <c r="ORE22" s="91"/>
      <c r="ORH22" s="89"/>
      <c r="ORJ22" s="91"/>
      <c r="ORM22" s="89"/>
      <c r="ORO22" s="91"/>
      <c r="ORR22" s="89"/>
      <c r="ORT22" s="91"/>
      <c r="ORW22" s="89"/>
      <c r="ORY22" s="91"/>
      <c r="OSB22" s="89"/>
      <c r="OSD22" s="91"/>
      <c r="OSG22" s="89"/>
      <c r="OSI22" s="91"/>
      <c r="OSL22" s="89"/>
      <c r="OSN22" s="91"/>
      <c r="OSQ22" s="89"/>
      <c r="OSS22" s="91"/>
      <c r="OSV22" s="89"/>
      <c r="OSX22" s="91"/>
      <c r="OTA22" s="89"/>
      <c r="OTC22" s="91"/>
      <c r="OTF22" s="89"/>
      <c r="OTH22" s="91"/>
      <c r="OTK22" s="89"/>
      <c r="OTM22" s="91"/>
      <c r="OTP22" s="89"/>
      <c r="OTR22" s="91"/>
      <c r="OTU22" s="89"/>
      <c r="OTW22" s="91"/>
      <c r="OTZ22" s="89"/>
      <c r="OUB22" s="91"/>
      <c r="OUE22" s="89"/>
      <c r="OUG22" s="91"/>
      <c r="OUJ22" s="89"/>
      <c r="OUL22" s="91"/>
      <c r="OUO22" s="89"/>
      <c r="OUQ22" s="91"/>
      <c r="OUT22" s="89"/>
      <c r="OUV22" s="91"/>
      <c r="OUY22" s="89"/>
      <c r="OVA22" s="91"/>
      <c r="OVD22" s="89"/>
      <c r="OVF22" s="91"/>
      <c r="OVI22" s="89"/>
      <c r="OVK22" s="91"/>
      <c r="OVN22" s="89"/>
      <c r="OVP22" s="91"/>
      <c r="OVS22" s="89"/>
      <c r="OVU22" s="91"/>
      <c r="OVX22" s="89"/>
      <c r="OVZ22" s="91"/>
      <c r="OWC22" s="89"/>
      <c r="OWE22" s="91"/>
      <c r="OWH22" s="89"/>
      <c r="OWJ22" s="91"/>
      <c r="OWM22" s="89"/>
      <c r="OWO22" s="91"/>
      <c r="OWR22" s="89"/>
      <c r="OWT22" s="91"/>
      <c r="OWW22" s="89"/>
      <c r="OWY22" s="91"/>
      <c r="OXB22" s="89"/>
      <c r="OXD22" s="91"/>
      <c r="OXG22" s="89"/>
      <c r="OXI22" s="91"/>
      <c r="OXL22" s="89"/>
      <c r="OXN22" s="91"/>
      <c r="OXQ22" s="89"/>
      <c r="OXS22" s="91"/>
      <c r="OXV22" s="89"/>
      <c r="OXX22" s="91"/>
      <c r="OYA22" s="89"/>
      <c r="OYC22" s="91"/>
      <c r="OYF22" s="89"/>
      <c r="OYH22" s="91"/>
      <c r="OYK22" s="89"/>
      <c r="OYM22" s="91"/>
      <c r="OYP22" s="89"/>
      <c r="OYR22" s="91"/>
      <c r="OYU22" s="89"/>
      <c r="OYW22" s="91"/>
      <c r="OYZ22" s="89"/>
      <c r="OZB22" s="91"/>
      <c r="OZE22" s="89"/>
      <c r="OZG22" s="91"/>
      <c r="OZJ22" s="89"/>
      <c r="OZL22" s="91"/>
      <c r="OZO22" s="89"/>
      <c r="OZQ22" s="91"/>
      <c r="OZT22" s="89"/>
      <c r="OZV22" s="91"/>
      <c r="OZY22" s="89"/>
      <c r="PAA22" s="91"/>
      <c r="PAD22" s="89"/>
      <c r="PAF22" s="91"/>
      <c r="PAI22" s="89"/>
      <c r="PAK22" s="91"/>
      <c r="PAN22" s="89"/>
      <c r="PAP22" s="91"/>
      <c r="PAS22" s="89"/>
      <c r="PAU22" s="91"/>
      <c r="PAX22" s="89"/>
      <c r="PAZ22" s="91"/>
      <c r="PBC22" s="89"/>
      <c r="PBE22" s="91"/>
      <c r="PBH22" s="89"/>
      <c r="PBJ22" s="91"/>
      <c r="PBM22" s="89"/>
      <c r="PBO22" s="91"/>
      <c r="PBR22" s="89"/>
      <c r="PBT22" s="91"/>
      <c r="PBW22" s="89"/>
      <c r="PBY22" s="91"/>
      <c r="PCB22" s="89"/>
      <c r="PCD22" s="91"/>
      <c r="PCG22" s="89"/>
      <c r="PCI22" s="91"/>
      <c r="PCL22" s="89"/>
      <c r="PCN22" s="91"/>
      <c r="PCQ22" s="89"/>
      <c r="PCS22" s="91"/>
      <c r="PCV22" s="89"/>
      <c r="PCX22" s="91"/>
      <c r="PDA22" s="89"/>
      <c r="PDC22" s="91"/>
      <c r="PDF22" s="89"/>
      <c r="PDH22" s="91"/>
      <c r="PDK22" s="89"/>
      <c r="PDM22" s="91"/>
      <c r="PDP22" s="89"/>
      <c r="PDR22" s="91"/>
      <c r="PDU22" s="89"/>
      <c r="PDW22" s="91"/>
      <c r="PDZ22" s="89"/>
      <c r="PEB22" s="91"/>
      <c r="PEE22" s="89"/>
      <c r="PEG22" s="91"/>
      <c r="PEJ22" s="89"/>
      <c r="PEL22" s="91"/>
      <c r="PEO22" s="89"/>
      <c r="PEQ22" s="91"/>
      <c r="PET22" s="89"/>
      <c r="PEV22" s="91"/>
      <c r="PEY22" s="89"/>
      <c r="PFA22" s="91"/>
      <c r="PFD22" s="89"/>
      <c r="PFF22" s="91"/>
      <c r="PFI22" s="89"/>
      <c r="PFK22" s="91"/>
      <c r="PFN22" s="89"/>
      <c r="PFP22" s="91"/>
      <c r="PFS22" s="89"/>
      <c r="PFU22" s="91"/>
      <c r="PFX22" s="89"/>
      <c r="PFZ22" s="91"/>
      <c r="PGC22" s="89"/>
      <c r="PGE22" s="91"/>
      <c r="PGH22" s="89"/>
      <c r="PGJ22" s="91"/>
      <c r="PGM22" s="89"/>
      <c r="PGO22" s="91"/>
      <c r="PGR22" s="89"/>
      <c r="PGT22" s="91"/>
      <c r="PGW22" s="89"/>
      <c r="PGY22" s="91"/>
      <c r="PHB22" s="89"/>
      <c r="PHD22" s="91"/>
      <c r="PHG22" s="89"/>
      <c r="PHI22" s="91"/>
      <c r="PHL22" s="89"/>
      <c r="PHN22" s="91"/>
      <c r="PHQ22" s="89"/>
      <c r="PHS22" s="91"/>
      <c r="PHV22" s="89"/>
      <c r="PHX22" s="91"/>
      <c r="PIA22" s="89"/>
      <c r="PIC22" s="91"/>
      <c r="PIF22" s="89"/>
      <c r="PIH22" s="91"/>
      <c r="PIK22" s="89"/>
      <c r="PIM22" s="91"/>
      <c r="PIP22" s="89"/>
      <c r="PIR22" s="91"/>
      <c r="PIU22" s="89"/>
      <c r="PIW22" s="91"/>
      <c r="PIZ22" s="89"/>
      <c r="PJB22" s="91"/>
      <c r="PJE22" s="89"/>
      <c r="PJG22" s="91"/>
      <c r="PJJ22" s="89"/>
      <c r="PJL22" s="91"/>
      <c r="PJO22" s="89"/>
      <c r="PJQ22" s="91"/>
      <c r="PJT22" s="89"/>
      <c r="PJV22" s="91"/>
      <c r="PJY22" s="89"/>
      <c r="PKA22" s="91"/>
      <c r="PKD22" s="89"/>
      <c r="PKF22" s="91"/>
      <c r="PKI22" s="89"/>
      <c r="PKK22" s="91"/>
      <c r="PKN22" s="89"/>
      <c r="PKP22" s="91"/>
      <c r="PKS22" s="89"/>
      <c r="PKU22" s="91"/>
      <c r="PKX22" s="89"/>
      <c r="PKZ22" s="91"/>
      <c r="PLC22" s="89"/>
      <c r="PLE22" s="91"/>
      <c r="PLH22" s="89"/>
      <c r="PLJ22" s="91"/>
      <c r="PLM22" s="89"/>
      <c r="PLO22" s="91"/>
      <c r="PLR22" s="89"/>
      <c r="PLT22" s="91"/>
      <c r="PLW22" s="89"/>
      <c r="PLY22" s="91"/>
      <c r="PMB22" s="89"/>
      <c r="PMD22" s="91"/>
      <c r="PMG22" s="89"/>
      <c r="PMI22" s="91"/>
      <c r="PML22" s="89"/>
      <c r="PMN22" s="91"/>
      <c r="PMQ22" s="89"/>
      <c r="PMS22" s="91"/>
      <c r="PMV22" s="89"/>
      <c r="PMX22" s="91"/>
      <c r="PNA22" s="89"/>
      <c r="PNC22" s="91"/>
      <c r="PNF22" s="89"/>
      <c r="PNH22" s="91"/>
      <c r="PNK22" s="89"/>
      <c r="PNM22" s="91"/>
      <c r="PNP22" s="89"/>
      <c r="PNR22" s="91"/>
      <c r="PNU22" s="89"/>
      <c r="PNW22" s="91"/>
      <c r="PNZ22" s="89"/>
      <c r="POB22" s="91"/>
      <c r="POE22" s="89"/>
      <c r="POG22" s="91"/>
      <c r="POJ22" s="89"/>
      <c r="POL22" s="91"/>
      <c r="POO22" s="89"/>
      <c r="POQ22" s="91"/>
      <c r="POT22" s="89"/>
      <c r="POV22" s="91"/>
      <c r="POY22" s="89"/>
      <c r="PPA22" s="91"/>
      <c r="PPD22" s="89"/>
      <c r="PPF22" s="91"/>
      <c r="PPI22" s="89"/>
      <c r="PPK22" s="91"/>
      <c r="PPN22" s="89"/>
      <c r="PPP22" s="91"/>
      <c r="PPS22" s="89"/>
      <c r="PPU22" s="91"/>
      <c r="PPX22" s="89"/>
      <c r="PPZ22" s="91"/>
      <c r="PQC22" s="89"/>
      <c r="PQE22" s="91"/>
      <c r="PQH22" s="89"/>
      <c r="PQJ22" s="91"/>
      <c r="PQM22" s="89"/>
      <c r="PQO22" s="91"/>
      <c r="PQR22" s="89"/>
      <c r="PQT22" s="91"/>
      <c r="PQW22" s="89"/>
      <c r="PQY22" s="91"/>
      <c r="PRB22" s="89"/>
      <c r="PRD22" s="91"/>
      <c r="PRG22" s="89"/>
      <c r="PRI22" s="91"/>
      <c r="PRL22" s="89"/>
      <c r="PRN22" s="91"/>
      <c r="PRQ22" s="89"/>
      <c r="PRS22" s="91"/>
      <c r="PRV22" s="89"/>
      <c r="PRX22" s="91"/>
      <c r="PSA22" s="89"/>
      <c r="PSC22" s="91"/>
      <c r="PSF22" s="89"/>
      <c r="PSH22" s="91"/>
      <c r="PSK22" s="89"/>
      <c r="PSM22" s="91"/>
      <c r="PSP22" s="89"/>
      <c r="PSR22" s="91"/>
      <c r="PSU22" s="89"/>
      <c r="PSW22" s="91"/>
      <c r="PSZ22" s="89"/>
      <c r="PTB22" s="91"/>
      <c r="PTE22" s="89"/>
      <c r="PTG22" s="91"/>
      <c r="PTJ22" s="89"/>
      <c r="PTL22" s="91"/>
      <c r="PTO22" s="89"/>
      <c r="PTQ22" s="91"/>
      <c r="PTT22" s="89"/>
      <c r="PTV22" s="91"/>
      <c r="PTY22" s="89"/>
      <c r="PUA22" s="91"/>
      <c r="PUD22" s="89"/>
      <c r="PUF22" s="91"/>
      <c r="PUI22" s="89"/>
      <c r="PUK22" s="91"/>
      <c r="PUN22" s="89"/>
      <c r="PUP22" s="91"/>
      <c r="PUS22" s="89"/>
      <c r="PUU22" s="91"/>
      <c r="PUX22" s="89"/>
      <c r="PUZ22" s="91"/>
      <c r="PVC22" s="89"/>
      <c r="PVE22" s="91"/>
      <c r="PVH22" s="89"/>
      <c r="PVJ22" s="91"/>
      <c r="PVM22" s="89"/>
      <c r="PVO22" s="91"/>
      <c r="PVR22" s="89"/>
      <c r="PVT22" s="91"/>
      <c r="PVW22" s="89"/>
      <c r="PVY22" s="91"/>
      <c r="PWB22" s="89"/>
      <c r="PWD22" s="91"/>
      <c r="PWG22" s="89"/>
      <c r="PWI22" s="91"/>
      <c r="PWL22" s="89"/>
      <c r="PWN22" s="91"/>
      <c r="PWQ22" s="89"/>
      <c r="PWS22" s="91"/>
      <c r="PWV22" s="89"/>
      <c r="PWX22" s="91"/>
      <c r="PXA22" s="89"/>
      <c r="PXC22" s="91"/>
      <c r="PXF22" s="89"/>
      <c r="PXH22" s="91"/>
      <c r="PXK22" s="89"/>
      <c r="PXM22" s="91"/>
      <c r="PXP22" s="89"/>
      <c r="PXR22" s="91"/>
      <c r="PXU22" s="89"/>
      <c r="PXW22" s="91"/>
      <c r="PXZ22" s="89"/>
      <c r="PYB22" s="91"/>
      <c r="PYE22" s="89"/>
      <c r="PYG22" s="91"/>
      <c r="PYJ22" s="89"/>
      <c r="PYL22" s="91"/>
      <c r="PYO22" s="89"/>
      <c r="PYQ22" s="91"/>
      <c r="PYT22" s="89"/>
      <c r="PYV22" s="91"/>
      <c r="PYY22" s="89"/>
      <c r="PZA22" s="91"/>
      <c r="PZD22" s="89"/>
      <c r="PZF22" s="91"/>
      <c r="PZI22" s="89"/>
      <c r="PZK22" s="91"/>
      <c r="PZN22" s="89"/>
      <c r="PZP22" s="91"/>
      <c r="PZS22" s="89"/>
      <c r="PZU22" s="91"/>
      <c r="PZX22" s="89"/>
      <c r="PZZ22" s="91"/>
      <c r="QAC22" s="89"/>
      <c r="QAE22" s="91"/>
      <c r="QAH22" s="89"/>
      <c r="QAJ22" s="91"/>
      <c r="QAM22" s="89"/>
      <c r="QAO22" s="91"/>
      <c r="QAR22" s="89"/>
      <c r="QAT22" s="91"/>
      <c r="QAW22" s="89"/>
      <c r="QAY22" s="91"/>
      <c r="QBB22" s="89"/>
      <c r="QBD22" s="91"/>
      <c r="QBG22" s="89"/>
      <c r="QBI22" s="91"/>
      <c r="QBL22" s="89"/>
      <c r="QBN22" s="91"/>
      <c r="QBQ22" s="89"/>
      <c r="QBS22" s="91"/>
      <c r="QBV22" s="89"/>
      <c r="QBX22" s="91"/>
      <c r="QCA22" s="89"/>
      <c r="QCC22" s="91"/>
      <c r="QCF22" s="89"/>
      <c r="QCH22" s="91"/>
      <c r="QCK22" s="89"/>
      <c r="QCM22" s="91"/>
      <c r="QCP22" s="89"/>
      <c r="QCR22" s="91"/>
      <c r="QCU22" s="89"/>
      <c r="QCW22" s="91"/>
      <c r="QCZ22" s="89"/>
      <c r="QDB22" s="91"/>
      <c r="QDE22" s="89"/>
      <c r="QDG22" s="91"/>
      <c r="QDJ22" s="89"/>
      <c r="QDL22" s="91"/>
      <c r="QDO22" s="89"/>
      <c r="QDQ22" s="91"/>
      <c r="QDT22" s="89"/>
      <c r="QDV22" s="91"/>
      <c r="QDY22" s="89"/>
      <c r="QEA22" s="91"/>
      <c r="QED22" s="89"/>
      <c r="QEF22" s="91"/>
      <c r="QEI22" s="89"/>
      <c r="QEK22" s="91"/>
      <c r="QEN22" s="89"/>
      <c r="QEP22" s="91"/>
      <c r="QES22" s="89"/>
      <c r="QEU22" s="91"/>
      <c r="QEX22" s="89"/>
      <c r="QEZ22" s="91"/>
      <c r="QFC22" s="89"/>
      <c r="QFE22" s="91"/>
      <c r="QFH22" s="89"/>
      <c r="QFJ22" s="91"/>
      <c r="QFM22" s="89"/>
      <c r="QFO22" s="91"/>
      <c r="QFR22" s="89"/>
      <c r="QFT22" s="91"/>
      <c r="QFW22" s="89"/>
      <c r="QFY22" s="91"/>
      <c r="QGB22" s="89"/>
      <c r="QGD22" s="91"/>
      <c r="QGG22" s="89"/>
      <c r="QGI22" s="91"/>
      <c r="QGL22" s="89"/>
      <c r="QGN22" s="91"/>
      <c r="QGQ22" s="89"/>
      <c r="QGS22" s="91"/>
      <c r="QGV22" s="89"/>
      <c r="QGX22" s="91"/>
      <c r="QHA22" s="89"/>
      <c r="QHC22" s="91"/>
      <c r="QHF22" s="89"/>
      <c r="QHH22" s="91"/>
      <c r="QHK22" s="89"/>
      <c r="QHM22" s="91"/>
      <c r="QHP22" s="89"/>
      <c r="QHR22" s="91"/>
      <c r="QHU22" s="89"/>
      <c r="QHW22" s="91"/>
      <c r="QHZ22" s="89"/>
      <c r="QIB22" s="91"/>
      <c r="QIE22" s="89"/>
      <c r="QIG22" s="91"/>
      <c r="QIJ22" s="89"/>
      <c r="QIL22" s="91"/>
      <c r="QIO22" s="89"/>
      <c r="QIQ22" s="91"/>
      <c r="QIT22" s="89"/>
      <c r="QIV22" s="91"/>
      <c r="QIY22" s="89"/>
      <c r="QJA22" s="91"/>
      <c r="QJD22" s="89"/>
      <c r="QJF22" s="91"/>
      <c r="QJI22" s="89"/>
      <c r="QJK22" s="91"/>
      <c r="QJN22" s="89"/>
      <c r="QJP22" s="91"/>
      <c r="QJS22" s="89"/>
      <c r="QJU22" s="91"/>
      <c r="QJX22" s="89"/>
      <c r="QJZ22" s="91"/>
      <c r="QKC22" s="89"/>
      <c r="QKE22" s="91"/>
      <c r="QKH22" s="89"/>
      <c r="QKJ22" s="91"/>
      <c r="QKM22" s="89"/>
      <c r="QKO22" s="91"/>
      <c r="QKR22" s="89"/>
      <c r="QKT22" s="91"/>
      <c r="QKW22" s="89"/>
      <c r="QKY22" s="91"/>
      <c r="QLB22" s="89"/>
      <c r="QLD22" s="91"/>
      <c r="QLG22" s="89"/>
      <c r="QLI22" s="91"/>
      <c r="QLL22" s="89"/>
      <c r="QLN22" s="91"/>
      <c r="QLQ22" s="89"/>
      <c r="QLS22" s="91"/>
      <c r="QLV22" s="89"/>
      <c r="QLX22" s="91"/>
      <c r="QMA22" s="89"/>
      <c r="QMC22" s="91"/>
      <c r="QMF22" s="89"/>
      <c r="QMH22" s="91"/>
      <c r="QMK22" s="89"/>
      <c r="QMM22" s="91"/>
      <c r="QMP22" s="89"/>
      <c r="QMR22" s="91"/>
      <c r="QMU22" s="89"/>
      <c r="QMW22" s="91"/>
      <c r="QMZ22" s="89"/>
      <c r="QNB22" s="91"/>
      <c r="QNE22" s="89"/>
      <c r="QNG22" s="91"/>
      <c r="QNJ22" s="89"/>
      <c r="QNL22" s="91"/>
      <c r="QNO22" s="89"/>
      <c r="QNQ22" s="91"/>
      <c r="QNT22" s="89"/>
      <c r="QNV22" s="91"/>
      <c r="QNY22" s="89"/>
      <c r="QOA22" s="91"/>
      <c r="QOD22" s="89"/>
      <c r="QOF22" s="91"/>
      <c r="QOI22" s="89"/>
      <c r="QOK22" s="91"/>
      <c r="QON22" s="89"/>
      <c r="QOP22" s="91"/>
      <c r="QOS22" s="89"/>
      <c r="QOU22" s="91"/>
      <c r="QOX22" s="89"/>
      <c r="QOZ22" s="91"/>
      <c r="QPC22" s="89"/>
      <c r="QPE22" s="91"/>
      <c r="QPH22" s="89"/>
      <c r="QPJ22" s="91"/>
      <c r="QPM22" s="89"/>
      <c r="QPO22" s="91"/>
      <c r="QPR22" s="89"/>
      <c r="QPT22" s="91"/>
      <c r="QPW22" s="89"/>
      <c r="QPY22" s="91"/>
      <c r="QQB22" s="89"/>
      <c r="QQD22" s="91"/>
      <c r="QQG22" s="89"/>
      <c r="QQI22" s="91"/>
      <c r="QQL22" s="89"/>
      <c r="QQN22" s="91"/>
      <c r="QQQ22" s="89"/>
      <c r="QQS22" s="91"/>
      <c r="QQV22" s="89"/>
      <c r="QQX22" s="91"/>
      <c r="QRA22" s="89"/>
      <c r="QRC22" s="91"/>
      <c r="QRF22" s="89"/>
      <c r="QRH22" s="91"/>
      <c r="QRK22" s="89"/>
      <c r="QRM22" s="91"/>
      <c r="QRP22" s="89"/>
      <c r="QRR22" s="91"/>
      <c r="QRU22" s="89"/>
      <c r="QRW22" s="91"/>
      <c r="QRZ22" s="89"/>
      <c r="QSB22" s="91"/>
      <c r="QSE22" s="89"/>
      <c r="QSG22" s="91"/>
      <c r="QSJ22" s="89"/>
      <c r="QSL22" s="91"/>
      <c r="QSO22" s="89"/>
      <c r="QSQ22" s="91"/>
      <c r="QST22" s="89"/>
      <c r="QSV22" s="91"/>
      <c r="QSY22" s="89"/>
      <c r="QTA22" s="91"/>
      <c r="QTD22" s="89"/>
      <c r="QTF22" s="91"/>
      <c r="QTI22" s="89"/>
      <c r="QTK22" s="91"/>
      <c r="QTN22" s="89"/>
      <c r="QTP22" s="91"/>
      <c r="QTS22" s="89"/>
      <c r="QTU22" s="91"/>
      <c r="QTX22" s="89"/>
      <c r="QTZ22" s="91"/>
      <c r="QUC22" s="89"/>
      <c r="QUE22" s="91"/>
      <c r="QUH22" s="89"/>
      <c r="QUJ22" s="91"/>
      <c r="QUM22" s="89"/>
      <c r="QUO22" s="91"/>
      <c r="QUR22" s="89"/>
      <c r="QUT22" s="91"/>
      <c r="QUW22" s="89"/>
      <c r="QUY22" s="91"/>
      <c r="QVB22" s="89"/>
      <c r="QVD22" s="91"/>
      <c r="QVG22" s="89"/>
      <c r="QVI22" s="91"/>
      <c r="QVL22" s="89"/>
      <c r="QVN22" s="91"/>
      <c r="QVQ22" s="89"/>
      <c r="QVS22" s="91"/>
      <c r="QVV22" s="89"/>
      <c r="QVX22" s="91"/>
      <c r="QWA22" s="89"/>
      <c r="QWC22" s="91"/>
      <c r="QWF22" s="89"/>
      <c r="QWH22" s="91"/>
      <c r="QWK22" s="89"/>
      <c r="QWM22" s="91"/>
      <c r="QWP22" s="89"/>
      <c r="QWR22" s="91"/>
      <c r="QWU22" s="89"/>
      <c r="QWW22" s="91"/>
      <c r="QWZ22" s="89"/>
      <c r="QXB22" s="91"/>
      <c r="QXE22" s="89"/>
      <c r="QXG22" s="91"/>
      <c r="QXJ22" s="89"/>
      <c r="QXL22" s="91"/>
      <c r="QXO22" s="89"/>
      <c r="QXQ22" s="91"/>
      <c r="QXT22" s="89"/>
      <c r="QXV22" s="91"/>
      <c r="QXY22" s="89"/>
      <c r="QYA22" s="91"/>
      <c r="QYD22" s="89"/>
      <c r="QYF22" s="91"/>
      <c r="QYI22" s="89"/>
      <c r="QYK22" s="91"/>
      <c r="QYN22" s="89"/>
      <c r="QYP22" s="91"/>
      <c r="QYS22" s="89"/>
      <c r="QYU22" s="91"/>
      <c r="QYX22" s="89"/>
      <c r="QYZ22" s="91"/>
      <c r="QZC22" s="89"/>
      <c r="QZE22" s="91"/>
      <c r="QZH22" s="89"/>
      <c r="QZJ22" s="91"/>
      <c r="QZM22" s="89"/>
      <c r="QZO22" s="91"/>
      <c r="QZR22" s="89"/>
      <c r="QZT22" s="91"/>
      <c r="QZW22" s="89"/>
      <c r="QZY22" s="91"/>
      <c r="RAB22" s="89"/>
      <c r="RAD22" s="91"/>
      <c r="RAG22" s="89"/>
      <c r="RAI22" s="91"/>
      <c r="RAL22" s="89"/>
      <c r="RAN22" s="91"/>
      <c r="RAQ22" s="89"/>
      <c r="RAS22" s="91"/>
      <c r="RAV22" s="89"/>
      <c r="RAX22" s="91"/>
      <c r="RBA22" s="89"/>
      <c r="RBC22" s="91"/>
      <c r="RBF22" s="89"/>
      <c r="RBH22" s="91"/>
      <c r="RBK22" s="89"/>
      <c r="RBM22" s="91"/>
      <c r="RBP22" s="89"/>
      <c r="RBR22" s="91"/>
      <c r="RBU22" s="89"/>
      <c r="RBW22" s="91"/>
      <c r="RBZ22" s="89"/>
      <c r="RCB22" s="91"/>
      <c r="RCE22" s="89"/>
      <c r="RCG22" s="91"/>
      <c r="RCJ22" s="89"/>
      <c r="RCL22" s="91"/>
      <c r="RCO22" s="89"/>
      <c r="RCQ22" s="91"/>
      <c r="RCT22" s="89"/>
      <c r="RCV22" s="91"/>
      <c r="RCY22" s="89"/>
      <c r="RDA22" s="91"/>
      <c r="RDD22" s="89"/>
      <c r="RDF22" s="91"/>
      <c r="RDI22" s="89"/>
      <c r="RDK22" s="91"/>
      <c r="RDN22" s="89"/>
      <c r="RDP22" s="91"/>
      <c r="RDS22" s="89"/>
      <c r="RDU22" s="91"/>
      <c r="RDX22" s="89"/>
      <c r="RDZ22" s="91"/>
      <c r="REC22" s="89"/>
      <c r="REE22" s="91"/>
      <c r="REH22" s="89"/>
      <c r="REJ22" s="91"/>
      <c r="REM22" s="89"/>
      <c r="REO22" s="91"/>
      <c r="RER22" s="89"/>
      <c r="RET22" s="91"/>
      <c r="REW22" s="89"/>
      <c r="REY22" s="91"/>
      <c r="RFB22" s="89"/>
      <c r="RFD22" s="91"/>
      <c r="RFG22" s="89"/>
      <c r="RFI22" s="91"/>
      <c r="RFL22" s="89"/>
      <c r="RFN22" s="91"/>
      <c r="RFQ22" s="89"/>
      <c r="RFS22" s="91"/>
      <c r="RFV22" s="89"/>
      <c r="RFX22" s="91"/>
      <c r="RGA22" s="89"/>
      <c r="RGC22" s="91"/>
      <c r="RGF22" s="89"/>
      <c r="RGH22" s="91"/>
      <c r="RGK22" s="89"/>
      <c r="RGM22" s="91"/>
      <c r="RGP22" s="89"/>
      <c r="RGR22" s="91"/>
      <c r="RGU22" s="89"/>
      <c r="RGW22" s="91"/>
      <c r="RGZ22" s="89"/>
      <c r="RHB22" s="91"/>
      <c r="RHE22" s="89"/>
      <c r="RHG22" s="91"/>
      <c r="RHJ22" s="89"/>
      <c r="RHL22" s="91"/>
      <c r="RHO22" s="89"/>
      <c r="RHQ22" s="91"/>
      <c r="RHT22" s="89"/>
      <c r="RHV22" s="91"/>
      <c r="RHY22" s="89"/>
      <c r="RIA22" s="91"/>
      <c r="RID22" s="89"/>
      <c r="RIF22" s="91"/>
      <c r="RII22" s="89"/>
      <c r="RIK22" s="91"/>
      <c r="RIN22" s="89"/>
      <c r="RIP22" s="91"/>
      <c r="RIS22" s="89"/>
      <c r="RIU22" s="91"/>
      <c r="RIX22" s="89"/>
      <c r="RIZ22" s="91"/>
      <c r="RJC22" s="89"/>
      <c r="RJE22" s="91"/>
      <c r="RJH22" s="89"/>
      <c r="RJJ22" s="91"/>
      <c r="RJM22" s="89"/>
      <c r="RJO22" s="91"/>
      <c r="RJR22" s="89"/>
      <c r="RJT22" s="91"/>
      <c r="RJW22" s="89"/>
      <c r="RJY22" s="91"/>
      <c r="RKB22" s="89"/>
      <c r="RKD22" s="91"/>
      <c r="RKG22" s="89"/>
      <c r="RKI22" s="91"/>
      <c r="RKL22" s="89"/>
      <c r="RKN22" s="91"/>
      <c r="RKQ22" s="89"/>
      <c r="RKS22" s="91"/>
      <c r="RKV22" s="89"/>
      <c r="RKX22" s="91"/>
      <c r="RLA22" s="89"/>
      <c r="RLC22" s="91"/>
      <c r="RLF22" s="89"/>
      <c r="RLH22" s="91"/>
      <c r="RLK22" s="89"/>
      <c r="RLM22" s="91"/>
      <c r="RLP22" s="89"/>
      <c r="RLR22" s="91"/>
      <c r="RLU22" s="89"/>
      <c r="RLW22" s="91"/>
      <c r="RLZ22" s="89"/>
      <c r="RMB22" s="91"/>
      <c r="RME22" s="89"/>
      <c r="RMG22" s="91"/>
      <c r="RMJ22" s="89"/>
      <c r="RML22" s="91"/>
      <c r="RMO22" s="89"/>
      <c r="RMQ22" s="91"/>
      <c r="RMT22" s="89"/>
      <c r="RMV22" s="91"/>
      <c r="RMY22" s="89"/>
      <c r="RNA22" s="91"/>
      <c r="RND22" s="89"/>
      <c r="RNF22" s="91"/>
      <c r="RNI22" s="89"/>
      <c r="RNK22" s="91"/>
      <c r="RNN22" s="89"/>
      <c r="RNP22" s="91"/>
      <c r="RNS22" s="89"/>
      <c r="RNU22" s="91"/>
      <c r="RNX22" s="89"/>
      <c r="RNZ22" s="91"/>
      <c r="ROC22" s="89"/>
      <c r="ROE22" s="91"/>
      <c r="ROH22" s="89"/>
      <c r="ROJ22" s="91"/>
      <c r="ROM22" s="89"/>
      <c r="ROO22" s="91"/>
      <c r="ROR22" s="89"/>
      <c r="ROT22" s="91"/>
      <c r="ROW22" s="89"/>
      <c r="ROY22" s="91"/>
      <c r="RPB22" s="89"/>
      <c r="RPD22" s="91"/>
      <c r="RPG22" s="89"/>
      <c r="RPI22" s="91"/>
      <c r="RPL22" s="89"/>
      <c r="RPN22" s="91"/>
      <c r="RPQ22" s="89"/>
      <c r="RPS22" s="91"/>
      <c r="RPV22" s="89"/>
      <c r="RPX22" s="91"/>
      <c r="RQA22" s="89"/>
      <c r="RQC22" s="91"/>
      <c r="RQF22" s="89"/>
      <c r="RQH22" s="91"/>
      <c r="RQK22" s="89"/>
      <c r="RQM22" s="91"/>
      <c r="RQP22" s="89"/>
      <c r="RQR22" s="91"/>
      <c r="RQU22" s="89"/>
      <c r="RQW22" s="91"/>
      <c r="RQZ22" s="89"/>
      <c r="RRB22" s="91"/>
      <c r="RRE22" s="89"/>
      <c r="RRG22" s="91"/>
      <c r="RRJ22" s="89"/>
      <c r="RRL22" s="91"/>
      <c r="RRO22" s="89"/>
      <c r="RRQ22" s="91"/>
      <c r="RRT22" s="89"/>
      <c r="RRV22" s="91"/>
      <c r="RRY22" s="89"/>
      <c r="RSA22" s="91"/>
      <c r="RSD22" s="89"/>
      <c r="RSF22" s="91"/>
      <c r="RSI22" s="89"/>
      <c r="RSK22" s="91"/>
      <c r="RSN22" s="89"/>
      <c r="RSP22" s="91"/>
      <c r="RSS22" s="89"/>
      <c r="RSU22" s="91"/>
      <c r="RSX22" s="89"/>
      <c r="RSZ22" s="91"/>
      <c r="RTC22" s="89"/>
      <c r="RTE22" s="91"/>
      <c r="RTH22" s="89"/>
      <c r="RTJ22" s="91"/>
      <c r="RTM22" s="89"/>
      <c r="RTO22" s="91"/>
      <c r="RTR22" s="89"/>
      <c r="RTT22" s="91"/>
      <c r="RTW22" s="89"/>
      <c r="RTY22" s="91"/>
      <c r="RUB22" s="89"/>
      <c r="RUD22" s="91"/>
      <c r="RUG22" s="89"/>
      <c r="RUI22" s="91"/>
      <c r="RUL22" s="89"/>
      <c r="RUN22" s="91"/>
      <c r="RUQ22" s="89"/>
      <c r="RUS22" s="91"/>
      <c r="RUV22" s="89"/>
      <c r="RUX22" s="91"/>
      <c r="RVA22" s="89"/>
      <c r="RVC22" s="91"/>
      <c r="RVF22" s="89"/>
      <c r="RVH22" s="91"/>
      <c r="RVK22" s="89"/>
      <c r="RVM22" s="91"/>
      <c r="RVP22" s="89"/>
      <c r="RVR22" s="91"/>
      <c r="RVU22" s="89"/>
      <c r="RVW22" s="91"/>
      <c r="RVZ22" s="89"/>
      <c r="RWB22" s="91"/>
      <c r="RWE22" s="89"/>
      <c r="RWG22" s="91"/>
      <c r="RWJ22" s="89"/>
      <c r="RWL22" s="91"/>
      <c r="RWO22" s="89"/>
      <c r="RWQ22" s="91"/>
      <c r="RWT22" s="89"/>
      <c r="RWV22" s="91"/>
      <c r="RWY22" s="89"/>
      <c r="RXA22" s="91"/>
      <c r="RXD22" s="89"/>
      <c r="RXF22" s="91"/>
      <c r="RXI22" s="89"/>
      <c r="RXK22" s="91"/>
      <c r="RXN22" s="89"/>
      <c r="RXP22" s="91"/>
      <c r="RXS22" s="89"/>
      <c r="RXU22" s="91"/>
      <c r="RXX22" s="89"/>
      <c r="RXZ22" s="91"/>
      <c r="RYC22" s="89"/>
      <c r="RYE22" s="91"/>
      <c r="RYH22" s="89"/>
      <c r="RYJ22" s="91"/>
      <c r="RYM22" s="89"/>
      <c r="RYO22" s="91"/>
      <c r="RYR22" s="89"/>
      <c r="RYT22" s="91"/>
      <c r="RYW22" s="89"/>
      <c r="RYY22" s="91"/>
      <c r="RZB22" s="89"/>
      <c r="RZD22" s="91"/>
      <c r="RZG22" s="89"/>
      <c r="RZI22" s="91"/>
      <c r="RZL22" s="89"/>
      <c r="RZN22" s="91"/>
      <c r="RZQ22" s="89"/>
      <c r="RZS22" s="91"/>
      <c r="RZV22" s="89"/>
      <c r="RZX22" s="91"/>
      <c r="SAA22" s="89"/>
      <c r="SAC22" s="91"/>
      <c r="SAF22" s="89"/>
      <c r="SAH22" s="91"/>
      <c r="SAK22" s="89"/>
      <c r="SAM22" s="91"/>
      <c r="SAP22" s="89"/>
      <c r="SAR22" s="91"/>
      <c r="SAU22" s="89"/>
      <c r="SAW22" s="91"/>
      <c r="SAZ22" s="89"/>
      <c r="SBB22" s="91"/>
      <c r="SBE22" s="89"/>
      <c r="SBG22" s="91"/>
      <c r="SBJ22" s="89"/>
      <c r="SBL22" s="91"/>
      <c r="SBO22" s="89"/>
      <c r="SBQ22" s="91"/>
      <c r="SBT22" s="89"/>
      <c r="SBV22" s="91"/>
      <c r="SBY22" s="89"/>
      <c r="SCA22" s="91"/>
      <c r="SCD22" s="89"/>
      <c r="SCF22" s="91"/>
      <c r="SCI22" s="89"/>
      <c r="SCK22" s="91"/>
      <c r="SCN22" s="89"/>
      <c r="SCP22" s="91"/>
      <c r="SCS22" s="89"/>
      <c r="SCU22" s="91"/>
      <c r="SCX22" s="89"/>
      <c r="SCZ22" s="91"/>
      <c r="SDC22" s="89"/>
      <c r="SDE22" s="91"/>
      <c r="SDH22" s="89"/>
      <c r="SDJ22" s="91"/>
      <c r="SDM22" s="89"/>
      <c r="SDO22" s="91"/>
      <c r="SDR22" s="89"/>
      <c r="SDT22" s="91"/>
      <c r="SDW22" s="89"/>
      <c r="SDY22" s="91"/>
      <c r="SEB22" s="89"/>
      <c r="SED22" s="91"/>
      <c r="SEG22" s="89"/>
      <c r="SEI22" s="91"/>
      <c r="SEL22" s="89"/>
      <c r="SEN22" s="91"/>
      <c r="SEQ22" s="89"/>
      <c r="SES22" s="91"/>
      <c r="SEV22" s="89"/>
      <c r="SEX22" s="91"/>
      <c r="SFA22" s="89"/>
      <c r="SFC22" s="91"/>
      <c r="SFF22" s="89"/>
      <c r="SFH22" s="91"/>
      <c r="SFK22" s="89"/>
      <c r="SFM22" s="91"/>
      <c r="SFP22" s="89"/>
      <c r="SFR22" s="91"/>
      <c r="SFU22" s="89"/>
      <c r="SFW22" s="91"/>
      <c r="SFZ22" s="89"/>
      <c r="SGB22" s="91"/>
      <c r="SGE22" s="89"/>
      <c r="SGG22" s="91"/>
      <c r="SGJ22" s="89"/>
      <c r="SGL22" s="91"/>
      <c r="SGO22" s="89"/>
      <c r="SGQ22" s="91"/>
      <c r="SGT22" s="89"/>
      <c r="SGV22" s="91"/>
      <c r="SGY22" s="89"/>
      <c r="SHA22" s="91"/>
      <c r="SHD22" s="89"/>
      <c r="SHF22" s="91"/>
      <c r="SHI22" s="89"/>
      <c r="SHK22" s="91"/>
      <c r="SHN22" s="89"/>
      <c r="SHP22" s="91"/>
      <c r="SHS22" s="89"/>
      <c r="SHU22" s="91"/>
      <c r="SHX22" s="89"/>
      <c r="SHZ22" s="91"/>
      <c r="SIC22" s="89"/>
      <c r="SIE22" s="91"/>
      <c r="SIH22" s="89"/>
      <c r="SIJ22" s="91"/>
      <c r="SIM22" s="89"/>
      <c r="SIO22" s="91"/>
      <c r="SIR22" s="89"/>
      <c r="SIT22" s="91"/>
      <c r="SIW22" s="89"/>
      <c r="SIY22" s="91"/>
      <c r="SJB22" s="89"/>
      <c r="SJD22" s="91"/>
      <c r="SJG22" s="89"/>
      <c r="SJI22" s="91"/>
      <c r="SJL22" s="89"/>
      <c r="SJN22" s="91"/>
      <c r="SJQ22" s="89"/>
      <c r="SJS22" s="91"/>
      <c r="SJV22" s="89"/>
      <c r="SJX22" s="91"/>
      <c r="SKA22" s="89"/>
      <c r="SKC22" s="91"/>
      <c r="SKF22" s="89"/>
      <c r="SKH22" s="91"/>
      <c r="SKK22" s="89"/>
      <c r="SKM22" s="91"/>
      <c r="SKP22" s="89"/>
      <c r="SKR22" s="91"/>
      <c r="SKU22" s="89"/>
      <c r="SKW22" s="91"/>
      <c r="SKZ22" s="89"/>
      <c r="SLB22" s="91"/>
      <c r="SLE22" s="89"/>
      <c r="SLG22" s="91"/>
      <c r="SLJ22" s="89"/>
      <c r="SLL22" s="91"/>
      <c r="SLO22" s="89"/>
      <c r="SLQ22" s="91"/>
      <c r="SLT22" s="89"/>
      <c r="SLV22" s="91"/>
      <c r="SLY22" s="89"/>
      <c r="SMA22" s="91"/>
      <c r="SMD22" s="89"/>
      <c r="SMF22" s="91"/>
      <c r="SMI22" s="89"/>
      <c r="SMK22" s="91"/>
      <c r="SMN22" s="89"/>
      <c r="SMP22" s="91"/>
      <c r="SMS22" s="89"/>
      <c r="SMU22" s="91"/>
      <c r="SMX22" s="89"/>
      <c r="SMZ22" s="91"/>
      <c r="SNC22" s="89"/>
      <c r="SNE22" s="91"/>
      <c r="SNH22" s="89"/>
      <c r="SNJ22" s="91"/>
      <c r="SNM22" s="89"/>
      <c r="SNO22" s="91"/>
      <c r="SNR22" s="89"/>
      <c r="SNT22" s="91"/>
      <c r="SNW22" s="89"/>
      <c r="SNY22" s="91"/>
      <c r="SOB22" s="89"/>
      <c r="SOD22" s="91"/>
      <c r="SOG22" s="89"/>
      <c r="SOI22" s="91"/>
      <c r="SOL22" s="89"/>
      <c r="SON22" s="91"/>
      <c r="SOQ22" s="89"/>
      <c r="SOS22" s="91"/>
      <c r="SOV22" s="89"/>
      <c r="SOX22" s="91"/>
      <c r="SPA22" s="89"/>
      <c r="SPC22" s="91"/>
      <c r="SPF22" s="89"/>
      <c r="SPH22" s="91"/>
      <c r="SPK22" s="89"/>
      <c r="SPM22" s="91"/>
      <c r="SPP22" s="89"/>
      <c r="SPR22" s="91"/>
      <c r="SPU22" s="89"/>
      <c r="SPW22" s="91"/>
      <c r="SPZ22" s="89"/>
      <c r="SQB22" s="91"/>
      <c r="SQE22" s="89"/>
      <c r="SQG22" s="91"/>
      <c r="SQJ22" s="89"/>
      <c r="SQL22" s="91"/>
      <c r="SQO22" s="89"/>
      <c r="SQQ22" s="91"/>
      <c r="SQT22" s="89"/>
      <c r="SQV22" s="91"/>
      <c r="SQY22" s="89"/>
      <c r="SRA22" s="91"/>
      <c r="SRD22" s="89"/>
      <c r="SRF22" s="91"/>
      <c r="SRI22" s="89"/>
      <c r="SRK22" s="91"/>
      <c r="SRN22" s="89"/>
      <c r="SRP22" s="91"/>
      <c r="SRS22" s="89"/>
      <c r="SRU22" s="91"/>
      <c r="SRX22" s="89"/>
      <c r="SRZ22" s="91"/>
      <c r="SSC22" s="89"/>
      <c r="SSE22" s="91"/>
      <c r="SSH22" s="89"/>
      <c r="SSJ22" s="91"/>
      <c r="SSM22" s="89"/>
      <c r="SSO22" s="91"/>
      <c r="SSR22" s="89"/>
      <c r="SST22" s="91"/>
      <c r="SSW22" s="89"/>
      <c r="SSY22" s="91"/>
      <c r="STB22" s="89"/>
      <c r="STD22" s="91"/>
      <c r="STG22" s="89"/>
      <c r="STI22" s="91"/>
      <c r="STL22" s="89"/>
      <c r="STN22" s="91"/>
      <c r="STQ22" s="89"/>
      <c r="STS22" s="91"/>
      <c r="STV22" s="89"/>
      <c r="STX22" s="91"/>
      <c r="SUA22" s="89"/>
      <c r="SUC22" s="91"/>
      <c r="SUF22" s="89"/>
      <c r="SUH22" s="91"/>
      <c r="SUK22" s="89"/>
      <c r="SUM22" s="91"/>
      <c r="SUP22" s="89"/>
      <c r="SUR22" s="91"/>
      <c r="SUU22" s="89"/>
      <c r="SUW22" s="91"/>
      <c r="SUZ22" s="89"/>
      <c r="SVB22" s="91"/>
      <c r="SVE22" s="89"/>
      <c r="SVG22" s="91"/>
      <c r="SVJ22" s="89"/>
      <c r="SVL22" s="91"/>
      <c r="SVO22" s="89"/>
      <c r="SVQ22" s="91"/>
      <c r="SVT22" s="89"/>
      <c r="SVV22" s="91"/>
      <c r="SVY22" s="89"/>
      <c r="SWA22" s="91"/>
      <c r="SWD22" s="89"/>
      <c r="SWF22" s="91"/>
      <c r="SWI22" s="89"/>
      <c r="SWK22" s="91"/>
      <c r="SWN22" s="89"/>
      <c r="SWP22" s="91"/>
      <c r="SWS22" s="89"/>
      <c r="SWU22" s="91"/>
      <c r="SWX22" s="89"/>
      <c r="SWZ22" s="91"/>
      <c r="SXC22" s="89"/>
      <c r="SXE22" s="91"/>
      <c r="SXH22" s="89"/>
      <c r="SXJ22" s="91"/>
      <c r="SXM22" s="89"/>
      <c r="SXO22" s="91"/>
      <c r="SXR22" s="89"/>
      <c r="SXT22" s="91"/>
      <c r="SXW22" s="89"/>
      <c r="SXY22" s="91"/>
      <c r="SYB22" s="89"/>
      <c r="SYD22" s="91"/>
      <c r="SYG22" s="89"/>
      <c r="SYI22" s="91"/>
      <c r="SYL22" s="89"/>
      <c r="SYN22" s="91"/>
      <c r="SYQ22" s="89"/>
      <c r="SYS22" s="91"/>
      <c r="SYV22" s="89"/>
      <c r="SYX22" s="91"/>
      <c r="SZA22" s="89"/>
      <c r="SZC22" s="91"/>
      <c r="SZF22" s="89"/>
      <c r="SZH22" s="91"/>
      <c r="SZK22" s="89"/>
      <c r="SZM22" s="91"/>
      <c r="SZP22" s="89"/>
      <c r="SZR22" s="91"/>
      <c r="SZU22" s="89"/>
      <c r="SZW22" s="91"/>
      <c r="SZZ22" s="89"/>
      <c r="TAB22" s="91"/>
      <c r="TAE22" s="89"/>
      <c r="TAG22" s="91"/>
      <c r="TAJ22" s="89"/>
      <c r="TAL22" s="91"/>
      <c r="TAO22" s="89"/>
      <c r="TAQ22" s="91"/>
      <c r="TAT22" s="89"/>
      <c r="TAV22" s="91"/>
      <c r="TAY22" s="89"/>
      <c r="TBA22" s="91"/>
      <c r="TBD22" s="89"/>
      <c r="TBF22" s="91"/>
      <c r="TBI22" s="89"/>
      <c r="TBK22" s="91"/>
      <c r="TBN22" s="89"/>
      <c r="TBP22" s="91"/>
      <c r="TBS22" s="89"/>
      <c r="TBU22" s="91"/>
      <c r="TBX22" s="89"/>
      <c r="TBZ22" s="91"/>
      <c r="TCC22" s="89"/>
      <c r="TCE22" s="91"/>
      <c r="TCH22" s="89"/>
      <c r="TCJ22" s="91"/>
      <c r="TCM22" s="89"/>
      <c r="TCO22" s="91"/>
      <c r="TCR22" s="89"/>
      <c r="TCT22" s="91"/>
      <c r="TCW22" s="89"/>
      <c r="TCY22" s="91"/>
      <c r="TDB22" s="89"/>
      <c r="TDD22" s="91"/>
      <c r="TDG22" s="89"/>
      <c r="TDI22" s="91"/>
      <c r="TDL22" s="89"/>
      <c r="TDN22" s="91"/>
      <c r="TDQ22" s="89"/>
      <c r="TDS22" s="91"/>
      <c r="TDV22" s="89"/>
      <c r="TDX22" s="91"/>
      <c r="TEA22" s="89"/>
      <c r="TEC22" s="91"/>
      <c r="TEF22" s="89"/>
      <c r="TEH22" s="91"/>
      <c r="TEK22" s="89"/>
      <c r="TEM22" s="91"/>
      <c r="TEP22" s="89"/>
      <c r="TER22" s="91"/>
      <c r="TEU22" s="89"/>
      <c r="TEW22" s="91"/>
      <c r="TEZ22" s="89"/>
      <c r="TFB22" s="91"/>
      <c r="TFE22" s="89"/>
      <c r="TFG22" s="91"/>
      <c r="TFJ22" s="89"/>
      <c r="TFL22" s="91"/>
      <c r="TFO22" s="89"/>
      <c r="TFQ22" s="91"/>
      <c r="TFT22" s="89"/>
      <c r="TFV22" s="91"/>
      <c r="TFY22" s="89"/>
      <c r="TGA22" s="91"/>
      <c r="TGD22" s="89"/>
      <c r="TGF22" s="91"/>
      <c r="TGI22" s="89"/>
      <c r="TGK22" s="91"/>
      <c r="TGN22" s="89"/>
      <c r="TGP22" s="91"/>
      <c r="TGS22" s="89"/>
      <c r="TGU22" s="91"/>
      <c r="TGX22" s="89"/>
      <c r="TGZ22" s="91"/>
      <c r="THC22" s="89"/>
      <c r="THE22" s="91"/>
      <c r="THH22" s="89"/>
      <c r="THJ22" s="91"/>
      <c r="THM22" s="89"/>
      <c r="THO22" s="91"/>
      <c r="THR22" s="89"/>
      <c r="THT22" s="91"/>
      <c r="THW22" s="89"/>
      <c r="THY22" s="91"/>
      <c r="TIB22" s="89"/>
      <c r="TID22" s="91"/>
      <c r="TIG22" s="89"/>
      <c r="TII22" s="91"/>
      <c r="TIL22" s="89"/>
      <c r="TIN22" s="91"/>
      <c r="TIQ22" s="89"/>
      <c r="TIS22" s="91"/>
      <c r="TIV22" s="89"/>
      <c r="TIX22" s="91"/>
      <c r="TJA22" s="89"/>
      <c r="TJC22" s="91"/>
      <c r="TJF22" s="89"/>
      <c r="TJH22" s="91"/>
      <c r="TJK22" s="89"/>
      <c r="TJM22" s="91"/>
      <c r="TJP22" s="89"/>
      <c r="TJR22" s="91"/>
      <c r="TJU22" s="89"/>
      <c r="TJW22" s="91"/>
      <c r="TJZ22" s="89"/>
      <c r="TKB22" s="91"/>
      <c r="TKE22" s="89"/>
      <c r="TKG22" s="91"/>
      <c r="TKJ22" s="89"/>
      <c r="TKL22" s="91"/>
      <c r="TKO22" s="89"/>
      <c r="TKQ22" s="91"/>
      <c r="TKT22" s="89"/>
      <c r="TKV22" s="91"/>
      <c r="TKY22" s="89"/>
      <c r="TLA22" s="91"/>
      <c r="TLD22" s="89"/>
      <c r="TLF22" s="91"/>
      <c r="TLI22" s="89"/>
      <c r="TLK22" s="91"/>
      <c r="TLN22" s="89"/>
      <c r="TLP22" s="91"/>
      <c r="TLS22" s="89"/>
      <c r="TLU22" s="91"/>
      <c r="TLX22" s="89"/>
      <c r="TLZ22" s="91"/>
      <c r="TMC22" s="89"/>
      <c r="TME22" s="91"/>
      <c r="TMH22" s="89"/>
      <c r="TMJ22" s="91"/>
      <c r="TMM22" s="89"/>
      <c r="TMO22" s="91"/>
      <c r="TMR22" s="89"/>
      <c r="TMT22" s="91"/>
      <c r="TMW22" s="89"/>
      <c r="TMY22" s="91"/>
      <c r="TNB22" s="89"/>
      <c r="TND22" s="91"/>
      <c r="TNG22" s="89"/>
      <c r="TNI22" s="91"/>
      <c r="TNL22" s="89"/>
      <c r="TNN22" s="91"/>
      <c r="TNQ22" s="89"/>
      <c r="TNS22" s="91"/>
      <c r="TNV22" s="89"/>
      <c r="TNX22" s="91"/>
      <c r="TOA22" s="89"/>
      <c r="TOC22" s="91"/>
      <c r="TOF22" s="89"/>
      <c r="TOH22" s="91"/>
      <c r="TOK22" s="89"/>
      <c r="TOM22" s="91"/>
      <c r="TOP22" s="89"/>
      <c r="TOR22" s="91"/>
      <c r="TOU22" s="89"/>
      <c r="TOW22" s="91"/>
      <c r="TOZ22" s="89"/>
      <c r="TPB22" s="91"/>
      <c r="TPE22" s="89"/>
      <c r="TPG22" s="91"/>
      <c r="TPJ22" s="89"/>
      <c r="TPL22" s="91"/>
      <c r="TPO22" s="89"/>
      <c r="TPQ22" s="91"/>
      <c r="TPT22" s="89"/>
      <c r="TPV22" s="91"/>
      <c r="TPY22" s="89"/>
      <c r="TQA22" s="91"/>
      <c r="TQD22" s="89"/>
      <c r="TQF22" s="91"/>
      <c r="TQI22" s="89"/>
      <c r="TQK22" s="91"/>
      <c r="TQN22" s="89"/>
      <c r="TQP22" s="91"/>
      <c r="TQS22" s="89"/>
      <c r="TQU22" s="91"/>
      <c r="TQX22" s="89"/>
      <c r="TQZ22" s="91"/>
      <c r="TRC22" s="89"/>
      <c r="TRE22" s="91"/>
      <c r="TRH22" s="89"/>
      <c r="TRJ22" s="91"/>
      <c r="TRM22" s="89"/>
      <c r="TRO22" s="91"/>
      <c r="TRR22" s="89"/>
      <c r="TRT22" s="91"/>
      <c r="TRW22" s="89"/>
      <c r="TRY22" s="91"/>
      <c r="TSB22" s="89"/>
      <c r="TSD22" s="91"/>
      <c r="TSG22" s="89"/>
      <c r="TSI22" s="91"/>
      <c r="TSL22" s="89"/>
      <c r="TSN22" s="91"/>
      <c r="TSQ22" s="89"/>
      <c r="TSS22" s="91"/>
      <c r="TSV22" s="89"/>
      <c r="TSX22" s="91"/>
      <c r="TTA22" s="89"/>
      <c r="TTC22" s="91"/>
      <c r="TTF22" s="89"/>
      <c r="TTH22" s="91"/>
      <c r="TTK22" s="89"/>
      <c r="TTM22" s="91"/>
      <c r="TTP22" s="89"/>
      <c r="TTR22" s="91"/>
      <c r="TTU22" s="89"/>
      <c r="TTW22" s="91"/>
      <c r="TTZ22" s="89"/>
      <c r="TUB22" s="91"/>
      <c r="TUE22" s="89"/>
      <c r="TUG22" s="91"/>
      <c r="TUJ22" s="89"/>
      <c r="TUL22" s="91"/>
      <c r="TUO22" s="89"/>
      <c r="TUQ22" s="91"/>
      <c r="TUT22" s="89"/>
      <c r="TUV22" s="91"/>
      <c r="TUY22" s="89"/>
      <c r="TVA22" s="91"/>
      <c r="TVD22" s="89"/>
      <c r="TVF22" s="91"/>
      <c r="TVI22" s="89"/>
      <c r="TVK22" s="91"/>
      <c r="TVN22" s="89"/>
      <c r="TVP22" s="91"/>
      <c r="TVS22" s="89"/>
      <c r="TVU22" s="91"/>
      <c r="TVX22" s="89"/>
      <c r="TVZ22" s="91"/>
      <c r="TWC22" s="89"/>
      <c r="TWE22" s="91"/>
      <c r="TWH22" s="89"/>
      <c r="TWJ22" s="91"/>
      <c r="TWM22" s="89"/>
      <c r="TWO22" s="91"/>
      <c r="TWR22" s="89"/>
      <c r="TWT22" s="91"/>
      <c r="TWW22" s="89"/>
      <c r="TWY22" s="91"/>
      <c r="TXB22" s="89"/>
      <c r="TXD22" s="91"/>
      <c r="TXG22" s="89"/>
      <c r="TXI22" s="91"/>
      <c r="TXL22" s="89"/>
      <c r="TXN22" s="91"/>
      <c r="TXQ22" s="89"/>
      <c r="TXS22" s="91"/>
      <c r="TXV22" s="89"/>
      <c r="TXX22" s="91"/>
      <c r="TYA22" s="89"/>
      <c r="TYC22" s="91"/>
      <c r="TYF22" s="89"/>
      <c r="TYH22" s="91"/>
      <c r="TYK22" s="89"/>
      <c r="TYM22" s="91"/>
      <c r="TYP22" s="89"/>
      <c r="TYR22" s="91"/>
      <c r="TYU22" s="89"/>
      <c r="TYW22" s="91"/>
      <c r="TYZ22" s="89"/>
      <c r="TZB22" s="91"/>
      <c r="TZE22" s="89"/>
      <c r="TZG22" s="91"/>
      <c r="TZJ22" s="89"/>
      <c r="TZL22" s="91"/>
      <c r="TZO22" s="89"/>
      <c r="TZQ22" s="91"/>
      <c r="TZT22" s="89"/>
      <c r="TZV22" s="91"/>
      <c r="TZY22" s="89"/>
      <c r="UAA22" s="91"/>
      <c r="UAD22" s="89"/>
      <c r="UAF22" s="91"/>
      <c r="UAI22" s="89"/>
      <c r="UAK22" s="91"/>
      <c r="UAN22" s="89"/>
      <c r="UAP22" s="91"/>
      <c r="UAS22" s="89"/>
      <c r="UAU22" s="91"/>
      <c r="UAX22" s="89"/>
      <c r="UAZ22" s="91"/>
      <c r="UBC22" s="89"/>
      <c r="UBE22" s="91"/>
      <c r="UBH22" s="89"/>
      <c r="UBJ22" s="91"/>
      <c r="UBM22" s="89"/>
      <c r="UBO22" s="91"/>
      <c r="UBR22" s="89"/>
      <c r="UBT22" s="91"/>
      <c r="UBW22" s="89"/>
      <c r="UBY22" s="91"/>
      <c r="UCB22" s="89"/>
      <c r="UCD22" s="91"/>
      <c r="UCG22" s="89"/>
      <c r="UCI22" s="91"/>
      <c r="UCL22" s="89"/>
      <c r="UCN22" s="91"/>
      <c r="UCQ22" s="89"/>
      <c r="UCS22" s="91"/>
      <c r="UCV22" s="89"/>
      <c r="UCX22" s="91"/>
      <c r="UDA22" s="89"/>
      <c r="UDC22" s="91"/>
      <c r="UDF22" s="89"/>
      <c r="UDH22" s="91"/>
      <c r="UDK22" s="89"/>
      <c r="UDM22" s="91"/>
      <c r="UDP22" s="89"/>
      <c r="UDR22" s="91"/>
      <c r="UDU22" s="89"/>
      <c r="UDW22" s="91"/>
      <c r="UDZ22" s="89"/>
      <c r="UEB22" s="91"/>
      <c r="UEE22" s="89"/>
      <c r="UEG22" s="91"/>
      <c r="UEJ22" s="89"/>
      <c r="UEL22" s="91"/>
      <c r="UEO22" s="89"/>
      <c r="UEQ22" s="91"/>
      <c r="UET22" s="89"/>
      <c r="UEV22" s="91"/>
      <c r="UEY22" s="89"/>
      <c r="UFA22" s="91"/>
      <c r="UFD22" s="89"/>
      <c r="UFF22" s="91"/>
      <c r="UFI22" s="89"/>
      <c r="UFK22" s="91"/>
      <c r="UFN22" s="89"/>
      <c r="UFP22" s="91"/>
      <c r="UFS22" s="89"/>
      <c r="UFU22" s="91"/>
      <c r="UFX22" s="89"/>
      <c r="UFZ22" s="91"/>
      <c r="UGC22" s="89"/>
      <c r="UGE22" s="91"/>
      <c r="UGH22" s="89"/>
      <c r="UGJ22" s="91"/>
      <c r="UGM22" s="89"/>
      <c r="UGO22" s="91"/>
      <c r="UGR22" s="89"/>
      <c r="UGT22" s="91"/>
      <c r="UGW22" s="89"/>
      <c r="UGY22" s="91"/>
      <c r="UHB22" s="89"/>
      <c r="UHD22" s="91"/>
      <c r="UHG22" s="89"/>
      <c r="UHI22" s="91"/>
      <c r="UHL22" s="89"/>
      <c r="UHN22" s="91"/>
      <c r="UHQ22" s="89"/>
      <c r="UHS22" s="91"/>
      <c r="UHV22" s="89"/>
      <c r="UHX22" s="91"/>
      <c r="UIA22" s="89"/>
      <c r="UIC22" s="91"/>
      <c r="UIF22" s="89"/>
      <c r="UIH22" s="91"/>
      <c r="UIK22" s="89"/>
      <c r="UIM22" s="91"/>
      <c r="UIP22" s="89"/>
      <c r="UIR22" s="91"/>
      <c r="UIU22" s="89"/>
      <c r="UIW22" s="91"/>
      <c r="UIZ22" s="89"/>
      <c r="UJB22" s="91"/>
      <c r="UJE22" s="89"/>
      <c r="UJG22" s="91"/>
      <c r="UJJ22" s="89"/>
      <c r="UJL22" s="91"/>
      <c r="UJO22" s="89"/>
      <c r="UJQ22" s="91"/>
      <c r="UJT22" s="89"/>
      <c r="UJV22" s="91"/>
      <c r="UJY22" s="89"/>
      <c r="UKA22" s="91"/>
      <c r="UKD22" s="89"/>
      <c r="UKF22" s="91"/>
      <c r="UKI22" s="89"/>
      <c r="UKK22" s="91"/>
      <c r="UKN22" s="89"/>
      <c r="UKP22" s="91"/>
      <c r="UKS22" s="89"/>
      <c r="UKU22" s="91"/>
      <c r="UKX22" s="89"/>
      <c r="UKZ22" s="91"/>
      <c r="ULC22" s="89"/>
      <c r="ULE22" s="91"/>
      <c r="ULH22" s="89"/>
      <c r="ULJ22" s="91"/>
      <c r="ULM22" s="89"/>
      <c r="ULO22" s="91"/>
      <c r="ULR22" s="89"/>
      <c r="ULT22" s="91"/>
      <c r="ULW22" s="89"/>
      <c r="ULY22" s="91"/>
      <c r="UMB22" s="89"/>
      <c r="UMD22" s="91"/>
      <c r="UMG22" s="89"/>
      <c r="UMI22" s="91"/>
      <c r="UML22" s="89"/>
      <c r="UMN22" s="91"/>
      <c r="UMQ22" s="89"/>
      <c r="UMS22" s="91"/>
      <c r="UMV22" s="89"/>
      <c r="UMX22" s="91"/>
      <c r="UNA22" s="89"/>
      <c r="UNC22" s="91"/>
      <c r="UNF22" s="89"/>
      <c r="UNH22" s="91"/>
      <c r="UNK22" s="89"/>
      <c r="UNM22" s="91"/>
      <c r="UNP22" s="89"/>
      <c r="UNR22" s="91"/>
      <c r="UNU22" s="89"/>
      <c r="UNW22" s="91"/>
      <c r="UNZ22" s="89"/>
      <c r="UOB22" s="91"/>
      <c r="UOE22" s="89"/>
      <c r="UOG22" s="91"/>
      <c r="UOJ22" s="89"/>
      <c r="UOL22" s="91"/>
      <c r="UOO22" s="89"/>
      <c r="UOQ22" s="91"/>
      <c r="UOT22" s="89"/>
      <c r="UOV22" s="91"/>
      <c r="UOY22" s="89"/>
      <c r="UPA22" s="91"/>
      <c r="UPD22" s="89"/>
      <c r="UPF22" s="91"/>
      <c r="UPI22" s="89"/>
      <c r="UPK22" s="91"/>
      <c r="UPN22" s="89"/>
      <c r="UPP22" s="91"/>
      <c r="UPS22" s="89"/>
      <c r="UPU22" s="91"/>
      <c r="UPX22" s="89"/>
      <c r="UPZ22" s="91"/>
      <c r="UQC22" s="89"/>
      <c r="UQE22" s="91"/>
      <c r="UQH22" s="89"/>
      <c r="UQJ22" s="91"/>
      <c r="UQM22" s="89"/>
      <c r="UQO22" s="91"/>
      <c r="UQR22" s="89"/>
      <c r="UQT22" s="91"/>
      <c r="UQW22" s="89"/>
      <c r="UQY22" s="91"/>
      <c r="URB22" s="89"/>
      <c r="URD22" s="91"/>
      <c r="URG22" s="89"/>
      <c r="URI22" s="91"/>
      <c r="URL22" s="89"/>
      <c r="URN22" s="91"/>
      <c r="URQ22" s="89"/>
      <c r="URS22" s="91"/>
      <c r="URV22" s="89"/>
      <c r="URX22" s="91"/>
      <c r="USA22" s="89"/>
      <c r="USC22" s="91"/>
      <c r="USF22" s="89"/>
      <c r="USH22" s="91"/>
      <c r="USK22" s="89"/>
      <c r="USM22" s="91"/>
      <c r="USP22" s="89"/>
      <c r="USR22" s="91"/>
      <c r="USU22" s="89"/>
      <c r="USW22" s="91"/>
      <c r="USZ22" s="89"/>
      <c r="UTB22" s="91"/>
      <c r="UTE22" s="89"/>
      <c r="UTG22" s="91"/>
      <c r="UTJ22" s="89"/>
      <c r="UTL22" s="91"/>
      <c r="UTO22" s="89"/>
      <c r="UTQ22" s="91"/>
      <c r="UTT22" s="89"/>
      <c r="UTV22" s="91"/>
      <c r="UTY22" s="89"/>
      <c r="UUA22" s="91"/>
      <c r="UUD22" s="89"/>
      <c r="UUF22" s="91"/>
      <c r="UUI22" s="89"/>
      <c r="UUK22" s="91"/>
      <c r="UUN22" s="89"/>
      <c r="UUP22" s="91"/>
      <c r="UUS22" s="89"/>
      <c r="UUU22" s="91"/>
      <c r="UUX22" s="89"/>
      <c r="UUZ22" s="91"/>
      <c r="UVC22" s="89"/>
      <c r="UVE22" s="91"/>
      <c r="UVH22" s="89"/>
      <c r="UVJ22" s="91"/>
      <c r="UVM22" s="89"/>
      <c r="UVO22" s="91"/>
      <c r="UVR22" s="89"/>
      <c r="UVT22" s="91"/>
      <c r="UVW22" s="89"/>
      <c r="UVY22" s="91"/>
      <c r="UWB22" s="89"/>
      <c r="UWD22" s="91"/>
      <c r="UWG22" s="89"/>
      <c r="UWI22" s="91"/>
      <c r="UWL22" s="89"/>
      <c r="UWN22" s="91"/>
      <c r="UWQ22" s="89"/>
      <c r="UWS22" s="91"/>
      <c r="UWV22" s="89"/>
      <c r="UWX22" s="91"/>
      <c r="UXA22" s="89"/>
      <c r="UXC22" s="91"/>
      <c r="UXF22" s="89"/>
      <c r="UXH22" s="91"/>
      <c r="UXK22" s="89"/>
      <c r="UXM22" s="91"/>
      <c r="UXP22" s="89"/>
      <c r="UXR22" s="91"/>
      <c r="UXU22" s="89"/>
      <c r="UXW22" s="91"/>
      <c r="UXZ22" s="89"/>
      <c r="UYB22" s="91"/>
      <c r="UYE22" s="89"/>
      <c r="UYG22" s="91"/>
      <c r="UYJ22" s="89"/>
      <c r="UYL22" s="91"/>
      <c r="UYO22" s="89"/>
      <c r="UYQ22" s="91"/>
      <c r="UYT22" s="89"/>
      <c r="UYV22" s="91"/>
      <c r="UYY22" s="89"/>
      <c r="UZA22" s="91"/>
      <c r="UZD22" s="89"/>
      <c r="UZF22" s="91"/>
      <c r="UZI22" s="89"/>
      <c r="UZK22" s="91"/>
      <c r="UZN22" s="89"/>
      <c r="UZP22" s="91"/>
      <c r="UZS22" s="89"/>
      <c r="UZU22" s="91"/>
      <c r="UZX22" s="89"/>
      <c r="UZZ22" s="91"/>
      <c r="VAC22" s="89"/>
      <c r="VAE22" s="91"/>
      <c r="VAH22" s="89"/>
      <c r="VAJ22" s="91"/>
      <c r="VAM22" s="89"/>
      <c r="VAO22" s="91"/>
      <c r="VAR22" s="89"/>
      <c r="VAT22" s="91"/>
      <c r="VAW22" s="89"/>
      <c r="VAY22" s="91"/>
      <c r="VBB22" s="89"/>
      <c r="VBD22" s="91"/>
      <c r="VBG22" s="89"/>
      <c r="VBI22" s="91"/>
      <c r="VBL22" s="89"/>
      <c r="VBN22" s="91"/>
      <c r="VBQ22" s="89"/>
      <c r="VBS22" s="91"/>
      <c r="VBV22" s="89"/>
      <c r="VBX22" s="91"/>
      <c r="VCA22" s="89"/>
      <c r="VCC22" s="91"/>
      <c r="VCF22" s="89"/>
      <c r="VCH22" s="91"/>
      <c r="VCK22" s="89"/>
      <c r="VCM22" s="91"/>
      <c r="VCP22" s="89"/>
      <c r="VCR22" s="91"/>
      <c r="VCU22" s="89"/>
      <c r="VCW22" s="91"/>
      <c r="VCZ22" s="89"/>
      <c r="VDB22" s="91"/>
      <c r="VDE22" s="89"/>
      <c r="VDG22" s="91"/>
      <c r="VDJ22" s="89"/>
      <c r="VDL22" s="91"/>
      <c r="VDO22" s="89"/>
      <c r="VDQ22" s="91"/>
      <c r="VDT22" s="89"/>
      <c r="VDV22" s="91"/>
      <c r="VDY22" s="89"/>
      <c r="VEA22" s="91"/>
      <c r="VED22" s="89"/>
      <c r="VEF22" s="91"/>
      <c r="VEI22" s="89"/>
      <c r="VEK22" s="91"/>
      <c r="VEN22" s="89"/>
      <c r="VEP22" s="91"/>
      <c r="VES22" s="89"/>
      <c r="VEU22" s="91"/>
      <c r="VEX22" s="89"/>
      <c r="VEZ22" s="91"/>
      <c r="VFC22" s="89"/>
      <c r="VFE22" s="91"/>
      <c r="VFH22" s="89"/>
      <c r="VFJ22" s="91"/>
      <c r="VFM22" s="89"/>
      <c r="VFO22" s="91"/>
      <c r="VFR22" s="89"/>
      <c r="VFT22" s="91"/>
      <c r="VFW22" s="89"/>
      <c r="VFY22" s="91"/>
      <c r="VGB22" s="89"/>
      <c r="VGD22" s="91"/>
      <c r="VGG22" s="89"/>
      <c r="VGI22" s="91"/>
      <c r="VGL22" s="89"/>
      <c r="VGN22" s="91"/>
      <c r="VGQ22" s="89"/>
      <c r="VGS22" s="91"/>
      <c r="VGV22" s="89"/>
      <c r="VGX22" s="91"/>
      <c r="VHA22" s="89"/>
      <c r="VHC22" s="91"/>
      <c r="VHF22" s="89"/>
      <c r="VHH22" s="91"/>
      <c r="VHK22" s="89"/>
      <c r="VHM22" s="91"/>
      <c r="VHP22" s="89"/>
      <c r="VHR22" s="91"/>
      <c r="VHU22" s="89"/>
      <c r="VHW22" s="91"/>
      <c r="VHZ22" s="89"/>
      <c r="VIB22" s="91"/>
      <c r="VIE22" s="89"/>
      <c r="VIG22" s="91"/>
      <c r="VIJ22" s="89"/>
      <c r="VIL22" s="91"/>
      <c r="VIO22" s="89"/>
      <c r="VIQ22" s="91"/>
      <c r="VIT22" s="89"/>
      <c r="VIV22" s="91"/>
      <c r="VIY22" s="89"/>
      <c r="VJA22" s="91"/>
      <c r="VJD22" s="89"/>
      <c r="VJF22" s="91"/>
      <c r="VJI22" s="89"/>
      <c r="VJK22" s="91"/>
      <c r="VJN22" s="89"/>
      <c r="VJP22" s="91"/>
      <c r="VJS22" s="89"/>
      <c r="VJU22" s="91"/>
      <c r="VJX22" s="89"/>
      <c r="VJZ22" s="91"/>
      <c r="VKC22" s="89"/>
      <c r="VKE22" s="91"/>
      <c r="VKH22" s="89"/>
      <c r="VKJ22" s="91"/>
      <c r="VKM22" s="89"/>
      <c r="VKO22" s="91"/>
      <c r="VKR22" s="89"/>
      <c r="VKT22" s="91"/>
      <c r="VKW22" s="89"/>
      <c r="VKY22" s="91"/>
      <c r="VLB22" s="89"/>
      <c r="VLD22" s="91"/>
      <c r="VLG22" s="89"/>
      <c r="VLI22" s="91"/>
      <c r="VLL22" s="89"/>
      <c r="VLN22" s="91"/>
      <c r="VLQ22" s="89"/>
      <c r="VLS22" s="91"/>
      <c r="VLV22" s="89"/>
      <c r="VLX22" s="91"/>
      <c r="VMA22" s="89"/>
      <c r="VMC22" s="91"/>
      <c r="VMF22" s="89"/>
      <c r="VMH22" s="91"/>
      <c r="VMK22" s="89"/>
      <c r="VMM22" s="91"/>
      <c r="VMP22" s="89"/>
      <c r="VMR22" s="91"/>
      <c r="VMU22" s="89"/>
      <c r="VMW22" s="91"/>
      <c r="VMZ22" s="89"/>
      <c r="VNB22" s="91"/>
      <c r="VNE22" s="89"/>
      <c r="VNG22" s="91"/>
      <c r="VNJ22" s="89"/>
      <c r="VNL22" s="91"/>
      <c r="VNO22" s="89"/>
      <c r="VNQ22" s="91"/>
      <c r="VNT22" s="89"/>
      <c r="VNV22" s="91"/>
      <c r="VNY22" s="89"/>
      <c r="VOA22" s="91"/>
      <c r="VOD22" s="89"/>
      <c r="VOF22" s="91"/>
      <c r="VOI22" s="89"/>
      <c r="VOK22" s="91"/>
      <c r="VON22" s="89"/>
      <c r="VOP22" s="91"/>
      <c r="VOS22" s="89"/>
      <c r="VOU22" s="91"/>
      <c r="VOX22" s="89"/>
      <c r="VOZ22" s="91"/>
      <c r="VPC22" s="89"/>
      <c r="VPE22" s="91"/>
      <c r="VPH22" s="89"/>
      <c r="VPJ22" s="91"/>
      <c r="VPM22" s="89"/>
      <c r="VPO22" s="91"/>
      <c r="VPR22" s="89"/>
      <c r="VPT22" s="91"/>
      <c r="VPW22" s="89"/>
      <c r="VPY22" s="91"/>
      <c r="VQB22" s="89"/>
      <c r="VQD22" s="91"/>
      <c r="VQG22" s="89"/>
      <c r="VQI22" s="91"/>
      <c r="VQL22" s="89"/>
      <c r="VQN22" s="91"/>
      <c r="VQQ22" s="89"/>
      <c r="VQS22" s="91"/>
      <c r="VQV22" s="89"/>
      <c r="VQX22" s="91"/>
      <c r="VRA22" s="89"/>
      <c r="VRC22" s="91"/>
      <c r="VRF22" s="89"/>
      <c r="VRH22" s="91"/>
      <c r="VRK22" s="89"/>
      <c r="VRM22" s="91"/>
      <c r="VRP22" s="89"/>
      <c r="VRR22" s="91"/>
      <c r="VRU22" s="89"/>
      <c r="VRW22" s="91"/>
      <c r="VRZ22" s="89"/>
      <c r="VSB22" s="91"/>
      <c r="VSE22" s="89"/>
      <c r="VSG22" s="91"/>
      <c r="VSJ22" s="89"/>
      <c r="VSL22" s="91"/>
      <c r="VSO22" s="89"/>
      <c r="VSQ22" s="91"/>
      <c r="VST22" s="89"/>
      <c r="VSV22" s="91"/>
      <c r="VSY22" s="89"/>
      <c r="VTA22" s="91"/>
      <c r="VTD22" s="89"/>
      <c r="VTF22" s="91"/>
      <c r="VTI22" s="89"/>
      <c r="VTK22" s="91"/>
      <c r="VTN22" s="89"/>
      <c r="VTP22" s="91"/>
      <c r="VTS22" s="89"/>
      <c r="VTU22" s="91"/>
      <c r="VTX22" s="89"/>
      <c r="VTZ22" s="91"/>
      <c r="VUC22" s="89"/>
      <c r="VUE22" s="91"/>
      <c r="VUH22" s="89"/>
      <c r="VUJ22" s="91"/>
      <c r="VUM22" s="89"/>
      <c r="VUO22" s="91"/>
      <c r="VUR22" s="89"/>
      <c r="VUT22" s="91"/>
      <c r="VUW22" s="89"/>
      <c r="VUY22" s="91"/>
      <c r="VVB22" s="89"/>
      <c r="VVD22" s="91"/>
      <c r="VVG22" s="89"/>
      <c r="VVI22" s="91"/>
      <c r="VVL22" s="89"/>
      <c r="VVN22" s="91"/>
      <c r="VVQ22" s="89"/>
      <c r="VVS22" s="91"/>
      <c r="VVV22" s="89"/>
      <c r="VVX22" s="91"/>
      <c r="VWA22" s="89"/>
      <c r="VWC22" s="91"/>
      <c r="VWF22" s="89"/>
      <c r="VWH22" s="91"/>
      <c r="VWK22" s="89"/>
      <c r="VWM22" s="91"/>
      <c r="VWP22" s="89"/>
      <c r="VWR22" s="91"/>
      <c r="VWU22" s="89"/>
      <c r="VWW22" s="91"/>
      <c r="VWZ22" s="89"/>
      <c r="VXB22" s="91"/>
      <c r="VXE22" s="89"/>
      <c r="VXG22" s="91"/>
      <c r="VXJ22" s="89"/>
      <c r="VXL22" s="91"/>
      <c r="VXO22" s="89"/>
      <c r="VXQ22" s="91"/>
      <c r="VXT22" s="89"/>
      <c r="VXV22" s="91"/>
      <c r="VXY22" s="89"/>
      <c r="VYA22" s="91"/>
      <c r="VYD22" s="89"/>
      <c r="VYF22" s="91"/>
      <c r="VYI22" s="89"/>
      <c r="VYK22" s="91"/>
      <c r="VYN22" s="89"/>
      <c r="VYP22" s="91"/>
      <c r="VYS22" s="89"/>
      <c r="VYU22" s="91"/>
      <c r="VYX22" s="89"/>
      <c r="VYZ22" s="91"/>
      <c r="VZC22" s="89"/>
      <c r="VZE22" s="91"/>
      <c r="VZH22" s="89"/>
      <c r="VZJ22" s="91"/>
      <c r="VZM22" s="89"/>
      <c r="VZO22" s="91"/>
      <c r="VZR22" s="89"/>
      <c r="VZT22" s="91"/>
      <c r="VZW22" s="89"/>
      <c r="VZY22" s="91"/>
      <c r="WAB22" s="89"/>
      <c r="WAD22" s="91"/>
      <c r="WAG22" s="89"/>
      <c r="WAI22" s="91"/>
      <c r="WAL22" s="89"/>
      <c r="WAN22" s="91"/>
      <c r="WAQ22" s="89"/>
      <c r="WAS22" s="91"/>
      <c r="WAV22" s="89"/>
      <c r="WAX22" s="91"/>
      <c r="WBA22" s="89"/>
      <c r="WBC22" s="91"/>
      <c r="WBF22" s="89"/>
      <c r="WBH22" s="91"/>
      <c r="WBK22" s="89"/>
      <c r="WBM22" s="91"/>
      <c r="WBP22" s="89"/>
      <c r="WBR22" s="91"/>
      <c r="WBU22" s="89"/>
      <c r="WBW22" s="91"/>
      <c r="WBZ22" s="89"/>
      <c r="WCB22" s="91"/>
      <c r="WCE22" s="89"/>
      <c r="WCG22" s="91"/>
      <c r="WCJ22" s="89"/>
      <c r="WCL22" s="91"/>
      <c r="WCO22" s="89"/>
      <c r="WCQ22" s="91"/>
      <c r="WCT22" s="89"/>
      <c r="WCV22" s="91"/>
      <c r="WCY22" s="89"/>
      <c r="WDA22" s="91"/>
      <c r="WDD22" s="89"/>
      <c r="WDF22" s="91"/>
      <c r="WDI22" s="89"/>
      <c r="WDK22" s="91"/>
      <c r="WDN22" s="89"/>
      <c r="WDP22" s="91"/>
      <c r="WDS22" s="89"/>
      <c r="WDU22" s="91"/>
      <c r="WDX22" s="89"/>
      <c r="WDZ22" s="91"/>
      <c r="WEC22" s="89"/>
      <c r="WEE22" s="91"/>
      <c r="WEH22" s="89"/>
      <c r="WEJ22" s="91"/>
      <c r="WEM22" s="89"/>
      <c r="WEO22" s="91"/>
      <c r="WER22" s="89"/>
      <c r="WET22" s="91"/>
      <c r="WEW22" s="89"/>
      <c r="WEY22" s="91"/>
      <c r="WFB22" s="89"/>
      <c r="WFD22" s="91"/>
      <c r="WFG22" s="89"/>
      <c r="WFI22" s="91"/>
      <c r="WFL22" s="89"/>
      <c r="WFN22" s="91"/>
      <c r="WFQ22" s="89"/>
      <c r="WFS22" s="91"/>
      <c r="WFV22" s="89"/>
      <c r="WFX22" s="91"/>
      <c r="WGA22" s="89"/>
      <c r="WGC22" s="91"/>
      <c r="WGF22" s="89"/>
      <c r="WGH22" s="91"/>
      <c r="WGK22" s="89"/>
      <c r="WGM22" s="91"/>
      <c r="WGP22" s="89"/>
      <c r="WGR22" s="91"/>
      <c r="WGU22" s="89"/>
      <c r="WGW22" s="91"/>
      <c r="WGZ22" s="89"/>
      <c r="WHB22" s="91"/>
      <c r="WHE22" s="89"/>
      <c r="WHG22" s="91"/>
      <c r="WHJ22" s="89"/>
      <c r="WHL22" s="91"/>
      <c r="WHO22" s="89"/>
      <c r="WHQ22" s="91"/>
      <c r="WHT22" s="89"/>
      <c r="WHV22" s="91"/>
      <c r="WHY22" s="89"/>
      <c r="WIA22" s="91"/>
      <c r="WID22" s="89"/>
      <c r="WIF22" s="91"/>
      <c r="WII22" s="89"/>
      <c r="WIK22" s="91"/>
      <c r="WIN22" s="89"/>
      <c r="WIP22" s="91"/>
      <c r="WIS22" s="89"/>
      <c r="WIU22" s="91"/>
      <c r="WIX22" s="89"/>
      <c r="WIZ22" s="91"/>
      <c r="WJC22" s="89"/>
      <c r="WJE22" s="91"/>
      <c r="WJH22" s="89"/>
      <c r="WJJ22" s="91"/>
      <c r="WJM22" s="89"/>
      <c r="WJO22" s="91"/>
      <c r="WJR22" s="89"/>
      <c r="WJT22" s="91"/>
      <c r="WJW22" s="89"/>
      <c r="WJY22" s="91"/>
      <c r="WKB22" s="89"/>
      <c r="WKD22" s="91"/>
      <c r="WKG22" s="89"/>
      <c r="WKI22" s="91"/>
      <c r="WKL22" s="89"/>
      <c r="WKN22" s="91"/>
      <c r="WKQ22" s="89"/>
      <c r="WKS22" s="91"/>
      <c r="WKV22" s="89"/>
      <c r="WKX22" s="91"/>
      <c r="WLA22" s="89"/>
      <c r="WLC22" s="91"/>
      <c r="WLF22" s="89"/>
      <c r="WLH22" s="91"/>
      <c r="WLK22" s="89"/>
      <c r="WLM22" s="91"/>
      <c r="WLP22" s="89"/>
      <c r="WLR22" s="91"/>
      <c r="WLU22" s="89"/>
      <c r="WLW22" s="91"/>
      <c r="WLZ22" s="89"/>
      <c r="WMB22" s="91"/>
      <c r="WME22" s="89"/>
      <c r="WMG22" s="91"/>
      <c r="WMJ22" s="89"/>
      <c r="WML22" s="91"/>
      <c r="WMO22" s="89"/>
      <c r="WMQ22" s="91"/>
      <c r="WMT22" s="89"/>
      <c r="WMV22" s="91"/>
      <c r="WMY22" s="89"/>
      <c r="WNA22" s="91"/>
      <c r="WND22" s="89"/>
      <c r="WNF22" s="91"/>
      <c r="WNI22" s="89"/>
      <c r="WNK22" s="91"/>
      <c r="WNN22" s="89"/>
      <c r="WNP22" s="91"/>
      <c r="WNS22" s="89"/>
      <c r="WNU22" s="91"/>
      <c r="WNX22" s="89"/>
      <c r="WNZ22" s="91"/>
      <c r="WOC22" s="89"/>
      <c r="WOE22" s="91"/>
      <c r="WOH22" s="89"/>
      <c r="WOJ22" s="91"/>
      <c r="WOM22" s="89"/>
      <c r="WOO22" s="91"/>
      <c r="WOR22" s="89"/>
      <c r="WOT22" s="91"/>
      <c r="WOW22" s="89"/>
      <c r="WOY22" s="91"/>
      <c r="WPB22" s="89"/>
      <c r="WPD22" s="91"/>
      <c r="WPG22" s="89"/>
      <c r="WPI22" s="91"/>
      <c r="WPL22" s="89"/>
      <c r="WPN22" s="91"/>
      <c r="WPQ22" s="89"/>
      <c r="WPS22" s="91"/>
      <c r="WPV22" s="89"/>
      <c r="WPX22" s="91"/>
      <c r="WQA22" s="89"/>
      <c r="WQC22" s="91"/>
      <c r="WQF22" s="89"/>
      <c r="WQH22" s="91"/>
      <c r="WQK22" s="89"/>
      <c r="WQM22" s="91"/>
      <c r="WQP22" s="89"/>
      <c r="WQR22" s="91"/>
      <c r="WQU22" s="89"/>
      <c r="WQW22" s="91"/>
      <c r="WQZ22" s="89"/>
      <c r="WRB22" s="91"/>
      <c r="WRE22" s="89"/>
      <c r="WRG22" s="91"/>
      <c r="WRJ22" s="89"/>
      <c r="WRL22" s="91"/>
      <c r="WRO22" s="89"/>
      <c r="WRQ22" s="91"/>
      <c r="WRT22" s="89"/>
      <c r="WRV22" s="91"/>
      <c r="WRY22" s="89"/>
      <c r="WSA22" s="91"/>
      <c r="WSD22" s="89"/>
      <c r="WSF22" s="91"/>
      <c r="WSI22" s="89"/>
      <c r="WSK22" s="91"/>
      <c r="WSN22" s="89"/>
      <c r="WSP22" s="91"/>
      <c r="WSS22" s="89"/>
      <c r="WSU22" s="91"/>
      <c r="WSX22" s="89"/>
      <c r="WSZ22" s="91"/>
      <c r="WTC22" s="89"/>
      <c r="WTE22" s="91"/>
      <c r="WTH22" s="89"/>
      <c r="WTJ22" s="91"/>
      <c r="WTM22" s="89"/>
      <c r="WTO22" s="91"/>
      <c r="WTR22" s="89"/>
      <c r="WTT22" s="91"/>
      <c r="WTW22" s="89"/>
      <c r="WTY22" s="91"/>
      <c r="WUB22" s="89"/>
      <c r="WUD22" s="91"/>
      <c r="WUG22" s="89"/>
      <c r="WUI22" s="91"/>
      <c r="WUL22" s="89"/>
      <c r="WUN22" s="91"/>
      <c r="WUQ22" s="89"/>
      <c r="WUS22" s="91"/>
      <c r="WUV22" s="89"/>
      <c r="WUX22" s="91"/>
      <c r="WVA22" s="89"/>
      <c r="WVC22" s="91"/>
      <c r="WVF22" s="89"/>
      <c r="WVH22" s="91"/>
      <c r="WVK22" s="89"/>
      <c r="WVM22" s="91"/>
      <c r="WVP22" s="89"/>
      <c r="WVR22" s="91"/>
      <c r="WVU22" s="89"/>
      <c r="WVW22" s="91"/>
      <c r="WVZ22" s="89"/>
      <c r="WWB22" s="91"/>
      <c r="WWE22" s="89"/>
      <c r="WWG22" s="91"/>
      <c r="WWJ22" s="89"/>
      <c r="WWL22" s="91"/>
      <c r="WWO22" s="89"/>
      <c r="WWQ22" s="91"/>
      <c r="WWT22" s="89"/>
      <c r="WWV22" s="91"/>
      <c r="WWY22" s="89"/>
      <c r="WXA22" s="91"/>
      <c r="WXD22" s="89"/>
      <c r="WXF22" s="91"/>
      <c r="WXI22" s="89"/>
      <c r="WXK22" s="91"/>
      <c r="WXN22" s="89"/>
      <c r="WXP22" s="91"/>
      <c r="WXS22" s="89"/>
      <c r="WXU22" s="91"/>
      <c r="WXX22" s="89"/>
      <c r="WXZ22" s="91"/>
      <c r="WYC22" s="89"/>
      <c r="WYE22" s="91"/>
      <c r="WYH22" s="89"/>
      <c r="WYJ22" s="91"/>
      <c r="WYM22" s="89"/>
      <c r="WYO22" s="91"/>
      <c r="WYR22" s="89"/>
      <c r="WYT22" s="91"/>
      <c r="WYW22" s="89"/>
      <c r="WYY22" s="91"/>
      <c r="WZB22" s="89"/>
      <c r="WZD22" s="91"/>
      <c r="WZG22" s="89"/>
      <c r="WZI22" s="91"/>
      <c r="WZL22" s="89"/>
      <c r="WZN22" s="91"/>
      <c r="WZQ22" s="89"/>
      <c r="WZS22" s="91"/>
      <c r="WZV22" s="89"/>
      <c r="WZX22" s="91"/>
      <c r="XAA22" s="89"/>
      <c r="XAC22" s="91"/>
      <c r="XAF22" s="89"/>
      <c r="XAH22" s="91"/>
      <c r="XAK22" s="89"/>
      <c r="XAM22" s="91"/>
      <c r="XAP22" s="89"/>
      <c r="XAR22" s="91"/>
      <c r="XAU22" s="89"/>
      <c r="XAW22" s="91"/>
      <c r="XAZ22" s="89"/>
      <c r="XBB22" s="91"/>
      <c r="XBE22" s="89"/>
      <c r="XBG22" s="91"/>
      <c r="XBJ22" s="89"/>
      <c r="XBL22" s="91"/>
      <c r="XBO22" s="89"/>
      <c r="XBQ22" s="91"/>
      <c r="XBT22" s="89"/>
      <c r="XBV22" s="91"/>
      <c r="XBY22" s="89"/>
      <c r="XCA22" s="91"/>
      <c r="XCD22" s="89"/>
      <c r="XCF22" s="91"/>
      <c r="XCI22" s="89"/>
      <c r="XCK22" s="91"/>
      <c r="XCN22" s="89"/>
      <c r="XCP22" s="91"/>
      <c r="XCS22" s="89"/>
      <c r="XCU22" s="91"/>
      <c r="XCX22" s="89"/>
      <c r="XCZ22" s="91"/>
      <c r="XDC22" s="89"/>
      <c r="XDE22" s="91"/>
      <c r="XDH22" s="89"/>
      <c r="XDJ22" s="91"/>
      <c r="XDM22" s="89"/>
      <c r="XDO22" s="91"/>
      <c r="XDR22" s="89"/>
      <c r="XDT22" s="91"/>
      <c r="XDW22" s="89"/>
      <c r="XDY22" s="91"/>
      <c r="XEB22" s="89"/>
      <c r="XED22" s="91"/>
      <c r="XEG22" s="89"/>
      <c r="XEI22" s="91"/>
      <c r="XEL22" s="89"/>
      <c r="XEN22" s="91"/>
      <c r="XEQ22" s="89"/>
      <c r="XES22" s="91"/>
      <c r="XEV22" s="89"/>
      <c r="XEX22" s="91"/>
      <c r="XFA22" s="89"/>
      <c r="XFC22" s="91"/>
    </row>
    <row r="23" spans="1:1023 1026:2048 2051:3071 3073:4096 4098:5118 5121:6143 6146:7168 7171:8191 8193:9216 9218:10238 10241:11263 11266:12288 12291:13311 13313:14336 14338:15358 15361:16383" x14ac:dyDescent="0.2">
      <c r="A23" s="45">
        <v>45691</v>
      </c>
      <c r="B23" s="37" t="s">
        <v>121</v>
      </c>
      <c r="C23" s="46">
        <v>9.0500000000000007</v>
      </c>
      <c r="D23" s="37" t="s">
        <v>127</v>
      </c>
      <c r="E23" s="37" t="s">
        <v>128</v>
      </c>
    </row>
    <row r="24" spans="1:1023 1026:2048 2051:3071 3073:4096 4098:5118 5121:6143 6146:7168 7171:8191 8193:9216 9218:10238 10241:11263 11266:12288 12291:13311 13313:14336 14338:15358 15361:16383" x14ac:dyDescent="0.2">
      <c r="A24" s="45">
        <v>45691</v>
      </c>
      <c r="B24" s="37" t="s">
        <v>121</v>
      </c>
      <c r="C24" s="46">
        <v>9.0500000000000007</v>
      </c>
      <c r="D24" s="37" t="s">
        <v>127</v>
      </c>
      <c r="E24" s="37" t="s">
        <v>128</v>
      </c>
    </row>
    <row r="25" spans="1:1023 1026:2048 2051:3071 3073:4096 4098:5118 5121:6143 6146:7168 7171:8191 8193:9216 9218:10238 10241:11263 11266:12288 12291:13311 13313:14336 14338:15358 15361:16383" x14ac:dyDescent="0.2">
      <c r="A25" s="45">
        <v>45691</v>
      </c>
      <c r="B25" s="37" t="s">
        <v>121</v>
      </c>
      <c r="C25" s="46">
        <v>63.38</v>
      </c>
      <c r="D25" s="37" t="s">
        <v>127</v>
      </c>
      <c r="E25" s="37" t="s">
        <v>128</v>
      </c>
    </row>
    <row r="26" spans="1:1023 1026:2048 2051:3071 3073:4096 4098:5118 5121:6143 6146:7168 7171:8191 8193:9216 9218:10238 10241:11263 11266:12288 12291:13311 13313:14336 14338:15358 15361:16383" x14ac:dyDescent="0.2">
      <c r="A26" s="45">
        <v>45691</v>
      </c>
      <c r="B26" s="37" t="s">
        <v>121</v>
      </c>
      <c r="C26" s="46">
        <v>301.8</v>
      </c>
      <c r="D26" s="37" t="s">
        <v>127</v>
      </c>
      <c r="E26" s="37" t="s">
        <v>128</v>
      </c>
    </row>
    <row r="27" spans="1:1023 1026:2048 2051:3071 3073:4096 4098:5118 5121:6143 6146:7168 7171:8191 8193:9216 9218:10238 10241:11263 11266:12288 12291:13311 13313:14336 14338:15358 15361:16383" x14ac:dyDescent="0.2">
      <c r="A27" s="45">
        <v>45691</v>
      </c>
      <c r="B27" s="37" t="s">
        <v>121</v>
      </c>
      <c r="C27" s="46">
        <v>3070.95</v>
      </c>
      <c r="D27" s="37" t="s">
        <v>127</v>
      </c>
      <c r="E27" s="37" t="s">
        <v>128</v>
      </c>
    </row>
    <row r="28" spans="1:1023 1026:2048 2051:3071 3073:4096 4098:5118 5121:6143 6146:7168 7171:8191 8193:9216 9218:10238 10241:11263 11266:12288 12291:13311 13313:14336 14338:15358 15361:16383" x14ac:dyDescent="0.2">
      <c r="A28" s="45">
        <v>45691</v>
      </c>
      <c r="B28" s="37" t="s">
        <v>121</v>
      </c>
      <c r="C28" s="46">
        <v>3070.95</v>
      </c>
      <c r="D28" s="37" t="s">
        <v>127</v>
      </c>
      <c r="E28" s="37" t="s">
        <v>128</v>
      </c>
    </row>
    <row r="29" spans="1:1023 1026:2048 2051:3071 3073:4096 4098:5118 5121:6143 6146:7168 7171:8191 8193:9216 9218:10238 10241:11263 11266:12288 12291:13311 13313:14336 14338:15358 15361:16383" x14ac:dyDescent="0.2">
      <c r="A29" s="45">
        <v>45692</v>
      </c>
      <c r="B29" s="37" t="s">
        <v>121</v>
      </c>
      <c r="C29" s="46">
        <v>157.56</v>
      </c>
      <c r="D29" s="37" t="s">
        <v>127</v>
      </c>
      <c r="E29" s="37" t="s">
        <v>128</v>
      </c>
    </row>
    <row r="30" spans="1:1023 1026:2048 2051:3071 3073:4096 4098:5118 5121:6143 6146:7168 7171:8191 8193:9216 9218:10238 10241:11263 11266:12288 12291:13311 13313:14336 14338:15358 15361:16383" x14ac:dyDescent="0.2">
      <c r="A30" s="45">
        <v>45692</v>
      </c>
      <c r="B30" s="37" t="s">
        <v>121</v>
      </c>
      <c r="C30" s="46">
        <v>499.96</v>
      </c>
      <c r="D30" s="37" t="s">
        <v>127</v>
      </c>
      <c r="E30" s="37" t="s">
        <v>128</v>
      </c>
    </row>
    <row r="31" spans="1:1023 1026:2048 2051:3071 3073:4096 4098:5118 5121:6143 6146:7168 7171:8191 8193:9216 9218:10238 10241:11263 11266:12288 12291:13311 13313:14336 14338:15358 15361:16383" x14ac:dyDescent="0.2">
      <c r="A31" s="45">
        <v>45692</v>
      </c>
      <c r="B31" s="37" t="s">
        <v>204</v>
      </c>
      <c r="C31" s="46">
        <v>65614.559999999998</v>
      </c>
      <c r="D31" s="37" t="s">
        <v>127</v>
      </c>
      <c r="E31" s="37" t="s">
        <v>133</v>
      </c>
    </row>
    <row r="32" spans="1:1023 1026:2048 2051:3071 3073:4096 4098:5118 5121:6143 6146:7168 7171:8191 8193:9216 9218:10238 10241:11263 11266:12288 12291:13311 13313:14336 14338:15358 15361:16383" x14ac:dyDescent="0.2">
      <c r="A32" s="45">
        <v>45693</v>
      </c>
      <c r="B32" s="37" t="s">
        <v>173</v>
      </c>
      <c r="C32" s="46">
        <v>150</v>
      </c>
      <c r="D32" s="37" t="s">
        <v>127</v>
      </c>
      <c r="E32" s="37" t="s">
        <v>129</v>
      </c>
    </row>
    <row r="33" spans="1:5" x14ac:dyDescent="0.2">
      <c r="A33" s="45">
        <v>45693</v>
      </c>
      <c r="B33" s="37" t="s">
        <v>173</v>
      </c>
      <c r="C33" s="46">
        <v>155.31</v>
      </c>
      <c r="D33" s="37" t="s">
        <v>127</v>
      </c>
      <c r="E33" s="37" t="s">
        <v>129</v>
      </c>
    </row>
    <row r="34" spans="1:5" x14ac:dyDescent="0.2">
      <c r="A34" s="45">
        <v>45693</v>
      </c>
      <c r="B34" s="37" t="s">
        <v>121</v>
      </c>
      <c r="C34" s="46">
        <v>393.69</v>
      </c>
      <c r="D34" s="37" t="s">
        <v>127</v>
      </c>
      <c r="E34" s="37" t="s">
        <v>128</v>
      </c>
    </row>
    <row r="35" spans="1:5" x14ac:dyDescent="0.2">
      <c r="A35" s="45">
        <v>45693</v>
      </c>
      <c r="B35" s="37" t="s">
        <v>121</v>
      </c>
      <c r="C35" s="46">
        <v>1020</v>
      </c>
      <c r="D35" s="37" t="s">
        <v>127</v>
      </c>
      <c r="E35" s="37" t="s">
        <v>128</v>
      </c>
    </row>
    <row r="36" spans="1:5" x14ac:dyDescent="0.2">
      <c r="A36" s="45">
        <v>45693</v>
      </c>
      <c r="B36" s="37" t="s">
        <v>121</v>
      </c>
      <c r="C36" s="46">
        <v>3177.92</v>
      </c>
      <c r="D36" s="37" t="s">
        <v>127</v>
      </c>
      <c r="E36" s="37" t="s">
        <v>128</v>
      </c>
    </row>
    <row r="37" spans="1:5" x14ac:dyDescent="0.2">
      <c r="A37" s="45">
        <v>45693</v>
      </c>
      <c r="B37" s="37" t="s">
        <v>121</v>
      </c>
      <c r="C37" s="46">
        <v>9000</v>
      </c>
      <c r="D37" s="37" t="s">
        <v>127</v>
      </c>
      <c r="E37" s="37" t="s">
        <v>128</v>
      </c>
    </row>
    <row r="38" spans="1:5" x14ac:dyDescent="0.2">
      <c r="A38" s="45">
        <v>45693</v>
      </c>
      <c r="B38" s="37" t="s">
        <v>121</v>
      </c>
      <c r="C38" s="46">
        <v>9318.75</v>
      </c>
      <c r="D38" s="37" t="s">
        <v>127</v>
      </c>
      <c r="E38" s="37" t="s">
        <v>128</v>
      </c>
    </row>
    <row r="39" spans="1:5" x14ac:dyDescent="0.2">
      <c r="A39" s="45">
        <v>45694</v>
      </c>
      <c r="B39" s="37" t="s">
        <v>121</v>
      </c>
      <c r="C39" s="46">
        <v>0.9</v>
      </c>
      <c r="D39" s="37" t="s">
        <v>127</v>
      </c>
      <c r="E39" s="37" t="s">
        <v>128</v>
      </c>
    </row>
    <row r="40" spans="1:5" x14ac:dyDescent="0.2">
      <c r="A40" s="45">
        <v>45694</v>
      </c>
      <c r="B40" s="37" t="s">
        <v>121</v>
      </c>
      <c r="C40" s="46">
        <v>0.93</v>
      </c>
      <c r="D40" s="37" t="s">
        <v>127</v>
      </c>
      <c r="E40" s="37" t="s">
        <v>128</v>
      </c>
    </row>
    <row r="41" spans="1:5" x14ac:dyDescent="0.2">
      <c r="A41" s="45">
        <v>45694</v>
      </c>
      <c r="B41" s="37" t="s">
        <v>173</v>
      </c>
      <c r="C41" s="46">
        <v>50</v>
      </c>
      <c r="D41" s="37" t="s">
        <v>127</v>
      </c>
      <c r="E41" s="37" t="s">
        <v>129</v>
      </c>
    </row>
    <row r="42" spans="1:5" x14ac:dyDescent="0.2">
      <c r="A42" s="45">
        <v>45694</v>
      </c>
      <c r="B42" s="37" t="s">
        <v>173</v>
      </c>
      <c r="C42" s="46">
        <v>50</v>
      </c>
      <c r="D42" s="37" t="s">
        <v>127</v>
      </c>
      <c r="E42" s="37" t="s">
        <v>129</v>
      </c>
    </row>
    <row r="43" spans="1:5" x14ac:dyDescent="0.2">
      <c r="A43" s="45">
        <v>45694</v>
      </c>
      <c r="B43" s="37" t="s">
        <v>121</v>
      </c>
      <c r="C43" s="46">
        <v>54.82</v>
      </c>
      <c r="D43" s="37" t="s">
        <v>127</v>
      </c>
      <c r="E43" s="37" t="s">
        <v>128</v>
      </c>
    </row>
    <row r="44" spans="1:5" x14ac:dyDescent="0.2">
      <c r="A44" s="45">
        <v>45694</v>
      </c>
      <c r="B44" s="37" t="s">
        <v>173</v>
      </c>
      <c r="C44" s="46">
        <v>189.06</v>
      </c>
      <c r="D44" s="37" t="s">
        <v>127</v>
      </c>
      <c r="E44" s="37" t="s">
        <v>129</v>
      </c>
    </row>
    <row r="45" spans="1:5" x14ac:dyDescent="0.2">
      <c r="A45" s="45">
        <v>45694</v>
      </c>
      <c r="B45" s="37" t="s">
        <v>121</v>
      </c>
      <c r="C45" s="46">
        <v>3000</v>
      </c>
      <c r="D45" s="37" t="s">
        <v>127</v>
      </c>
      <c r="E45" s="37" t="s">
        <v>128</v>
      </c>
    </row>
    <row r="46" spans="1:5" x14ac:dyDescent="0.2">
      <c r="A46" s="45">
        <v>45694</v>
      </c>
      <c r="B46" s="37" t="s">
        <v>121</v>
      </c>
      <c r="C46" s="46">
        <v>3000</v>
      </c>
      <c r="D46" s="37" t="s">
        <v>127</v>
      </c>
      <c r="E46" s="37" t="s">
        <v>128</v>
      </c>
    </row>
    <row r="47" spans="1:5" x14ac:dyDescent="0.2">
      <c r="A47" s="45">
        <v>45694</v>
      </c>
      <c r="B47" s="37" t="s">
        <v>121</v>
      </c>
      <c r="C47" s="46">
        <v>11343.75</v>
      </c>
      <c r="D47" s="37" t="s">
        <v>127</v>
      </c>
      <c r="E47" s="37" t="s">
        <v>128</v>
      </c>
    </row>
    <row r="48" spans="1:5" x14ac:dyDescent="0.2">
      <c r="A48" s="45">
        <v>45695</v>
      </c>
      <c r="B48" s="37" t="s">
        <v>121</v>
      </c>
      <c r="C48" s="46">
        <v>0.3</v>
      </c>
      <c r="D48" s="37" t="s">
        <v>127</v>
      </c>
      <c r="E48" s="37" t="s">
        <v>128</v>
      </c>
    </row>
    <row r="49" spans="1:5" x14ac:dyDescent="0.2">
      <c r="A49" s="45">
        <v>45695</v>
      </c>
      <c r="B49" s="37" t="s">
        <v>121</v>
      </c>
      <c r="C49" s="46">
        <v>0.3</v>
      </c>
      <c r="D49" s="37" t="s">
        <v>127</v>
      </c>
      <c r="E49" s="37" t="s">
        <v>128</v>
      </c>
    </row>
    <row r="50" spans="1:5" x14ac:dyDescent="0.2">
      <c r="A50" s="45">
        <v>45695</v>
      </c>
      <c r="B50" s="37" t="s">
        <v>121</v>
      </c>
      <c r="C50" s="46">
        <v>1.1299999999999999</v>
      </c>
      <c r="D50" s="37" t="s">
        <v>127</v>
      </c>
      <c r="E50" s="37" t="s">
        <v>128</v>
      </c>
    </row>
    <row r="51" spans="1:5" x14ac:dyDescent="0.2">
      <c r="A51" s="45">
        <v>45695</v>
      </c>
      <c r="B51" s="37" t="s">
        <v>121</v>
      </c>
      <c r="C51" s="46">
        <v>390.04</v>
      </c>
      <c r="D51" s="37" t="s">
        <v>127</v>
      </c>
      <c r="E51" s="37" t="s">
        <v>128</v>
      </c>
    </row>
    <row r="52" spans="1:5" x14ac:dyDescent="0.2">
      <c r="A52" s="45">
        <v>45695</v>
      </c>
      <c r="B52" s="37" t="s">
        <v>121</v>
      </c>
      <c r="C52" s="46">
        <v>3287.45</v>
      </c>
      <c r="D52" s="37" t="s">
        <v>127</v>
      </c>
      <c r="E52" s="37" t="s">
        <v>128</v>
      </c>
    </row>
    <row r="53" spans="1:5" x14ac:dyDescent="0.2">
      <c r="A53" s="45">
        <v>45698</v>
      </c>
      <c r="B53" s="37" t="s">
        <v>173</v>
      </c>
      <c r="C53" s="46">
        <v>3.5</v>
      </c>
      <c r="D53" s="37" t="s">
        <v>127</v>
      </c>
      <c r="E53" s="37" t="s">
        <v>129</v>
      </c>
    </row>
    <row r="54" spans="1:5" x14ac:dyDescent="0.2">
      <c r="A54" s="45">
        <v>45698</v>
      </c>
      <c r="B54" s="37" t="s">
        <v>121</v>
      </c>
      <c r="C54" s="46">
        <v>210</v>
      </c>
      <c r="D54" s="37" t="s">
        <v>127</v>
      </c>
      <c r="E54" s="37" t="s">
        <v>128</v>
      </c>
    </row>
    <row r="55" spans="1:5" x14ac:dyDescent="0.2">
      <c r="A55" s="45">
        <v>45698</v>
      </c>
      <c r="B55" s="37" t="s">
        <v>173</v>
      </c>
      <c r="C55" s="46">
        <v>432.61</v>
      </c>
      <c r="D55" s="37" t="s">
        <v>127</v>
      </c>
      <c r="E55" s="37" t="s">
        <v>129</v>
      </c>
    </row>
    <row r="56" spans="1:5" x14ac:dyDescent="0.2">
      <c r="A56" s="45">
        <v>45698</v>
      </c>
      <c r="B56" s="37" t="s">
        <v>121</v>
      </c>
      <c r="C56" s="46">
        <v>25956.45</v>
      </c>
      <c r="D56" s="37" t="s">
        <v>127</v>
      </c>
      <c r="E56" s="37" t="s">
        <v>128</v>
      </c>
    </row>
    <row r="57" spans="1:5" x14ac:dyDescent="0.2">
      <c r="A57" s="45">
        <v>45699</v>
      </c>
      <c r="B57" s="37" t="s">
        <v>121</v>
      </c>
      <c r="C57" s="46">
        <v>0.02</v>
      </c>
      <c r="D57" s="37" t="s">
        <v>127</v>
      </c>
      <c r="E57" s="37" t="s">
        <v>128</v>
      </c>
    </row>
    <row r="58" spans="1:5" x14ac:dyDescent="0.2">
      <c r="A58" s="45">
        <v>45699</v>
      </c>
      <c r="B58" s="37" t="s">
        <v>121</v>
      </c>
      <c r="C58" s="46">
        <v>2.6</v>
      </c>
      <c r="D58" s="37" t="s">
        <v>127</v>
      </c>
      <c r="E58" s="37" t="s">
        <v>128</v>
      </c>
    </row>
    <row r="59" spans="1:5" x14ac:dyDescent="0.2">
      <c r="A59" s="45">
        <v>45699</v>
      </c>
      <c r="B59" s="37" t="s">
        <v>121</v>
      </c>
      <c r="C59" s="46">
        <v>37.21</v>
      </c>
      <c r="D59" s="37" t="s">
        <v>127</v>
      </c>
      <c r="E59" s="37" t="s">
        <v>128</v>
      </c>
    </row>
    <row r="60" spans="1:5" x14ac:dyDescent="0.2">
      <c r="A60" s="45">
        <v>45699</v>
      </c>
      <c r="B60" s="37" t="s">
        <v>121</v>
      </c>
      <c r="C60" s="46">
        <v>49.53</v>
      </c>
      <c r="D60" s="37" t="s">
        <v>127</v>
      </c>
      <c r="E60" s="37" t="s">
        <v>128</v>
      </c>
    </row>
    <row r="61" spans="1:5" x14ac:dyDescent="0.2">
      <c r="A61" s="45">
        <v>45699</v>
      </c>
      <c r="B61" s="37" t="s">
        <v>173</v>
      </c>
      <c r="C61" s="46">
        <v>150</v>
      </c>
      <c r="D61" s="37" t="s">
        <v>127</v>
      </c>
      <c r="E61" s="37" t="s">
        <v>129</v>
      </c>
    </row>
    <row r="62" spans="1:5" x14ac:dyDescent="0.2">
      <c r="A62" s="45">
        <v>45699</v>
      </c>
      <c r="B62" s="37" t="s">
        <v>121</v>
      </c>
      <c r="C62" s="46">
        <v>747.78</v>
      </c>
      <c r="D62" s="37" t="s">
        <v>127</v>
      </c>
      <c r="E62" s="37" t="s">
        <v>128</v>
      </c>
    </row>
    <row r="63" spans="1:5" x14ac:dyDescent="0.2">
      <c r="A63" s="45">
        <v>45699</v>
      </c>
      <c r="B63" s="37" t="s">
        <v>121</v>
      </c>
      <c r="C63" s="46">
        <v>1320</v>
      </c>
      <c r="D63" s="37" t="s">
        <v>127</v>
      </c>
      <c r="E63" s="37" t="s">
        <v>128</v>
      </c>
    </row>
    <row r="64" spans="1:5" x14ac:dyDescent="0.2">
      <c r="A64" s="45">
        <v>45699</v>
      </c>
      <c r="B64" s="37" t="s">
        <v>121</v>
      </c>
      <c r="C64" s="46">
        <v>1584.35</v>
      </c>
      <c r="D64" s="37" t="s">
        <v>127</v>
      </c>
      <c r="E64" s="37" t="s">
        <v>128</v>
      </c>
    </row>
    <row r="65" spans="1:5" x14ac:dyDescent="0.2">
      <c r="A65" s="45">
        <v>45699</v>
      </c>
      <c r="B65" s="37" t="s">
        <v>121</v>
      </c>
      <c r="C65" s="46">
        <v>9000</v>
      </c>
      <c r="D65" s="37" t="s">
        <v>127</v>
      </c>
      <c r="E65" s="37" t="s">
        <v>128</v>
      </c>
    </row>
    <row r="66" spans="1:5" x14ac:dyDescent="0.2">
      <c r="A66" s="45">
        <v>45699</v>
      </c>
      <c r="B66" s="37" t="s">
        <v>121</v>
      </c>
      <c r="C66" s="46">
        <v>14049.98</v>
      </c>
      <c r="D66" s="37" t="s">
        <v>127</v>
      </c>
      <c r="E66" s="37" t="s">
        <v>128</v>
      </c>
    </row>
    <row r="67" spans="1:5" x14ac:dyDescent="0.2">
      <c r="A67" s="45">
        <v>45700</v>
      </c>
      <c r="B67" s="37" t="s">
        <v>121</v>
      </c>
      <c r="C67" s="46">
        <v>0.9</v>
      </c>
      <c r="D67" s="37" t="s">
        <v>127</v>
      </c>
      <c r="E67" s="37" t="s">
        <v>128</v>
      </c>
    </row>
    <row r="68" spans="1:5" x14ac:dyDescent="0.2">
      <c r="A68" s="45">
        <v>45700</v>
      </c>
      <c r="B68" s="37" t="s">
        <v>173</v>
      </c>
      <c r="C68" s="46">
        <v>150</v>
      </c>
      <c r="D68" s="37" t="s">
        <v>127</v>
      </c>
      <c r="E68" s="37" t="s">
        <v>129</v>
      </c>
    </row>
    <row r="69" spans="1:5" x14ac:dyDescent="0.2">
      <c r="A69" s="45">
        <v>45700</v>
      </c>
      <c r="B69" s="37" t="s">
        <v>173</v>
      </c>
      <c r="C69" s="46">
        <v>200</v>
      </c>
      <c r="D69" s="37" t="s">
        <v>127</v>
      </c>
      <c r="E69" s="37" t="s">
        <v>129</v>
      </c>
    </row>
    <row r="70" spans="1:5" x14ac:dyDescent="0.2">
      <c r="A70" s="45">
        <v>45700</v>
      </c>
      <c r="B70" s="37" t="s">
        <v>121</v>
      </c>
      <c r="C70" s="46">
        <v>773.36</v>
      </c>
      <c r="D70" s="37" t="s">
        <v>127</v>
      </c>
      <c r="E70" s="37" t="s">
        <v>128</v>
      </c>
    </row>
    <row r="71" spans="1:5" x14ac:dyDescent="0.2">
      <c r="A71" s="45">
        <v>45700</v>
      </c>
      <c r="B71" s="37" t="s">
        <v>121</v>
      </c>
      <c r="C71" s="46">
        <v>9000</v>
      </c>
      <c r="D71" s="37" t="s">
        <v>127</v>
      </c>
      <c r="E71" s="37" t="s">
        <v>128</v>
      </c>
    </row>
    <row r="72" spans="1:5" x14ac:dyDescent="0.2">
      <c r="A72" s="45">
        <v>45700</v>
      </c>
      <c r="B72" s="37" t="s">
        <v>121</v>
      </c>
      <c r="C72" s="46">
        <v>12000</v>
      </c>
      <c r="D72" s="37" t="s">
        <v>127</v>
      </c>
      <c r="E72" s="37" t="s">
        <v>128</v>
      </c>
    </row>
    <row r="73" spans="1:5" x14ac:dyDescent="0.2">
      <c r="A73" s="45">
        <v>45701</v>
      </c>
      <c r="B73" s="37" t="s">
        <v>121</v>
      </c>
      <c r="C73" s="46">
        <v>0.9</v>
      </c>
      <c r="D73" s="37" t="s">
        <v>127</v>
      </c>
      <c r="E73" s="37" t="s">
        <v>128</v>
      </c>
    </row>
    <row r="74" spans="1:5" x14ac:dyDescent="0.2">
      <c r="A74" s="45">
        <v>45701</v>
      </c>
      <c r="B74" s="37" t="s">
        <v>121</v>
      </c>
      <c r="C74" s="46">
        <v>1.2</v>
      </c>
      <c r="D74" s="37" t="s">
        <v>127</v>
      </c>
      <c r="E74" s="37" t="s">
        <v>128</v>
      </c>
    </row>
    <row r="75" spans="1:5" x14ac:dyDescent="0.2">
      <c r="A75" s="45">
        <v>45701</v>
      </c>
      <c r="B75" s="37" t="s">
        <v>173</v>
      </c>
      <c r="C75" s="46">
        <v>11.01</v>
      </c>
      <c r="D75" s="37" t="s">
        <v>127</v>
      </c>
      <c r="E75" s="37" t="s">
        <v>129</v>
      </c>
    </row>
    <row r="76" spans="1:5" x14ac:dyDescent="0.2">
      <c r="A76" s="45">
        <v>45701</v>
      </c>
      <c r="B76" s="37" t="s">
        <v>173</v>
      </c>
      <c r="C76" s="46">
        <v>316.58</v>
      </c>
      <c r="D76" s="37" t="s">
        <v>127</v>
      </c>
      <c r="E76" s="37" t="s">
        <v>129</v>
      </c>
    </row>
    <row r="77" spans="1:5" x14ac:dyDescent="0.2">
      <c r="A77" s="45">
        <v>45701</v>
      </c>
      <c r="B77" s="37" t="s">
        <v>121</v>
      </c>
      <c r="C77" s="46">
        <v>566.36</v>
      </c>
      <c r="D77" s="37" t="s">
        <v>127</v>
      </c>
      <c r="E77" s="37" t="s">
        <v>128</v>
      </c>
    </row>
    <row r="78" spans="1:5" x14ac:dyDescent="0.2">
      <c r="A78" s="45">
        <v>45701</v>
      </c>
      <c r="B78" s="37" t="s">
        <v>121</v>
      </c>
      <c r="C78" s="46">
        <v>660.66</v>
      </c>
      <c r="D78" s="37" t="s">
        <v>127</v>
      </c>
      <c r="E78" s="37" t="s">
        <v>128</v>
      </c>
    </row>
    <row r="79" spans="1:5" x14ac:dyDescent="0.2">
      <c r="A79" s="45">
        <v>45701</v>
      </c>
      <c r="B79" s="37" t="s">
        <v>121</v>
      </c>
      <c r="C79" s="46">
        <v>893.53</v>
      </c>
      <c r="D79" s="37" t="s">
        <v>127</v>
      </c>
      <c r="E79" s="37" t="s">
        <v>128</v>
      </c>
    </row>
    <row r="80" spans="1:5" x14ac:dyDescent="0.2">
      <c r="A80" s="45">
        <v>45701</v>
      </c>
      <c r="B80" s="37" t="s">
        <v>121</v>
      </c>
      <c r="C80" s="46">
        <v>18994.95</v>
      </c>
      <c r="D80" s="37" t="s">
        <v>127</v>
      </c>
      <c r="E80" s="37" t="s">
        <v>128</v>
      </c>
    </row>
    <row r="81" spans="1:5" x14ac:dyDescent="0.2">
      <c r="A81" s="45">
        <v>45702</v>
      </c>
      <c r="B81" s="37" t="s">
        <v>121</v>
      </c>
      <c r="C81" s="46">
        <v>7.0000000000000007E-2</v>
      </c>
      <c r="D81" s="37" t="s">
        <v>127</v>
      </c>
      <c r="E81" s="37" t="s">
        <v>128</v>
      </c>
    </row>
    <row r="82" spans="1:5" x14ac:dyDescent="0.2">
      <c r="A82" s="45">
        <v>45702</v>
      </c>
      <c r="B82" s="37" t="s">
        <v>121</v>
      </c>
      <c r="C82" s="46">
        <v>1.9</v>
      </c>
      <c r="D82" s="37" t="s">
        <v>127</v>
      </c>
      <c r="E82" s="37" t="s">
        <v>128</v>
      </c>
    </row>
    <row r="83" spans="1:5" x14ac:dyDescent="0.2">
      <c r="A83" s="45">
        <v>45702</v>
      </c>
      <c r="B83" s="37" t="s">
        <v>173</v>
      </c>
      <c r="C83" s="46">
        <v>5.51</v>
      </c>
      <c r="D83" s="37" t="s">
        <v>127</v>
      </c>
      <c r="E83" s="37" t="s">
        <v>129</v>
      </c>
    </row>
    <row r="84" spans="1:5" x14ac:dyDescent="0.2">
      <c r="A84" s="45">
        <v>45702</v>
      </c>
      <c r="B84" s="37" t="s">
        <v>121</v>
      </c>
      <c r="C84" s="46">
        <v>330.33</v>
      </c>
      <c r="D84" s="37" t="s">
        <v>127</v>
      </c>
      <c r="E84" s="37" t="s">
        <v>128</v>
      </c>
    </row>
    <row r="85" spans="1:5" x14ac:dyDescent="0.2">
      <c r="A85" s="45">
        <v>45702</v>
      </c>
      <c r="B85" s="37" t="s">
        <v>225</v>
      </c>
      <c r="C85" s="46">
        <v>19033.060000000001</v>
      </c>
      <c r="D85" s="37" t="s">
        <v>127</v>
      </c>
      <c r="E85" s="37" t="s">
        <v>226</v>
      </c>
    </row>
    <row r="86" spans="1:5" x14ac:dyDescent="0.2">
      <c r="A86" s="45">
        <v>45705</v>
      </c>
      <c r="B86" s="37" t="s">
        <v>121</v>
      </c>
      <c r="C86" s="46">
        <v>0.03</v>
      </c>
      <c r="D86" s="37" t="s">
        <v>127</v>
      </c>
      <c r="E86" s="37" t="s">
        <v>128</v>
      </c>
    </row>
    <row r="87" spans="1:5" x14ac:dyDescent="0.2">
      <c r="A87" s="45">
        <v>45705</v>
      </c>
      <c r="B87" s="37" t="s">
        <v>173</v>
      </c>
      <c r="C87" s="46">
        <v>95</v>
      </c>
      <c r="D87" s="37" t="s">
        <v>127</v>
      </c>
      <c r="E87" s="37" t="s">
        <v>129</v>
      </c>
    </row>
    <row r="88" spans="1:5" x14ac:dyDescent="0.2">
      <c r="A88" s="45">
        <v>45705</v>
      </c>
      <c r="B88" s="37" t="s">
        <v>121</v>
      </c>
      <c r="C88" s="46">
        <v>114.2</v>
      </c>
      <c r="D88" s="37" t="s">
        <v>127</v>
      </c>
      <c r="E88" s="37" t="s">
        <v>128</v>
      </c>
    </row>
    <row r="89" spans="1:5" x14ac:dyDescent="0.2">
      <c r="A89" s="45">
        <v>45705</v>
      </c>
      <c r="B89" s="37" t="s">
        <v>121</v>
      </c>
      <c r="C89" s="46">
        <v>148.84</v>
      </c>
      <c r="D89" s="37" t="s">
        <v>127</v>
      </c>
      <c r="E89" s="37" t="s">
        <v>128</v>
      </c>
    </row>
    <row r="90" spans="1:5" x14ac:dyDescent="0.2">
      <c r="A90" s="45">
        <v>45705</v>
      </c>
      <c r="B90" s="37" t="s">
        <v>121</v>
      </c>
      <c r="C90" s="46">
        <v>399.3</v>
      </c>
      <c r="D90" s="37" t="s">
        <v>127</v>
      </c>
      <c r="E90" s="37" t="s">
        <v>128</v>
      </c>
    </row>
    <row r="91" spans="1:5" x14ac:dyDescent="0.2">
      <c r="A91" s="45">
        <v>45705</v>
      </c>
      <c r="B91" s="37" t="s">
        <v>173</v>
      </c>
      <c r="C91" s="46">
        <v>480.68</v>
      </c>
      <c r="D91" s="37" t="s">
        <v>127</v>
      </c>
      <c r="E91" s="37" t="s">
        <v>129</v>
      </c>
    </row>
    <row r="92" spans="1:5" x14ac:dyDescent="0.2">
      <c r="A92" s="45">
        <v>45705</v>
      </c>
      <c r="B92" s="37" t="s">
        <v>121</v>
      </c>
      <c r="C92" s="46">
        <v>1549.6</v>
      </c>
      <c r="D92" s="37" t="s">
        <v>127</v>
      </c>
      <c r="E92" s="37" t="s">
        <v>128</v>
      </c>
    </row>
    <row r="93" spans="1:5" x14ac:dyDescent="0.2">
      <c r="A93" s="45">
        <v>45705</v>
      </c>
      <c r="B93" s="37" t="s">
        <v>121</v>
      </c>
      <c r="C93" s="46">
        <v>5700</v>
      </c>
      <c r="D93" s="37" t="s">
        <v>127</v>
      </c>
      <c r="E93" s="37" t="s">
        <v>128</v>
      </c>
    </row>
    <row r="94" spans="1:5" x14ac:dyDescent="0.2">
      <c r="A94" s="45">
        <v>45705</v>
      </c>
      <c r="B94" s="37" t="s">
        <v>121</v>
      </c>
      <c r="C94" s="46">
        <v>28840.5</v>
      </c>
      <c r="D94" s="37" t="s">
        <v>127</v>
      </c>
      <c r="E94" s="37" t="s">
        <v>128</v>
      </c>
    </row>
    <row r="95" spans="1:5" x14ac:dyDescent="0.2">
      <c r="A95" s="45">
        <v>45707</v>
      </c>
      <c r="B95" s="37" t="s">
        <v>121</v>
      </c>
      <c r="C95" s="46">
        <v>0.56999999999999995</v>
      </c>
      <c r="D95" s="37" t="s">
        <v>127</v>
      </c>
      <c r="E95" s="37" t="s">
        <v>128</v>
      </c>
    </row>
    <row r="96" spans="1:5" x14ac:dyDescent="0.2">
      <c r="A96" s="45">
        <v>45707</v>
      </c>
      <c r="B96" s="37" t="s">
        <v>121</v>
      </c>
      <c r="C96" s="46">
        <v>2.88</v>
      </c>
      <c r="D96" s="37" t="s">
        <v>127</v>
      </c>
      <c r="E96" s="37" t="s">
        <v>128</v>
      </c>
    </row>
    <row r="97" spans="1:5" x14ac:dyDescent="0.2">
      <c r="A97" s="45">
        <v>45707</v>
      </c>
      <c r="B97" s="37" t="s">
        <v>173</v>
      </c>
      <c r="C97" s="46">
        <v>150</v>
      </c>
      <c r="D97" s="37" t="s">
        <v>127</v>
      </c>
      <c r="E97" s="37" t="s">
        <v>129</v>
      </c>
    </row>
    <row r="98" spans="1:5" x14ac:dyDescent="0.2">
      <c r="A98" s="45">
        <v>45707</v>
      </c>
      <c r="B98" s="37" t="s">
        <v>121</v>
      </c>
      <c r="C98" s="46">
        <v>9000</v>
      </c>
      <c r="D98" s="37" t="s">
        <v>127</v>
      </c>
      <c r="E98" s="37" t="s">
        <v>128</v>
      </c>
    </row>
    <row r="99" spans="1:5" x14ac:dyDescent="0.2">
      <c r="A99" s="45">
        <v>45708</v>
      </c>
      <c r="B99" s="37" t="s">
        <v>121</v>
      </c>
      <c r="C99" s="46">
        <v>0.9</v>
      </c>
      <c r="D99" s="37" t="s">
        <v>127</v>
      </c>
      <c r="E99" s="37" t="s">
        <v>128</v>
      </c>
    </row>
    <row r="100" spans="1:5" x14ac:dyDescent="0.2">
      <c r="A100" s="45">
        <v>45709</v>
      </c>
      <c r="B100" s="37" t="s">
        <v>173</v>
      </c>
      <c r="C100" s="46">
        <v>50</v>
      </c>
      <c r="D100" s="37" t="s">
        <v>127</v>
      </c>
      <c r="E100" s="37" t="s">
        <v>129</v>
      </c>
    </row>
    <row r="101" spans="1:5" x14ac:dyDescent="0.2">
      <c r="A101" s="45">
        <v>45709</v>
      </c>
      <c r="B101" s="37" t="s">
        <v>173</v>
      </c>
      <c r="C101" s="46">
        <v>50</v>
      </c>
      <c r="D101" s="37" t="s">
        <v>127</v>
      </c>
      <c r="E101" s="37" t="s">
        <v>129</v>
      </c>
    </row>
    <row r="102" spans="1:5" x14ac:dyDescent="0.2">
      <c r="A102" s="45">
        <v>45709</v>
      </c>
      <c r="B102" s="37" t="s">
        <v>173</v>
      </c>
      <c r="C102" s="46">
        <v>150</v>
      </c>
      <c r="D102" s="37" t="s">
        <v>127</v>
      </c>
      <c r="E102" s="37" t="s">
        <v>129</v>
      </c>
    </row>
    <row r="103" spans="1:5" x14ac:dyDescent="0.2">
      <c r="A103" s="45">
        <v>45709</v>
      </c>
      <c r="B103" s="37" t="s">
        <v>121</v>
      </c>
      <c r="C103" s="46">
        <v>3000</v>
      </c>
      <c r="D103" s="37" t="s">
        <v>127</v>
      </c>
      <c r="E103" s="37" t="s">
        <v>128</v>
      </c>
    </row>
    <row r="104" spans="1:5" x14ac:dyDescent="0.2">
      <c r="A104" s="45">
        <v>45709</v>
      </c>
      <c r="B104" s="37" t="s">
        <v>121</v>
      </c>
      <c r="C104" s="46">
        <v>3000</v>
      </c>
      <c r="D104" s="37" t="s">
        <v>127</v>
      </c>
      <c r="E104" s="37" t="s">
        <v>128</v>
      </c>
    </row>
    <row r="105" spans="1:5" x14ac:dyDescent="0.2">
      <c r="A105" s="45">
        <v>45709</v>
      </c>
      <c r="B105" s="37" t="s">
        <v>121</v>
      </c>
      <c r="C105" s="46">
        <v>9000</v>
      </c>
      <c r="D105" s="37" t="s">
        <v>127</v>
      </c>
      <c r="E105" s="37" t="s">
        <v>128</v>
      </c>
    </row>
    <row r="106" spans="1:5" x14ac:dyDescent="0.2">
      <c r="A106" s="45">
        <v>45712</v>
      </c>
      <c r="B106" s="37" t="s">
        <v>121</v>
      </c>
      <c r="C106" s="46">
        <v>0.3</v>
      </c>
      <c r="D106" s="37" t="s">
        <v>127</v>
      </c>
      <c r="E106" s="37" t="s">
        <v>128</v>
      </c>
    </row>
    <row r="107" spans="1:5" x14ac:dyDescent="0.2">
      <c r="A107" s="45">
        <v>45712</v>
      </c>
      <c r="B107" s="37" t="s">
        <v>121</v>
      </c>
      <c r="C107" s="46">
        <v>0.3</v>
      </c>
      <c r="D107" s="37" t="s">
        <v>127</v>
      </c>
      <c r="E107" s="37" t="s">
        <v>128</v>
      </c>
    </row>
    <row r="108" spans="1:5" x14ac:dyDescent="0.2">
      <c r="A108" s="45">
        <v>45712</v>
      </c>
      <c r="B108" s="37" t="s">
        <v>121</v>
      </c>
      <c r="C108" s="46">
        <v>0.9</v>
      </c>
      <c r="D108" s="37" t="s">
        <v>127</v>
      </c>
      <c r="E108" s="37" t="s">
        <v>128</v>
      </c>
    </row>
    <row r="109" spans="1:5" x14ac:dyDescent="0.2">
      <c r="A109" s="45">
        <v>45713</v>
      </c>
      <c r="B109" s="37" t="s">
        <v>121</v>
      </c>
      <c r="C109" s="37">
        <v>83.29</v>
      </c>
      <c r="D109" s="37" t="s">
        <v>127</v>
      </c>
      <c r="E109" s="37" t="s">
        <v>128</v>
      </c>
    </row>
    <row r="110" spans="1:5" x14ac:dyDescent="0.2">
      <c r="A110" s="45">
        <v>45714</v>
      </c>
      <c r="B110" s="37" t="s">
        <v>173</v>
      </c>
      <c r="C110" s="46">
        <v>21.16</v>
      </c>
      <c r="D110" s="37" t="s">
        <v>127</v>
      </c>
      <c r="E110" s="37" t="s">
        <v>129</v>
      </c>
    </row>
    <row r="111" spans="1:5" x14ac:dyDescent="0.2">
      <c r="A111" s="45">
        <v>45714</v>
      </c>
      <c r="B111" s="37" t="s">
        <v>121</v>
      </c>
      <c r="C111" s="46">
        <v>25.66</v>
      </c>
      <c r="D111" s="37" t="s">
        <v>127</v>
      </c>
      <c r="E111" s="37" t="s">
        <v>128</v>
      </c>
    </row>
    <row r="112" spans="1:5" x14ac:dyDescent="0.2">
      <c r="A112" s="45">
        <v>45714</v>
      </c>
      <c r="B112" s="37" t="s">
        <v>173</v>
      </c>
      <c r="C112" s="46">
        <v>150</v>
      </c>
      <c r="D112" s="37" t="s">
        <v>127</v>
      </c>
      <c r="E112" s="37" t="s">
        <v>129</v>
      </c>
    </row>
    <row r="113" spans="1:5" x14ac:dyDescent="0.2">
      <c r="A113" s="45">
        <v>45714</v>
      </c>
      <c r="B113" s="37" t="s">
        <v>121</v>
      </c>
      <c r="C113" s="46">
        <v>179.65</v>
      </c>
      <c r="D113" s="37" t="s">
        <v>127</v>
      </c>
      <c r="E113" s="37" t="s">
        <v>128</v>
      </c>
    </row>
    <row r="114" spans="1:5" x14ac:dyDescent="0.2">
      <c r="A114" s="45">
        <v>45714</v>
      </c>
      <c r="B114" s="37" t="s">
        <v>121</v>
      </c>
      <c r="C114" s="46">
        <v>855.46</v>
      </c>
      <c r="D114" s="37" t="s">
        <v>127</v>
      </c>
      <c r="E114" s="37" t="s">
        <v>128</v>
      </c>
    </row>
    <row r="115" spans="1:5" x14ac:dyDescent="0.2">
      <c r="A115" s="45">
        <v>45714</v>
      </c>
      <c r="B115" s="37" t="s">
        <v>121</v>
      </c>
      <c r="C115" s="46">
        <v>1269.42</v>
      </c>
      <c r="D115" s="37" t="s">
        <v>127</v>
      </c>
      <c r="E115" s="37" t="s">
        <v>128</v>
      </c>
    </row>
    <row r="116" spans="1:5" x14ac:dyDescent="0.2">
      <c r="A116" s="45">
        <v>45714</v>
      </c>
      <c r="B116" s="37" t="s">
        <v>121</v>
      </c>
      <c r="C116" s="46">
        <v>9000</v>
      </c>
      <c r="D116" s="37" t="s">
        <v>127</v>
      </c>
      <c r="E116" s="37" t="s">
        <v>128</v>
      </c>
    </row>
    <row r="117" spans="1:5" x14ac:dyDescent="0.2">
      <c r="A117" s="45">
        <v>45714</v>
      </c>
      <c r="B117" s="37" t="s">
        <v>121</v>
      </c>
      <c r="C117" s="46">
        <v>192960</v>
      </c>
      <c r="D117" s="37" t="s">
        <v>127</v>
      </c>
      <c r="E117" s="37" t="s">
        <v>128</v>
      </c>
    </row>
    <row r="118" spans="1:5" x14ac:dyDescent="0.2">
      <c r="A118" s="45">
        <v>45715</v>
      </c>
      <c r="B118" s="37" t="s">
        <v>121</v>
      </c>
      <c r="C118" s="46">
        <v>0.13</v>
      </c>
      <c r="D118" s="37" t="s">
        <v>127</v>
      </c>
      <c r="E118" s="37" t="s">
        <v>128</v>
      </c>
    </row>
    <row r="119" spans="1:5" x14ac:dyDescent="0.2">
      <c r="A119" s="45">
        <v>45715</v>
      </c>
      <c r="B119" s="37" t="s">
        <v>121</v>
      </c>
      <c r="C119" s="46">
        <v>0.9</v>
      </c>
      <c r="D119" s="37" t="s">
        <v>127</v>
      </c>
      <c r="E119" s="37" t="s">
        <v>128</v>
      </c>
    </row>
    <row r="120" spans="1:5" x14ac:dyDescent="0.2">
      <c r="A120" s="45">
        <v>45715</v>
      </c>
      <c r="B120" s="37" t="s">
        <v>173</v>
      </c>
      <c r="C120" s="46">
        <v>50</v>
      </c>
      <c r="D120" s="37" t="s">
        <v>127</v>
      </c>
      <c r="E120" s="37" t="s">
        <v>129</v>
      </c>
    </row>
    <row r="121" spans="1:5" x14ac:dyDescent="0.2">
      <c r="A121" s="45">
        <v>45715</v>
      </c>
      <c r="B121" s="37" t="s">
        <v>173</v>
      </c>
      <c r="C121" s="46">
        <v>150</v>
      </c>
      <c r="D121" s="37" t="s">
        <v>127</v>
      </c>
      <c r="E121" s="37" t="s">
        <v>129</v>
      </c>
    </row>
    <row r="122" spans="1:5" x14ac:dyDescent="0.2">
      <c r="A122" s="45">
        <v>45715</v>
      </c>
      <c r="B122" s="37" t="s">
        <v>173</v>
      </c>
      <c r="C122" s="46">
        <v>228.32</v>
      </c>
      <c r="D122" s="37" t="s">
        <v>127</v>
      </c>
      <c r="E122" s="37" t="s">
        <v>129</v>
      </c>
    </row>
    <row r="123" spans="1:5" x14ac:dyDescent="0.2">
      <c r="A123" s="45">
        <v>45715</v>
      </c>
      <c r="B123" s="37" t="s">
        <v>121</v>
      </c>
      <c r="C123" s="46">
        <v>3000</v>
      </c>
      <c r="D123" s="37" t="s">
        <v>127</v>
      </c>
      <c r="E123" s="37" t="s">
        <v>128</v>
      </c>
    </row>
    <row r="124" spans="1:5" x14ac:dyDescent="0.2">
      <c r="A124" s="45">
        <v>45715</v>
      </c>
      <c r="B124" s="37" t="s">
        <v>121</v>
      </c>
      <c r="C124" s="46">
        <v>9000</v>
      </c>
      <c r="D124" s="37" t="s">
        <v>127</v>
      </c>
      <c r="E124" s="37" t="s">
        <v>128</v>
      </c>
    </row>
    <row r="125" spans="1:5" x14ac:dyDescent="0.2">
      <c r="A125" s="45">
        <v>45715</v>
      </c>
      <c r="B125" s="37" t="s">
        <v>121</v>
      </c>
      <c r="C125" s="46">
        <v>13699.24</v>
      </c>
      <c r="D125" s="37" t="s">
        <v>127</v>
      </c>
      <c r="E125" s="37" t="s">
        <v>128</v>
      </c>
    </row>
    <row r="126" spans="1:5" x14ac:dyDescent="0.2">
      <c r="A126" s="45">
        <v>45716</v>
      </c>
      <c r="B126" s="37" t="s">
        <v>121</v>
      </c>
      <c r="C126" s="46">
        <v>0.3</v>
      </c>
      <c r="D126" s="37" t="s">
        <v>127</v>
      </c>
      <c r="E126" s="37" t="s">
        <v>128</v>
      </c>
    </row>
    <row r="127" spans="1:5" x14ac:dyDescent="0.2">
      <c r="A127" s="45">
        <v>45716</v>
      </c>
      <c r="B127" s="37" t="s">
        <v>121</v>
      </c>
      <c r="C127" s="46">
        <v>0.9</v>
      </c>
      <c r="D127" s="37" t="s">
        <v>127</v>
      </c>
      <c r="E127" s="37" t="s">
        <v>128</v>
      </c>
    </row>
    <row r="128" spans="1:5" x14ac:dyDescent="0.2">
      <c r="A128" s="45">
        <v>45716</v>
      </c>
      <c r="B128" s="37" t="s">
        <v>121</v>
      </c>
      <c r="C128" s="46">
        <v>1.37</v>
      </c>
      <c r="D128" s="37" t="s">
        <v>127</v>
      </c>
      <c r="E128" s="37" t="s">
        <v>128</v>
      </c>
    </row>
    <row r="129" spans="1:1023 1026:2048 2051:3071 3073:4096 4098:5118 5121:6143 6146:7168 7171:8191 8193:9216 9218:10238 10241:11263 11266:12288 12291:13311 13313:14336 14338:15358 15361:16383" x14ac:dyDescent="0.2">
      <c r="A129" s="45">
        <v>45716</v>
      </c>
      <c r="B129" s="37" t="s">
        <v>173</v>
      </c>
      <c r="C129" s="46">
        <v>45</v>
      </c>
      <c r="D129" s="37" t="s">
        <v>127</v>
      </c>
      <c r="E129" s="37" t="s">
        <v>129</v>
      </c>
    </row>
    <row r="130" spans="1:1023 1026:2048 2051:3071 3073:4096 4098:5118 5121:6143 6146:7168 7171:8191 8193:9216 9218:10238 10241:11263 11266:12288 12291:13311 13313:14336 14338:15358 15361:16383" x14ac:dyDescent="0.2">
      <c r="A130" s="45">
        <v>45716</v>
      </c>
      <c r="B130" s="37" t="s">
        <v>173</v>
      </c>
      <c r="C130" s="46">
        <v>60</v>
      </c>
      <c r="D130" s="37" t="s">
        <v>127</v>
      </c>
      <c r="E130" s="37" t="s">
        <v>129</v>
      </c>
    </row>
    <row r="131" spans="1:1023 1026:2048 2051:3071 3073:4096 4098:5118 5121:6143 6146:7168 7171:8191 8193:9216 9218:10238 10241:11263 11266:12288 12291:13311 13313:14336 14338:15358 15361:16383" x14ac:dyDescent="0.2">
      <c r="A131" s="45">
        <v>45716</v>
      </c>
      <c r="B131" s="37" t="s">
        <v>121</v>
      </c>
      <c r="C131" s="46">
        <v>69.59</v>
      </c>
      <c r="D131" s="37" t="s">
        <v>127</v>
      </c>
      <c r="E131" s="37" t="s">
        <v>128</v>
      </c>
    </row>
    <row r="132" spans="1:1023 1026:2048 2051:3071 3073:4096 4098:5118 5121:6143 6146:7168 7171:8191 8193:9216 9218:10238 10241:11263 11266:12288 12291:13311 13313:14336 14338:15358 15361:16383" x14ac:dyDescent="0.2">
      <c r="A132" s="45">
        <v>45716</v>
      </c>
      <c r="B132" s="37" t="s">
        <v>173</v>
      </c>
      <c r="C132" s="46">
        <v>147.97</v>
      </c>
      <c r="D132" s="37" t="s">
        <v>127</v>
      </c>
      <c r="E132" s="37" t="s">
        <v>129</v>
      </c>
    </row>
    <row r="133" spans="1:1023 1026:2048 2051:3071 3073:4096 4098:5118 5121:6143 6146:7168 7171:8191 8193:9216 9218:10238 10241:11263 11266:12288 12291:13311 13313:14336 14338:15358 15361:16383" x14ac:dyDescent="0.2">
      <c r="A133" s="45">
        <v>45716</v>
      </c>
      <c r="B133" s="37" t="s">
        <v>173</v>
      </c>
      <c r="C133" s="46">
        <v>177.35</v>
      </c>
      <c r="D133" s="37" t="s">
        <v>127</v>
      </c>
      <c r="E133" s="37" t="s">
        <v>129</v>
      </c>
    </row>
    <row r="134" spans="1:1023 1026:2048 2051:3071 3073:4096 4098:5118 5121:6143 6146:7168 7171:8191 8193:9216 9218:10238 10241:11263 11266:12288 12291:13311 13313:14336 14338:15358 15361:16383" x14ac:dyDescent="0.2">
      <c r="A134" s="45">
        <v>45716</v>
      </c>
      <c r="B134" s="37" t="s">
        <v>121</v>
      </c>
      <c r="C134" s="46">
        <v>2700</v>
      </c>
      <c r="D134" s="37" t="s">
        <v>127</v>
      </c>
      <c r="E134" s="37" t="s">
        <v>128</v>
      </c>
    </row>
    <row r="135" spans="1:1023 1026:2048 2051:3071 3073:4096 4098:5118 5121:6143 6146:7168 7171:8191 8193:9216 9218:10238 10241:11263 11266:12288 12291:13311 13313:14336 14338:15358 15361:16383" x14ac:dyDescent="0.2">
      <c r="A135" s="45">
        <v>45716</v>
      </c>
      <c r="B135" s="37" t="s">
        <v>121</v>
      </c>
      <c r="C135" s="46">
        <v>3600</v>
      </c>
      <c r="D135" s="37" t="s">
        <v>127</v>
      </c>
      <c r="E135" s="37" t="s">
        <v>128</v>
      </c>
    </row>
    <row r="136" spans="1:1023 1026:2048 2051:3071 3073:4096 4098:5118 5121:6143 6146:7168 7171:8191 8193:9216 9218:10238 10241:11263 11266:12288 12291:13311 13313:14336 14338:15358 15361:16383" x14ac:dyDescent="0.2">
      <c r="A136" s="45">
        <v>45716</v>
      </c>
      <c r="B136" s="37" t="s">
        <v>121</v>
      </c>
      <c r="C136" s="46">
        <v>8878.1200000000008</v>
      </c>
      <c r="D136" s="37" t="s">
        <v>127</v>
      </c>
      <c r="E136" s="37" t="s">
        <v>128</v>
      </c>
    </row>
    <row r="137" spans="1:1023 1026:2048 2051:3071 3073:4096 4098:5118 5121:6143 6146:7168 7171:8191 8193:9216 9218:10238 10241:11263 11266:12288 12291:13311 13313:14336 14338:15358 15361:16383" x14ac:dyDescent="0.2">
      <c r="A137" s="45">
        <v>45716</v>
      </c>
      <c r="B137" s="37" t="s">
        <v>121</v>
      </c>
      <c r="C137" s="46">
        <v>10641.15</v>
      </c>
      <c r="D137" s="37" t="s">
        <v>127</v>
      </c>
      <c r="E137" s="37" t="s">
        <v>128</v>
      </c>
    </row>
    <row r="138" spans="1:1023 1026:2048 2051:3071 3073:4096 4098:5118 5121:6143 6146:7168 7171:8191 8193:9216 9218:10238 10241:11263 11266:12288 12291:13311 13313:14336 14338:15358 15361:16383" x14ac:dyDescent="0.2">
      <c r="A138" s="45">
        <v>45716</v>
      </c>
      <c r="B138" s="37" t="s">
        <v>120</v>
      </c>
      <c r="C138" s="46">
        <v>10563</v>
      </c>
      <c r="D138" s="37" t="s">
        <v>127</v>
      </c>
      <c r="E138" s="37" t="s">
        <v>120</v>
      </c>
    </row>
    <row r="139" spans="1:1023 1026:2048 2051:3071 3073:4096 4098:5118 5121:6143 6146:7168 7171:8191 8193:9216 9218:10238 10241:11263 11266:12288 12291:13311 13313:14336 14338:15358 15361:16383" x14ac:dyDescent="0.2">
      <c r="A139" s="45">
        <v>45716</v>
      </c>
      <c r="B139" s="37" t="s">
        <v>123</v>
      </c>
      <c r="C139" s="46">
        <v>1509</v>
      </c>
      <c r="D139" s="37" t="s">
        <v>127</v>
      </c>
      <c r="E139" s="37" t="s">
        <v>120</v>
      </c>
    </row>
    <row r="140" spans="1:1023 1026:2048 2051:3071 3073:4096 4098:5118 5121:6143 6146:7168 7171:8191 8193:9216 9218:10238 10241:11263 11266:12288 12291:13311 13313:14336 14338:15358 15361:16383" x14ac:dyDescent="0.2">
      <c r="A140" s="45">
        <v>45716</v>
      </c>
      <c r="B140" s="37" t="s">
        <v>124</v>
      </c>
      <c r="C140" s="46">
        <v>1509</v>
      </c>
      <c r="D140" s="37" t="s">
        <v>127</v>
      </c>
      <c r="E140" s="37" t="s">
        <v>137</v>
      </c>
    </row>
    <row r="141" spans="1:1023 1026:2048 2051:3071 3073:4096 4098:5118 5121:6143 6146:7168 7171:8191 8193:9216 9218:10238 10241:11263 11266:12288 12291:13311 13313:14336 14338:15358 15361:16383" s="90" customFormat="1" x14ac:dyDescent="0.2">
      <c r="A141" s="89"/>
      <c r="B141" s="90" t="str">
        <f>+D140</f>
        <v>Impuestos</v>
      </c>
      <c r="C141" s="91">
        <f>SUM(C23:C140)</f>
        <v>566175.94000000006</v>
      </c>
      <c r="F141" s="89"/>
      <c r="H141" s="91"/>
      <c r="K141" s="89"/>
      <c r="M141" s="91"/>
      <c r="P141" s="89"/>
      <c r="R141" s="91"/>
      <c r="U141" s="89"/>
      <c r="W141" s="91"/>
      <c r="Z141" s="89"/>
      <c r="AB141" s="91"/>
      <c r="AE141" s="89"/>
      <c r="AG141" s="91"/>
      <c r="AJ141" s="89"/>
      <c r="AL141" s="91"/>
      <c r="AO141" s="89"/>
      <c r="AQ141" s="91"/>
      <c r="AT141" s="89"/>
      <c r="AV141" s="91"/>
      <c r="AY141" s="89"/>
      <c r="BA141" s="91"/>
      <c r="BD141" s="89"/>
      <c r="BF141" s="91"/>
      <c r="BI141" s="89"/>
      <c r="BK141" s="91"/>
      <c r="BN141" s="89"/>
      <c r="BP141" s="91"/>
      <c r="BS141" s="89"/>
      <c r="BU141" s="91"/>
      <c r="BX141" s="89"/>
      <c r="BZ141" s="91"/>
      <c r="CC141" s="89"/>
      <c r="CE141" s="91"/>
      <c r="CH141" s="89"/>
      <c r="CJ141" s="91"/>
      <c r="CM141" s="89"/>
      <c r="CO141" s="91"/>
      <c r="CR141" s="89"/>
      <c r="CT141" s="91"/>
      <c r="CW141" s="89"/>
      <c r="CY141" s="91"/>
      <c r="DB141" s="89"/>
      <c r="DD141" s="91"/>
      <c r="DG141" s="89"/>
      <c r="DI141" s="91"/>
      <c r="DL141" s="89"/>
      <c r="DN141" s="91"/>
      <c r="DQ141" s="89"/>
      <c r="DS141" s="91"/>
      <c r="DV141" s="89"/>
      <c r="DX141" s="91"/>
      <c r="EA141" s="89"/>
      <c r="EC141" s="91"/>
      <c r="EF141" s="89"/>
      <c r="EH141" s="91"/>
      <c r="EK141" s="89"/>
      <c r="EM141" s="91"/>
      <c r="EP141" s="89"/>
      <c r="ER141" s="91"/>
      <c r="EU141" s="89"/>
      <c r="EW141" s="91"/>
      <c r="EZ141" s="89"/>
      <c r="FB141" s="91"/>
      <c r="FE141" s="89"/>
      <c r="FG141" s="91"/>
      <c r="FJ141" s="89"/>
      <c r="FL141" s="91"/>
      <c r="FO141" s="89"/>
      <c r="FQ141" s="91"/>
      <c r="FT141" s="89"/>
      <c r="FV141" s="91"/>
      <c r="FY141" s="89"/>
      <c r="GA141" s="91"/>
      <c r="GD141" s="89"/>
      <c r="GF141" s="91"/>
      <c r="GI141" s="89"/>
      <c r="GK141" s="91"/>
      <c r="GN141" s="89"/>
      <c r="GP141" s="91"/>
      <c r="GS141" s="89"/>
      <c r="GU141" s="91"/>
      <c r="GX141" s="89"/>
      <c r="GZ141" s="91"/>
      <c r="HC141" s="89"/>
      <c r="HE141" s="91"/>
      <c r="HH141" s="89"/>
      <c r="HJ141" s="91"/>
      <c r="HM141" s="89"/>
      <c r="HO141" s="91"/>
      <c r="HR141" s="89"/>
      <c r="HT141" s="91"/>
      <c r="HW141" s="89"/>
      <c r="HY141" s="91"/>
      <c r="IB141" s="89"/>
      <c r="ID141" s="91"/>
      <c r="IG141" s="89"/>
      <c r="II141" s="91"/>
      <c r="IL141" s="89"/>
      <c r="IN141" s="91"/>
      <c r="IQ141" s="89"/>
      <c r="IS141" s="91"/>
      <c r="IV141" s="89"/>
      <c r="IX141" s="91"/>
      <c r="JA141" s="89"/>
      <c r="JC141" s="91"/>
      <c r="JF141" s="89"/>
      <c r="JH141" s="91"/>
      <c r="JK141" s="89"/>
      <c r="JM141" s="91"/>
      <c r="JP141" s="89"/>
      <c r="JR141" s="91"/>
      <c r="JU141" s="89"/>
      <c r="JW141" s="91"/>
      <c r="JZ141" s="89"/>
      <c r="KB141" s="91"/>
      <c r="KE141" s="89"/>
      <c r="KG141" s="91"/>
      <c r="KJ141" s="89"/>
      <c r="KL141" s="91"/>
      <c r="KO141" s="89"/>
      <c r="KQ141" s="91"/>
      <c r="KT141" s="89"/>
      <c r="KV141" s="91"/>
      <c r="KY141" s="89"/>
      <c r="LA141" s="91"/>
      <c r="LD141" s="89"/>
      <c r="LF141" s="91"/>
      <c r="LI141" s="89"/>
      <c r="LK141" s="91"/>
      <c r="LN141" s="89"/>
      <c r="LP141" s="91"/>
      <c r="LS141" s="89"/>
      <c r="LU141" s="91"/>
      <c r="LX141" s="89"/>
      <c r="LZ141" s="91"/>
      <c r="MC141" s="89"/>
      <c r="ME141" s="91"/>
      <c r="MH141" s="89"/>
      <c r="MJ141" s="91"/>
      <c r="MM141" s="89"/>
      <c r="MO141" s="91"/>
      <c r="MR141" s="89"/>
      <c r="MT141" s="91"/>
      <c r="MW141" s="89"/>
      <c r="MY141" s="91"/>
      <c r="NB141" s="89"/>
      <c r="ND141" s="91"/>
      <c r="NG141" s="89"/>
      <c r="NI141" s="91"/>
      <c r="NL141" s="89"/>
      <c r="NN141" s="91"/>
      <c r="NQ141" s="89"/>
      <c r="NS141" s="91"/>
      <c r="NV141" s="89"/>
      <c r="NX141" s="91"/>
      <c r="OA141" s="89"/>
      <c r="OC141" s="91"/>
      <c r="OF141" s="89"/>
      <c r="OH141" s="91"/>
      <c r="OK141" s="89"/>
      <c r="OM141" s="91"/>
      <c r="OP141" s="89"/>
      <c r="OR141" s="91"/>
      <c r="OU141" s="89"/>
      <c r="OW141" s="91"/>
      <c r="OZ141" s="89"/>
      <c r="PB141" s="91"/>
      <c r="PE141" s="89"/>
      <c r="PG141" s="91"/>
      <c r="PJ141" s="89"/>
      <c r="PL141" s="91"/>
      <c r="PO141" s="89"/>
      <c r="PQ141" s="91"/>
      <c r="PT141" s="89"/>
      <c r="PV141" s="91"/>
      <c r="PY141" s="89"/>
      <c r="QA141" s="91"/>
      <c r="QD141" s="89"/>
      <c r="QF141" s="91"/>
      <c r="QI141" s="89"/>
      <c r="QK141" s="91"/>
      <c r="QN141" s="89"/>
      <c r="QP141" s="91"/>
      <c r="QS141" s="89"/>
      <c r="QU141" s="91"/>
      <c r="QX141" s="89"/>
      <c r="QZ141" s="91"/>
      <c r="RC141" s="89"/>
      <c r="RE141" s="91"/>
      <c r="RH141" s="89"/>
      <c r="RJ141" s="91"/>
      <c r="RM141" s="89"/>
      <c r="RO141" s="91"/>
      <c r="RR141" s="89"/>
      <c r="RT141" s="91"/>
      <c r="RW141" s="89"/>
      <c r="RY141" s="91"/>
      <c r="SB141" s="89"/>
      <c r="SD141" s="91"/>
      <c r="SG141" s="89"/>
      <c r="SI141" s="91"/>
      <c r="SL141" s="89"/>
      <c r="SN141" s="91"/>
      <c r="SQ141" s="89"/>
      <c r="SS141" s="91"/>
      <c r="SV141" s="89"/>
      <c r="SX141" s="91"/>
      <c r="TA141" s="89"/>
      <c r="TC141" s="91"/>
      <c r="TF141" s="89"/>
      <c r="TH141" s="91"/>
      <c r="TK141" s="89"/>
      <c r="TM141" s="91"/>
      <c r="TP141" s="89"/>
      <c r="TR141" s="91"/>
      <c r="TU141" s="89"/>
      <c r="TW141" s="91"/>
      <c r="TZ141" s="89"/>
      <c r="UB141" s="91"/>
      <c r="UE141" s="89"/>
      <c r="UG141" s="91"/>
      <c r="UJ141" s="89"/>
      <c r="UL141" s="91"/>
      <c r="UO141" s="89"/>
      <c r="UQ141" s="91"/>
      <c r="UT141" s="89"/>
      <c r="UV141" s="91"/>
      <c r="UY141" s="89"/>
      <c r="VA141" s="91"/>
      <c r="VD141" s="89"/>
      <c r="VF141" s="91"/>
      <c r="VI141" s="89"/>
      <c r="VK141" s="91"/>
      <c r="VN141" s="89"/>
      <c r="VP141" s="91"/>
      <c r="VS141" s="89"/>
      <c r="VU141" s="91"/>
      <c r="VX141" s="89"/>
      <c r="VZ141" s="91"/>
      <c r="WC141" s="89"/>
      <c r="WE141" s="91"/>
      <c r="WH141" s="89"/>
      <c r="WJ141" s="91"/>
      <c r="WM141" s="89"/>
      <c r="WO141" s="91"/>
      <c r="WR141" s="89"/>
      <c r="WT141" s="91"/>
      <c r="WW141" s="89"/>
      <c r="WY141" s="91"/>
      <c r="XB141" s="89"/>
      <c r="XD141" s="91"/>
      <c r="XG141" s="89"/>
      <c r="XI141" s="91"/>
      <c r="XL141" s="89"/>
      <c r="XN141" s="91"/>
      <c r="XQ141" s="89"/>
      <c r="XS141" s="91"/>
      <c r="XV141" s="89"/>
      <c r="XX141" s="91"/>
      <c r="YA141" s="89"/>
      <c r="YC141" s="91"/>
      <c r="YF141" s="89"/>
      <c r="YH141" s="91"/>
      <c r="YK141" s="89"/>
      <c r="YM141" s="91"/>
      <c r="YP141" s="89"/>
      <c r="YR141" s="91"/>
      <c r="YU141" s="89"/>
      <c r="YW141" s="91"/>
      <c r="YZ141" s="89"/>
      <c r="ZB141" s="91"/>
      <c r="ZE141" s="89"/>
      <c r="ZG141" s="91"/>
      <c r="ZJ141" s="89"/>
      <c r="ZL141" s="91"/>
      <c r="ZO141" s="89"/>
      <c r="ZQ141" s="91"/>
      <c r="ZT141" s="89"/>
      <c r="ZV141" s="91"/>
      <c r="ZY141" s="89"/>
      <c r="AAA141" s="91"/>
      <c r="AAD141" s="89"/>
      <c r="AAF141" s="91"/>
      <c r="AAI141" s="89"/>
      <c r="AAK141" s="91"/>
      <c r="AAN141" s="89"/>
      <c r="AAP141" s="91"/>
      <c r="AAS141" s="89"/>
      <c r="AAU141" s="91"/>
      <c r="AAX141" s="89"/>
      <c r="AAZ141" s="91"/>
      <c r="ABC141" s="89"/>
      <c r="ABE141" s="91"/>
      <c r="ABH141" s="89"/>
      <c r="ABJ141" s="91"/>
      <c r="ABM141" s="89"/>
      <c r="ABO141" s="91"/>
      <c r="ABR141" s="89"/>
      <c r="ABT141" s="91"/>
      <c r="ABW141" s="89"/>
      <c r="ABY141" s="91"/>
      <c r="ACB141" s="89"/>
      <c r="ACD141" s="91"/>
      <c r="ACG141" s="89"/>
      <c r="ACI141" s="91"/>
      <c r="ACL141" s="89"/>
      <c r="ACN141" s="91"/>
      <c r="ACQ141" s="89"/>
      <c r="ACS141" s="91"/>
      <c r="ACV141" s="89"/>
      <c r="ACX141" s="91"/>
      <c r="ADA141" s="89"/>
      <c r="ADC141" s="91"/>
      <c r="ADF141" s="89"/>
      <c r="ADH141" s="91"/>
      <c r="ADK141" s="89"/>
      <c r="ADM141" s="91"/>
      <c r="ADP141" s="89"/>
      <c r="ADR141" s="91"/>
      <c r="ADU141" s="89"/>
      <c r="ADW141" s="91"/>
      <c r="ADZ141" s="89"/>
      <c r="AEB141" s="91"/>
      <c r="AEE141" s="89"/>
      <c r="AEG141" s="91"/>
      <c r="AEJ141" s="89"/>
      <c r="AEL141" s="91"/>
      <c r="AEO141" s="89"/>
      <c r="AEQ141" s="91"/>
      <c r="AET141" s="89"/>
      <c r="AEV141" s="91"/>
      <c r="AEY141" s="89"/>
      <c r="AFA141" s="91"/>
      <c r="AFD141" s="89"/>
      <c r="AFF141" s="91"/>
      <c r="AFI141" s="89"/>
      <c r="AFK141" s="91"/>
      <c r="AFN141" s="89"/>
      <c r="AFP141" s="91"/>
      <c r="AFS141" s="89"/>
      <c r="AFU141" s="91"/>
      <c r="AFX141" s="89"/>
      <c r="AFZ141" s="91"/>
      <c r="AGC141" s="89"/>
      <c r="AGE141" s="91"/>
      <c r="AGH141" s="89"/>
      <c r="AGJ141" s="91"/>
      <c r="AGM141" s="89"/>
      <c r="AGO141" s="91"/>
      <c r="AGR141" s="89"/>
      <c r="AGT141" s="91"/>
      <c r="AGW141" s="89"/>
      <c r="AGY141" s="91"/>
      <c r="AHB141" s="89"/>
      <c r="AHD141" s="91"/>
      <c r="AHG141" s="89"/>
      <c r="AHI141" s="91"/>
      <c r="AHL141" s="89"/>
      <c r="AHN141" s="91"/>
      <c r="AHQ141" s="89"/>
      <c r="AHS141" s="91"/>
      <c r="AHV141" s="89"/>
      <c r="AHX141" s="91"/>
      <c r="AIA141" s="89"/>
      <c r="AIC141" s="91"/>
      <c r="AIF141" s="89"/>
      <c r="AIH141" s="91"/>
      <c r="AIK141" s="89"/>
      <c r="AIM141" s="91"/>
      <c r="AIP141" s="89"/>
      <c r="AIR141" s="91"/>
      <c r="AIU141" s="89"/>
      <c r="AIW141" s="91"/>
      <c r="AIZ141" s="89"/>
      <c r="AJB141" s="91"/>
      <c r="AJE141" s="89"/>
      <c r="AJG141" s="91"/>
      <c r="AJJ141" s="89"/>
      <c r="AJL141" s="91"/>
      <c r="AJO141" s="89"/>
      <c r="AJQ141" s="91"/>
      <c r="AJT141" s="89"/>
      <c r="AJV141" s="91"/>
      <c r="AJY141" s="89"/>
      <c r="AKA141" s="91"/>
      <c r="AKD141" s="89"/>
      <c r="AKF141" s="91"/>
      <c r="AKI141" s="89"/>
      <c r="AKK141" s="91"/>
      <c r="AKN141" s="89"/>
      <c r="AKP141" s="91"/>
      <c r="AKS141" s="89"/>
      <c r="AKU141" s="91"/>
      <c r="AKX141" s="89"/>
      <c r="AKZ141" s="91"/>
      <c r="ALC141" s="89"/>
      <c r="ALE141" s="91"/>
      <c r="ALH141" s="89"/>
      <c r="ALJ141" s="91"/>
      <c r="ALM141" s="89"/>
      <c r="ALO141" s="91"/>
      <c r="ALR141" s="89"/>
      <c r="ALT141" s="91"/>
      <c r="ALW141" s="89"/>
      <c r="ALY141" s="91"/>
      <c r="AMB141" s="89"/>
      <c r="AMD141" s="91"/>
      <c r="AMG141" s="89"/>
      <c r="AMI141" s="91"/>
      <c r="AML141" s="89"/>
      <c r="AMN141" s="91"/>
      <c r="AMQ141" s="89"/>
      <c r="AMS141" s="91"/>
      <c r="AMV141" s="89"/>
      <c r="AMX141" s="91"/>
      <c r="ANA141" s="89"/>
      <c r="ANC141" s="91"/>
      <c r="ANF141" s="89"/>
      <c r="ANH141" s="91"/>
      <c r="ANK141" s="89"/>
      <c r="ANM141" s="91"/>
      <c r="ANP141" s="89"/>
      <c r="ANR141" s="91"/>
      <c r="ANU141" s="89"/>
      <c r="ANW141" s="91"/>
      <c r="ANZ141" s="89"/>
      <c r="AOB141" s="91"/>
      <c r="AOE141" s="89"/>
      <c r="AOG141" s="91"/>
      <c r="AOJ141" s="89"/>
      <c r="AOL141" s="91"/>
      <c r="AOO141" s="89"/>
      <c r="AOQ141" s="91"/>
      <c r="AOT141" s="89"/>
      <c r="AOV141" s="91"/>
      <c r="AOY141" s="89"/>
      <c r="APA141" s="91"/>
      <c r="APD141" s="89"/>
      <c r="APF141" s="91"/>
      <c r="API141" s="89"/>
      <c r="APK141" s="91"/>
      <c r="APN141" s="89"/>
      <c r="APP141" s="91"/>
      <c r="APS141" s="89"/>
      <c r="APU141" s="91"/>
      <c r="APX141" s="89"/>
      <c r="APZ141" s="91"/>
      <c r="AQC141" s="89"/>
      <c r="AQE141" s="91"/>
      <c r="AQH141" s="89"/>
      <c r="AQJ141" s="91"/>
      <c r="AQM141" s="89"/>
      <c r="AQO141" s="91"/>
      <c r="AQR141" s="89"/>
      <c r="AQT141" s="91"/>
      <c r="AQW141" s="89"/>
      <c r="AQY141" s="91"/>
      <c r="ARB141" s="89"/>
      <c r="ARD141" s="91"/>
      <c r="ARG141" s="89"/>
      <c r="ARI141" s="91"/>
      <c r="ARL141" s="89"/>
      <c r="ARN141" s="91"/>
      <c r="ARQ141" s="89"/>
      <c r="ARS141" s="91"/>
      <c r="ARV141" s="89"/>
      <c r="ARX141" s="91"/>
      <c r="ASA141" s="89"/>
      <c r="ASC141" s="91"/>
      <c r="ASF141" s="89"/>
      <c r="ASH141" s="91"/>
      <c r="ASK141" s="89"/>
      <c r="ASM141" s="91"/>
      <c r="ASP141" s="89"/>
      <c r="ASR141" s="91"/>
      <c r="ASU141" s="89"/>
      <c r="ASW141" s="91"/>
      <c r="ASZ141" s="89"/>
      <c r="ATB141" s="91"/>
      <c r="ATE141" s="89"/>
      <c r="ATG141" s="91"/>
      <c r="ATJ141" s="89"/>
      <c r="ATL141" s="91"/>
      <c r="ATO141" s="89"/>
      <c r="ATQ141" s="91"/>
      <c r="ATT141" s="89"/>
      <c r="ATV141" s="91"/>
      <c r="ATY141" s="89"/>
      <c r="AUA141" s="91"/>
      <c r="AUD141" s="89"/>
      <c r="AUF141" s="91"/>
      <c r="AUI141" s="89"/>
      <c r="AUK141" s="91"/>
      <c r="AUN141" s="89"/>
      <c r="AUP141" s="91"/>
      <c r="AUS141" s="89"/>
      <c r="AUU141" s="91"/>
      <c r="AUX141" s="89"/>
      <c r="AUZ141" s="91"/>
      <c r="AVC141" s="89"/>
      <c r="AVE141" s="91"/>
      <c r="AVH141" s="89"/>
      <c r="AVJ141" s="91"/>
      <c r="AVM141" s="89"/>
      <c r="AVO141" s="91"/>
      <c r="AVR141" s="89"/>
      <c r="AVT141" s="91"/>
      <c r="AVW141" s="89"/>
      <c r="AVY141" s="91"/>
      <c r="AWB141" s="89"/>
      <c r="AWD141" s="91"/>
      <c r="AWG141" s="89"/>
      <c r="AWI141" s="91"/>
      <c r="AWL141" s="89"/>
      <c r="AWN141" s="91"/>
      <c r="AWQ141" s="89"/>
      <c r="AWS141" s="91"/>
      <c r="AWV141" s="89"/>
      <c r="AWX141" s="91"/>
      <c r="AXA141" s="89"/>
      <c r="AXC141" s="91"/>
      <c r="AXF141" s="89"/>
      <c r="AXH141" s="91"/>
      <c r="AXK141" s="89"/>
      <c r="AXM141" s="91"/>
      <c r="AXP141" s="89"/>
      <c r="AXR141" s="91"/>
      <c r="AXU141" s="89"/>
      <c r="AXW141" s="91"/>
      <c r="AXZ141" s="89"/>
      <c r="AYB141" s="91"/>
      <c r="AYE141" s="89"/>
      <c r="AYG141" s="91"/>
      <c r="AYJ141" s="89"/>
      <c r="AYL141" s="91"/>
      <c r="AYO141" s="89"/>
      <c r="AYQ141" s="91"/>
      <c r="AYT141" s="89"/>
      <c r="AYV141" s="91"/>
      <c r="AYY141" s="89"/>
      <c r="AZA141" s="91"/>
      <c r="AZD141" s="89"/>
      <c r="AZF141" s="91"/>
      <c r="AZI141" s="89"/>
      <c r="AZK141" s="91"/>
      <c r="AZN141" s="89"/>
      <c r="AZP141" s="91"/>
      <c r="AZS141" s="89"/>
      <c r="AZU141" s="91"/>
      <c r="AZX141" s="89"/>
      <c r="AZZ141" s="91"/>
      <c r="BAC141" s="89"/>
      <c r="BAE141" s="91"/>
      <c r="BAH141" s="89"/>
      <c r="BAJ141" s="91"/>
      <c r="BAM141" s="89"/>
      <c r="BAO141" s="91"/>
      <c r="BAR141" s="89"/>
      <c r="BAT141" s="91"/>
      <c r="BAW141" s="89"/>
      <c r="BAY141" s="91"/>
      <c r="BBB141" s="89"/>
      <c r="BBD141" s="91"/>
      <c r="BBG141" s="89"/>
      <c r="BBI141" s="91"/>
      <c r="BBL141" s="89"/>
      <c r="BBN141" s="91"/>
      <c r="BBQ141" s="89"/>
      <c r="BBS141" s="91"/>
      <c r="BBV141" s="89"/>
      <c r="BBX141" s="91"/>
      <c r="BCA141" s="89"/>
      <c r="BCC141" s="91"/>
      <c r="BCF141" s="89"/>
      <c r="BCH141" s="91"/>
      <c r="BCK141" s="89"/>
      <c r="BCM141" s="91"/>
      <c r="BCP141" s="89"/>
      <c r="BCR141" s="91"/>
      <c r="BCU141" s="89"/>
      <c r="BCW141" s="91"/>
      <c r="BCZ141" s="89"/>
      <c r="BDB141" s="91"/>
      <c r="BDE141" s="89"/>
      <c r="BDG141" s="91"/>
      <c r="BDJ141" s="89"/>
      <c r="BDL141" s="91"/>
      <c r="BDO141" s="89"/>
      <c r="BDQ141" s="91"/>
      <c r="BDT141" s="89"/>
      <c r="BDV141" s="91"/>
      <c r="BDY141" s="89"/>
      <c r="BEA141" s="91"/>
      <c r="BED141" s="89"/>
      <c r="BEF141" s="91"/>
      <c r="BEI141" s="89"/>
      <c r="BEK141" s="91"/>
      <c r="BEN141" s="89"/>
      <c r="BEP141" s="91"/>
      <c r="BES141" s="89"/>
      <c r="BEU141" s="91"/>
      <c r="BEX141" s="89"/>
      <c r="BEZ141" s="91"/>
      <c r="BFC141" s="89"/>
      <c r="BFE141" s="91"/>
      <c r="BFH141" s="89"/>
      <c r="BFJ141" s="91"/>
      <c r="BFM141" s="89"/>
      <c r="BFO141" s="91"/>
      <c r="BFR141" s="89"/>
      <c r="BFT141" s="91"/>
      <c r="BFW141" s="89"/>
      <c r="BFY141" s="91"/>
      <c r="BGB141" s="89"/>
      <c r="BGD141" s="91"/>
      <c r="BGG141" s="89"/>
      <c r="BGI141" s="91"/>
      <c r="BGL141" s="89"/>
      <c r="BGN141" s="91"/>
      <c r="BGQ141" s="89"/>
      <c r="BGS141" s="91"/>
      <c r="BGV141" s="89"/>
      <c r="BGX141" s="91"/>
      <c r="BHA141" s="89"/>
      <c r="BHC141" s="91"/>
      <c r="BHF141" s="89"/>
      <c r="BHH141" s="91"/>
      <c r="BHK141" s="89"/>
      <c r="BHM141" s="91"/>
      <c r="BHP141" s="89"/>
      <c r="BHR141" s="91"/>
      <c r="BHU141" s="89"/>
      <c r="BHW141" s="91"/>
      <c r="BHZ141" s="89"/>
      <c r="BIB141" s="91"/>
      <c r="BIE141" s="89"/>
      <c r="BIG141" s="91"/>
      <c r="BIJ141" s="89"/>
      <c r="BIL141" s="91"/>
      <c r="BIO141" s="89"/>
      <c r="BIQ141" s="91"/>
      <c r="BIT141" s="89"/>
      <c r="BIV141" s="91"/>
      <c r="BIY141" s="89"/>
      <c r="BJA141" s="91"/>
      <c r="BJD141" s="89"/>
      <c r="BJF141" s="91"/>
      <c r="BJI141" s="89"/>
      <c r="BJK141" s="91"/>
      <c r="BJN141" s="89"/>
      <c r="BJP141" s="91"/>
      <c r="BJS141" s="89"/>
      <c r="BJU141" s="91"/>
      <c r="BJX141" s="89"/>
      <c r="BJZ141" s="91"/>
      <c r="BKC141" s="89"/>
      <c r="BKE141" s="91"/>
      <c r="BKH141" s="89"/>
      <c r="BKJ141" s="91"/>
      <c r="BKM141" s="89"/>
      <c r="BKO141" s="91"/>
      <c r="BKR141" s="89"/>
      <c r="BKT141" s="91"/>
      <c r="BKW141" s="89"/>
      <c r="BKY141" s="91"/>
      <c r="BLB141" s="89"/>
      <c r="BLD141" s="91"/>
      <c r="BLG141" s="89"/>
      <c r="BLI141" s="91"/>
      <c r="BLL141" s="89"/>
      <c r="BLN141" s="91"/>
      <c r="BLQ141" s="89"/>
      <c r="BLS141" s="91"/>
      <c r="BLV141" s="89"/>
      <c r="BLX141" s="91"/>
      <c r="BMA141" s="89"/>
      <c r="BMC141" s="91"/>
      <c r="BMF141" s="89"/>
      <c r="BMH141" s="91"/>
      <c r="BMK141" s="89"/>
      <c r="BMM141" s="91"/>
      <c r="BMP141" s="89"/>
      <c r="BMR141" s="91"/>
      <c r="BMU141" s="89"/>
      <c r="BMW141" s="91"/>
      <c r="BMZ141" s="89"/>
      <c r="BNB141" s="91"/>
      <c r="BNE141" s="89"/>
      <c r="BNG141" s="91"/>
      <c r="BNJ141" s="89"/>
      <c r="BNL141" s="91"/>
      <c r="BNO141" s="89"/>
      <c r="BNQ141" s="91"/>
      <c r="BNT141" s="89"/>
      <c r="BNV141" s="91"/>
      <c r="BNY141" s="89"/>
      <c r="BOA141" s="91"/>
      <c r="BOD141" s="89"/>
      <c r="BOF141" s="91"/>
      <c r="BOI141" s="89"/>
      <c r="BOK141" s="91"/>
      <c r="BON141" s="89"/>
      <c r="BOP141" s="91"/>
      <c r="BOS141" s="89"/>
      <c r="BOU141" s="91"/>
      <c r="BOX141" s="89"/>
      <c r="BOZ141" s="91"/>
      <c r="BPC141" s="89"/>
      <c r="BPE141" s="91"/>
      <c r="BPH141" s="89"/>
      <c r="BPJ141" s="91"/>
      <c r="BPM141" s="89"/>
      <c r="BPO141" s="91"/>
      <c r="BPR141" s="89"/>
      <c r="BPT141" s="91"/>
      <c r="BPW141" s="89"/>
      <c r="BPY141" s="91"/>
      <c r="BQB141" s="89"/>
      <c r="BQD141" s="91"/>
      <c r="BQG141" s="89"/>
      <c r="BQI141" s="91"/>
      <c r="BQL141" s="89"/>
      <c r="BQN141" s="91"/>
      <c r="BQQ141" s="89"/>
      <c r="BQS141" s="91"/>
      <c r="BQV141" s="89"/>
      <c r="BQX141" s="91"/>
      <c r="BRA141" s="89"/>
      <c r="BRC141" s="91"/>
      <c r="BRF141" s="89"/>
      <c r="BRH141" s="91"/>
      <c r="BRK141" s="89"/>
      <c r="BRM141" s="91"/>
      <c r="BRP141" s="89"/>
      <c r="BRR141" s="91"/>
      <c r="BRU141" s="89"/>
      <c r="BRW141" s="91"/>
      <c r="BRZ141" s="89"/>
      <c r="BSB141" s="91"/>
      <c r="BSE141" s="89"/>
      <c r="BSG141" s="91"/>
      <c r="BSJ141" s="89"/>
      <c r="BSL141" s="91"/>
      <c r="BSO141" s="89"/>
      <c r="BSQ141" s="91"/>
      <c r="BST141" s="89"/>
      <c r="BSV141" s="91"/>
      <c r="BSY141" s="89"/>
      <c r="BTA141" s="91"/>
      <c r="BTD141" s="89"/>
      <c r="BTF141" s="91"/>
      <c r="BTI141" s="89"/>
      <c r="BTK141" s="91"/>
      <c r="BTN141" s="89"/>
      <c r="BTP141" s="91"/>
      <c r="BTS141" s="89"/>
      <c r="BTU141" s="91"/>
      <c r="BTX141" s="89"/>
      <c r="BTZ141" s="91"/>
      <c r="BUC141" s="89"/>
      <c r="BUE141" s="91"/>
      <c r="BUH141" s="89"/>
      <c r="BUJ141" s="91"/>
      <c r="BUM141" s="89"/>
      <c r="BUO141" s="91"/>
      <c r="BUR141" s="89"/>
      <c r="BUT141" s="91"/>
      <c r="BUW141" s="89"/>
      <c r="BUY141" s="91"/>
      <c r="BVB141" s="89"/>
      <c r="BVD141" s="91"/>
      <c r="BVG141" s="89"/>
      <c r="BVI141" s="91"/>
      <c r="BVL141" s="89"/>
      <c r="BVN141" s="91"/>
      <c r="BVQ141" s="89"/>
      <c r="BVS141" s="91"/>
      <c r="BVV141" s="89"/>
      <c r="BVX141" s="91"/>
      <c r="BWA141" s="89"/>
      <c r="BWC141" s="91"/>
      <c r="BWF141" s="89"/>
      <c r="BWH141" s="91"/>
      <c r="BWK141" s="89"/>
      <c r="BWM141" s="91"/>
      <c r="BWP141" s="89"/>
      <c r="BWR141" s="91"/>
      <c r="BWU141" s="89"/>
      <c r="BWW141" s="91"/>
      <c r="BWZ141" s="89"/>
      <c r="BXB141" s="91"/>
      <c r="BXE141" s="89"/>
      <c r="BXG141" s="91"/>
      <c r="BXJ141" s="89"/>
      <c r="BXL141" s="91"/>
      <c r="BXO141" s="89"/>
      <c r="BXQ141" s="91"/>
      <c r="BXT141" s="89"/>
      <c r="BXV141" s="91"/>
      <c r="BXY141" s="89"/>
      <c r="BYA141" s="91"/>
      <c r="BYD141" s="89"/>
      <c r="BYF141" s="91"/>
      <c r="BYI141" s="89"/>
      <c r="BYK141" s="91"/>
      <c r="BYN141" s="89"/>
      <c r="BYP141" s="91"/>
      <c r="BYS141" s="89"/>
      <c r="BYU141" s="91"/>
      <c r="BYX141" s="89"/>
      <c r="BYZ141" s="91"/>
      <c r="BZC141" s="89"/>
      <c r="BZE141" s="91"/>
      <c r="BZH141" s="89"/>
      <c r="BZJ141" s="91"/>
      <c r="BZM141" s="89"/>
      <c r="BZO141" s="91"/>
      <c r="BZR141" s="89"/>
      <c r="BZT141" s="91"/>
      <c r="BZW141" s="89"/>
      <c r="BZY141" s="91"/>
      <c r="CAB141" s="89"/>
      <c r="CAD141" s="91"/>
      <c r="CAG141" s="89"/>
      <c r="CAI141" s="91"/>
      <c r="CAL141" s="89"/>
      <c r="CAN141" s="91"/>
      <c r="CAQ141" s="89"/>
      <c r="CAS141" s="91"/>
      <c r="CAV141" s="89"/>
      <c r="CAX141" s="91"/>
      <c r="CBA141" s="89"/>
      <c r="CBC141" s="91"/>
      <c r="CBF141" s="89"/>
      <c r="CBH141" s="91"/>
      <c r="CBK141" s="89"/>
      <c r="CBM141" s="91"/>
      <c r="CBP141" s="89"/>
      <c r="CBR141" s="91"/>
      <c r="CBU141" s="89"/>
      <c r="CBW141" s="91"/>
      <c r="CBZ141" s="89"/>
      <c r="CCB141" s="91"/>
      <c r="CCE141" s="89"/>
      <c r="CCG141" s="91"/>
      <c r="CCJ141" s="89"/>
      <c r="CCL141" s="91"/>
      <c r="CCO141" s="89"/>
      <c r="CCQ141" s="91"/>
      <c r="CCT141" s="89"/>
      <c r="CCV141" s="91"/>
      <c r="CCY141" s="89"/>
      <c r="CDA141" s="91"/>
      <c r="CDD141" s="89"/>
      <c r="CDF141" s="91"/>
      <c r="CDI141" s="89"/>
      <c r="CDK141" s="91"/>
      <c r="CDN141" s="89"/>
      <c r="CDP141" s="91"/>
      <c r="CDS141" s="89"/>
      <c r="CDU141" s="91"/>
      <c r="CDX141" s="89"/>
      <c r="CDZ141" s="91"/>
      <c r="CEC141" s="89"/>
      <c r="CEE141" s="91"/>
      <c r="CEH141" s="89"/>
      <c r="CEJ141" s="91"/>
      <c r="CEM141" s="89"/>
      <c r="CEO141" s="91"/>
      <c r="CER141" s="89"/>
      <c r="CET141" s="91"/>
      <c r="CEW141" s="89"/>
      <c r="CEY141" s="91"/>
      <c r="CFB141" s="89"/>
      <c r="CFD141" s="91"/>
      <c r="CFG141" s="89"/>
      <c r="CFI141" s="91"/>
      <c r="CFL141" s="89"/>
      <c r="CFN141" s="91"/>
      <c r="CFQ141" s="89"/>
      <c r="CFS141" s="91"/>
      <c r="CFV141" s="89"/>
      <c r="CFX141" s="91"/>
      <c r="CGA141" s="89"/>
      <c r="CGC141" s="91"/>
      <c r="CGF141" s="89"/>
      <c r="CGH141" s="91"/>
      <c r="CGK141" s="89"/>
      <c r="CGM141" s="91"/>
      <c r="CGP141" s="89"/>
      <c r="CGR141" s="91"/>
      <c r="CGU141" s="89"/>
      <c r="CGW141" s="91"/>
      <c r="CGZ141" s="89"/>
      <c r="CHB141" s="91"/>
      <c r="CHE141" s="89"/>
      <c r="CHG141" s="91"/>
      <c r="CHJ141" s="89"/>
      <c r="CHL141" s="91"/>
      <c r="CHO141" s="89"/>
      <c r="CHQ141" s="91"/>
      <c r="CHT141" s="89"/>
      <c r="CHV141" s="91"/>
      <c r="CHY141" s="89"/>
      <c r="CIA141" s="91"/>
      <c r="CID141" s="89"/>
      <c r="CIF141" s="91"/>
      <c r="CII141" s="89"/>
      <c r="CIK141" s="91"/>
      <c r="CIN141" s="89"/>
      <c r="CIP141" s="91"/>
      <c r="CIS141" s="89"/>
      <c r="CIU141" s="91"/>
      <c r="CIX141" s="89"/>
      <c r="CIZ141" s="91"/>
      <c r="CJC141" s="89"/>
      <c r="CJE141" s="91"/>
      <c r="CJH141" s="89"/>
      <c r="CJJ141" s="91"/>
      <c r="CJM141" s="89"/>
      <c r="CJO141" s="91"/>
      <c r="CJR141" s="89"/>
      <c r="CJT141" s="91"/>
      <c r="CJW141" s="89"/>
      <c r="CJY141" s="91"/>
      <c r="CKB141" s="89"/>
      <c r="CKD141" s="91"/>
      <c r="CKG141" s="89"/>
      <c r="CKI141" s="91"/>
      <c r="CKL141" s="89"/>
      <c r="CKN141" s="91"/>
      <c r="CKQ141" s="89"/>
      <c r="CKS141" s="91"/>
      <c r="CKV141" s="89"/>
      <c r="CKX141" s="91"/>
      <c r="CLA141" s="89"/>
      <c r="CLC141" s="91"/>
      <c r="CLF141" s="89"/>
      <c r="CLH141" s="91"/>
      <c r="CLK141" s="89"/>
      <c r="CLM141" s="91"/>
      <c r="CLP141" s="89"/>
      <c r="CLR141" s="91"/>
      <c r="CLU141" s="89"/>
      <c r="CLW141" s="91"/>
      <c r="CLZ141" s="89"/>
      <c r="CMB141" s="91"/>
      <c r="CME141" s="89"/>
      <c r="CMG141" s="91"/>
      <c r="CMJ141" s="89"/>
      <c r="CML141" s="91"/>
      <c r="CMO141" s="89"/>
      <c r="CMQ141" s="91"/>
      <c r="CMT141" s="89"/>
      <c r="CMV141" s="91"/>
      <c r="CMY141" s="89"/>
      <c r="CNA141" s="91"/>
      <c r="CND141" s="89"/>
      <c r="CNF141" s="91"/>
      <c r="CNI141" s="89"/>
      <c r="CNK141" s="91"/>
      <c r="CNN141" s="89"/>
      <c r="CNP141" s="91"/>
      <c r="CNS141" s="89"/>
      <c r="CNU141" s="91"/>
      <c r="CNX141" s="89"/>
      <c r="CNZ141" s="91"/>
      <c r="COC141" s="89"/>
      <c r="COE141" s="91"/>
      <c r="COH141" s="89"/>
      <c r="COJ141" s="91"/>
      <c r="COM141" s="89"/>
      <c r="COO141" s="91"/>
      <c r="COR141" s="89"/>
      <c r="COT141" s="91"/>
      <c r="COW141" s="89"/>
      <c r="COY141" s="91"/>
      <c r="CPB141" s="89"/>
      <c r="CPD141" s="91"/>
      <c r="CPG141" s="89"/>
      <c r="CPI141" s="91"/>
      <c r="CPL141" s="89"/>
      <c r="CPN141" s="91"/>
      <c r="CPQ141" s="89"/>
      <c r="CPS141" s="91"/>
      <c r="CPV141" s="89"/>
      <c r="CPX141" s="91"/>
      <c r="CQA141" s="89"/>
      <c r="CQC141" s="91"/>
      <c r="CQF141" s="89"/>
      <c r="CQH141" s="91"/>
      <c r="CQK141" s="89"/>
      <c r="CQM141" s="91"/>
      <c r="CQP141" s="89"/>
      <c r="CQR141" s="91"/>
      <c r="CQU141" s="89"/>
      <c r="CQW141" s="91"/>
      <c r="CQZ141" s="89"/>
      <c r="CRB141" s="91"/>
      <c r="CRE141" s="89"/>
      <c r="CRG141" s="91"/>
      <c r="CRJ141" s="89"/>
      <c r="CRL141" s="91"/>
      <c r="CRO141" s="89"/>
      <c r="CRQ141" s="91"/>
      <c r="CRT141" s="89"/>
      <c r="CRV141" s="91"/>
      <c r="CRY141" s="89"/>
      <c r="CSA141" s="91"/>
      <c r="CSD141" s="89"/>
      <c r="CSF141" s="91"/>
      <c r="CSI141" s="89"/>
      <c r="CSK141" s="91"/>
      <c r="CSN141" s="89"/>
      <c r="CSP141" s="91"/>
      <c r="CSS141" s="89"/>
      <c r="CSU141" s="91"/>
      <c r="CSX141" s="89"/>
      <c r="CSZ141" s="91"/>
      <c r="CTC141" s="89"/>
      <c r="CTE141" s="91"/>
      <c r="CTH141" s="89"/>
      <c r="CTJ141" s="91"/>
      <c r="CTM141" s="89"/>
      <c r="CTO141" s="91"/>
      <c r="CTR141" s="89"/>
      <c r="CTT141" s="91"/>
      <c r="CTW141" s="89"/>
      <c r="CTY141" s="91"/>
      <c r="CUB141" s="89"/>
      <c r="CUD141" s="91"/>
      <c r="CUG141" s="89"/>
      <c r="CUI141" s="91"/>
      <c r="CUL141" s="89"/>
      <c r="CUN141" s="91"/>
      <c r="CUQ141" s="89"/>
      <c r="CUS141" s="91"/>
      <c r="CUV141" s="89"/>
      <c r="CUX141" s="91"/>
      <c r="CVA141" s="89"/>
      <c r="CVC141" s="91"/>
      <c r="CVF141" s="89"/>
      <c r="CVH141" s="91"/>
      <c r="CVK141" s="89"/>
      <c r="CVM141" s="91"/>
      <c r="CVP141" s="89"/>
      <c r="CVR141" s="91"/>
      <c r="CVU141" s="89"/>
      <c r="CVW141" s="91"/>
      <c r="CVZ141" s="89"/>
      <c r="CWB141" s="91"/>
      <c r="CWE141" s="89"/>
      <c r="CWG141" s="91"/>
      <c r="CWJ141" s="89"/>
      <c r="CWL141" s="91"/>
      <c r="CWO141" s="89"/>
      <c r="CWQ141" s="91"/>
      <c r="CWT141" s="89"/>
      <c r="CWV141" s="91"/>
      <c r="CWY141" s="89"/>
      <c r="CXA141" s="91"/>
      <c r="CXD141" s="89"/>
      <c r="CXF141" s="91"/>
      <c r="CXI141" s="89"/>
      <c r="CXK141" s="91"/>
      <c r="CXN141" s="89"/>
      <c r="CXP141" s="91"/>
      <c r="CXS141" s="89"/>
      <c r="CXU141" s="91"/>
      <c r="CXX141" s="89"/>
      <c r="CXZ141" s="91"/>
      <c r="CYC141" s="89"/>
      <c r="CYE141" s="91"/>
      <c r="CYH141" s="89"/>
      <c r="CYJ141" s="91"/>
      <c r="CYM141" s="89"/>
      <c r="CYO141" s="91"/>
      <c r="CYR141" s="89"/>
      <c r="CYT141" s="91"/>
      <c r="CYW141" s="89"/>
      <c r="CYY141" s="91"/>
      <c r="CZB141" s="89"/>
      <c r="CZD141" s="91"/>
      <c r="CZG141" s="89"/>
      <c r="CZI141" s="91"/>
      <c r="CZL141" s="89"/>
      <c r="CZN141" s="91"/>
      <c r="CZQ141" s="89"/>
      <c r="CZS141" s="91"/>
      <c r="CZV141" s="89"/>
      <c r="CZX141" s="91"/>
      <c r="DAA141" s="89"/>
      <c r="DAC141" s="91"/>
      <c r="DAF141" s="89"/>
      <c r="DAH141" s="91"/>
      <c r="DAK141" s="89"/>
      <c r="DAM141" s="91"/>
      <c r="DAP141" s="89"/>
      <c r="DAR141" s="91"/>
      <c r="DAU141" s="89"/>
      <c r="DAW141" s="91"/>
      <c r="DAZ141" s="89"/>
      <c r="DBB141" s="91"/>
      <c r="DBE141" s="89"/>
      <c r="DBG141" s="91"/>
      <c r="DBJ141" s="89"/>
      <c r="DBL141" s="91"/>
      <c r="DBO141" s="89"/>
      <c r="DBQ141" s="91"/>
      <c r="DBT141" s="89"/>
      <c r="DBV141" s="91"/>
      <c r="DBY141" s="89"/>
      <c r="DCA141" s="91"/>
      <c r="DCD141" s="89"/>
      <c r="DCF141" s="91"/>
      <c r="DCI141" s="89"/>
      <c r="DCK141" s="91"/>
      <c r="DCN141" s="89"/>
      <c r="DCP141" s="91"/>
      <c r="DCS141" s="89"/>
      <c r="DCU141" s="91"/>
      <c r="DCX141" s="89"/>
      <c r="DCZ141" s="91"/>
      <c r="DDC141" s="89"/>
      <c r="DDE141" s="91"/>
      <c r="DDH141" s="89"/>
      <c r="DDJ141" s="91"/>
      <c r="DDM141" s="89"/>
      <c r="DDO141" s="91"/>
      <c r="DDR141" s="89"/>
      <c r="DDT141" s="91"/>
      <c r="DDW141" s="89"/>
      <c r="DDY141" s="91"/>
      <c r="DEB141" s="89"/>
      <c r="DED141" s="91"/>
      <c r="DEG141" s="89"/>
      <c r="DEI141" s="91"/>
      <c r="DEL141" s="89"/>
      <c r="DEN141" s="91"/>
      <c r="DEQ141" s="89"/>
      <c r="DES141" s="91"/>
      <c r="DEV141" s="89"/>
      <c r="DEX141" s="91"/>
      <c r="DFA141" s="89"/>
      <c r="DFC141" s="91"/>
      <c r="DFF141" s="89"/>
      <c r="DFH141" s="91"/>
      <c r="DFK141" s="89"/>
      <c r="DFM141" s="91"/>
      <c r="DFP141" s="89"/>
      <c r="DFR141" s="91"/>
      <c r="DFU141" s="89"/>
      <c r="DFW141" s="91"/>
      <c r="DFZ141" s="89"/>
      <c r="DGB141" s="91"/>
      <c r="DGE141" s="89"/>
      <c r="DGG141" s="91"/>
      <c r="DGJ141" s="89"/>
      <c r="DGL141" s="91"/>
      <c r="DGO141" s="89"/>
      <c r="DGQ141" s="91"/>
      <c r="DGT141" s="89"/>
      <c r="DGV141" s="91"/>
      <c r="DGY141" s="89"/>
      <c r="DHA141" s="91"/>
      <c r="DHD141" s="89"/>
      <c r="DHF141" s="91"/>
      <c r="DHI141" s="89"/>
      <c r="DHK141" s="91"/>
      <c r="DHN141" s="89"/>
      <c r="DHP141" s="91"/>
      <c r="DHS141" s="89"/>
      <c r="DHU141" s="91"/>
      <c r="DHX141" s="89"/>
      <c r="DHZ141" s="91"/>
      <c r="DIC141" s="89"/>
      <c r="DIE141" s="91"/>
      <c r="DIH141" s="89"/>
      <c r="DIJ141" s="91"/>
      <c r="DIM141" s="89"/>
      <c r="DIO141" s="91"/>
      <c r="DIR141" s="89"/>
      <c r="DIT141" s="91"/>
      <c r="DIW141" s="89"/>
      <c r="DIY141" s="91"/>
      <c r="DJB141" s="89"/>
      <c r="DJD141" s="91"/>
      <c r="DJG141" s="89"/>
      <c r="DJI141" s="91"/>
      <c r="DJL141" s="89"/>
      <c r="DJN141" s="91"/>
      <c r="DJQ141" s="89"/>
      <c r="DJS141" s="91"/>
      <c r="DJV141" s="89"/>
      <c r="DJX141" s="91"/>
      <c r="DKA141" s="89"/>
      <c r="DKC141" s="91"/>
      <c r="DKF141" s="89"/>
      <c r="DKH141" s="91"/>
      <c r="DKK141" s="89"/>
      <c r="DKM141" s="91"/>
      <c r="DKP141" s="89"/>
      <c r="DKR141" s="91"/>
      <c r="DKU141" s="89"/>
      <c r="DKW141" s="91"/>
      <c r="DKZ141" s="89"/>
      <c r="DLB141" s="91"/>
      <c r="DLE141" s="89"/>
      <c r="DLG141" s="91"/>
      <c r="DLJ141" s="89"/>
      <c r="DLL141" s="91"/>
      <c r="DLO141" s="89"/>
      <c r="DLQ141" s="91"/>
      <c r="DLT141" s="89"/>
      <c r="DLV141" s="91"/>
      <c r="DLY141" s="89"/>
      <c r="DMA141" s="91"/>
      <c r="DMD141" s="89"/>
      <c r="DMF141" s="91"/>
      <c r="DMI141" s="89"/>
      <c r="DMK141" s="91"/>
      <c r="DMN141" s="89"/>
      <c r="DMP141" s="91"/>
      <c r="DMS141" s="89"/>
      <c r="DMU141" s="91"/>
      <c r="DMX141" s="89"/>
      <c r="DMZ141" s="91"/>
      <c r="DNC141" s="89"/>
      <c r="DNE141" s="91"/>
      <c r="DNH141" s="89"/>
      <c r="DNJ141" s="91"/>
      <c r="DNM141" s="89"/>
      <c r="DNO141" s="91"/>
      <c r="DNR141" s="89"/>
      <c r="DNT141" s="91"/>
      <c r="DNW141" s="89"/>
      <c r="DNY141" s="91"/>
      <c r="DOB141" s="89"/>
      <c r="DOD141" s="91"/>
      <c r="DOG141" s="89"/>
      <c r="DOI141" s="91"/>
      <c r="DOL141" s="89"/>
      <c r="DON141" s="91"/>
      <c r="DOQ141" s="89"/>
      <c r="DOS141" s="91"/>
      <c r="DOV141" s="89"/>
      <c r="DOX141" s="91"/>
      <c r="DPA141" s="89"/>
      <c r="DPC141" s="91"/>
      <c r="DPF141" s="89"/>
      <c r="DPH141" s="91"/>
      <c r="DPK141" s="89"/>
      <c r="DPM141" s="91"/>
      <c r="DPP141" s="89"/>
      <c r="DPR141" s="91"/>
      <c r="DPU141" s="89"/>
      <c r="DPW141" s="91"/>
      <c r="DPZ141" s="89"/>
      <c r="DQB141" s="91"/>
      <c r="DQE141" s="89"/>
      <c r="DQG141" s="91"/>
      <c r="DQJ141" s="89"/>
      <c r="DQL141" s="91"/>
      <c r="DQO141" s="89"/>
      <c r="DQQ141" s="91"/>
      <c r="DQT141" s="89"/>
      <c r="DQV141" s="91"/>
      <c r="DQY141" s="89"/>
      <c r="DRA141" s="91"/>
      <c r="DRD141" s="89"/>
      <c r="DRF141" s="91"/>
      <c r="DRI141" s="89"/>
      <c r="DRK141" s="91"/>
      <c r="DRN141" s="89"/>
      <c r="DRP141" s="91"/>
      <c r="DRS141" s="89"/>
      <c r="DRU141" s="91"/>
      <c r="DRX141" s="89"/>
      <c r="DRZ141" s="91"/>
      <c r="DSC141" s="89"/>
      <c r="DSE141" s="91"/>
      <c r="DSH141" s="89"/>
      <c r="DSJ141" s="91"/>
      <c r="DSM141" s="89"/>
      <c r="DSO141" s="91"/>
      <c r="DSR141" s="89"/>
      <c r="DST141" s="91"/>
      <c r="DSW141" s="89"/>
      <c r="DSY141" s="91"/>
      <c r="DTB141" s="89"/>
      <c r="DTD141" s="91"/>
      <c r="DTG141" s="89"/>
      <c r="DTI141" s="91"/>
      <c r="DTL141" s="89"/>
      <c r="DTN141" s="91"/>
      <c r="DTQ141" s="89"/>
      <c r="DTS141" s="91"/>
      <c r="DTV141" s="89"/>
      <c r="DTX141" s="91"/>
      <c r="DUA141" s="89"/>
      <c r="DUC141" s="91"/>
      <c r="DUF141" s="89"/>
      <c r="DUH141" s="91"/>
      <c r="DUK141" s="89"/>
      <c r="DUM141" s="91"/>
      <c r="DUP141" s="89"/>
      <c r="DUR141" s="91"/>
      <c r="DUU141" s="89"/>
      <c r="DUW141" s="91"/>
      <c r="DUZ141" s="89"/>
      <c r="DVB141" s="91"/>
      <c r="DVE141" s="89"/>
      <c r="DVG141" s="91"/>
      <c r="DVJ141" s="89"/>
      <c r="DVL141" s="91"/>
      <c r="DVO141" s="89"/>
      <c r="DVQ141" s="91"/>
      <c r="DVT141" s="89"/>
      <c r="DVV141" s="91"/>
      <c r="DVY141" s="89"/>
      <c r="DWA141" s="91"/>
      <c r="DWD141" s="89"/>
      <c r="DWF141" s="91"/>
      <c r="DWI141" s="89"/>
      <c r="DWK141" s="91"/>
      <c r="DWN141" s="89"/>
      <c r="DWP141" s="91"/>
      <c r="DWS141" s="89"/>
      <c r="DWU141" s="91"/>
      <c r="DWX141" s="89"/>
      <c r="DWZ141" s="91"/>
      <c r="DXC141" s="89"/>
      <c r="DXE141" s="91"/>
      <c r="DXH141" s="89"/>
      <c r="DXJ141" s="91"/>
      <c r="DXM141" s="89"/>
      <c r="DXO141" s="91"/>
      <c r="DXR141" s="89"/>
      <c r="DXT141" s="91"/>
      <c r="DXW141" s="89"/>
      <c r="DXY141" s="91"/>
      <c r="DYB141" s="89"/>
      <c r="DYD141" s="91"/>
      <c r="DYG141" s="89"/>
      <c r="DYI141" s="91"/>
      <c r="DYL141" s="89"/>
      <c r="DYN141" s="91"/>
      <c r="DYQ141" s="89"/>
      <c r="DYS141" s="91"/>
      <c r="DYV141" s="89"/>
      <c r="DYX141" s="91"/>
      <c r="DZA141" s="89"/>
      <c r="DZC141" s="91"/>
      <c r="DZF141" s="89"/>
      <c r="DZH141" s="91"/>
      <c r="DZK141" s="89"/>
      <c r="DZM141" s="91"/>
      <c r="DZP141" s="89"/>
      <c r="DZR141" s="91"/>
      <c r="DZU141" s="89"/>
      <c r="DZW141" s="91"/>
      <c r="DZZ141" s="89"/>
      <c r="EAB141" s="91"/>
      <c r="EAE141" s="89"/>
      <c r="EAG141" s="91"/>
      <c r="EAJ141" s="89"/>
      <c r="EAL141" s="91"/>
      <c r="EAO141" s="89"/>
      <c r="EAQ141" s="91"/>
      <c r="EAT141" s="89"/>
      <c r="EAV141" s="91"/>
      <c r="EAY141" s="89"/>
      <c r="EBA141" s="91"/>
      <c r="EBD141" s="89"/>
      <c r="EBF141" s="91"/>
      <c r="EBI141" s="89"/>
      <c r="EBK141" s="91"/>
      <c r="EBN141" s="89"/>
      <c r="EBP141" s="91"/>
      <c r="EBS141" s="89"/>
      <c r="EBU141" s="91"/>
      <c r="EBX141" s="89"/>
      <c r="EBZ141" s="91"/>
      <c r="ECC141" s="89"/>
      <c r="ECE141" s="91"/>
      <c r="ECH141" s="89"/>
      <c r="ECJ141" s="91"/>
      <c r="ECM141" s="89"/>
      <c r="ECO141" s="91"/>
      <c r="ECR141" s="89"/>
      <c r="ECT141" s="91"/>
      <c r="ECW141" s="89"/>
      <c r="ECY141" s="91"/>
      <c r="EDB141" s="89"/>
      <c r="EDD141" s="91"/>
      <c r="EDG141" s="89"/>
      <c r="EDI141" s="91"/>
      <c r="EDL141" s="89"/>
      <c r="EDN141" s="91"/>
      <c r="EDQ141" s="89"/>
      <c r="EDS141" s="91"/>
      <c r="EDV141" s="89"/>
      <c r="EDX141" s="91"/>
      <c r="EEA141" s="89"/>
      <c r="EEC141" s="91"/>
      <c r="EEF141" s="89"/>
      <c r="EEH141" s="91"/>
      <c r="EEK141" s="89"/>
      <c r="EEM141" s="91"/>
      <c r="EEP141" s="89"/>
      <c r="EER141" s="91"/>
      <c r="EEU141" s="89"/>
      <c r="EEW141" s="91"/>
      <c r="EEZ141" s="89"/>
      <c r="EFB141" s="91"/>
      <c r="EFE141" s="89"/>
      <c r="EFG141" s="91"/>
      <c r="EFJ141" s="89"/>
      <c r="EFL141" s="91"/>
      <c r="EFO141" s="89"/>
      <c r="EFQ141" s="91"/>
      <c r="EFT141" s="89"/>
      <c r="EFV141" s="91"/>
      <c r="EFY141" s="89"/>
      <c r="EGA141" s="91"/>
      <c r="EGD141" s="89"/>
      <c r="EGF141" s="91"/>
      <c r="EGI141" s="89"/>
      <c r="EGK141" s="91"/>
      <c r="EGN141" s="89"/>
      <c r="EGP141" s="91"/>
      <c r="EGS141" s="89"/>
      <c r="EGU141" s="91"/>
      <c r="EGX141" s="89"/>
      <c r="EGZ141" s="91"/>
      <c r="EHC141" s="89"/>
      <c r="EHE141" s="91"/>
      <c r="EHH141" s="89"/>
      <c r="EHJ141" s="91"/>
      <c r="EHM141" s="89"/>
      <c r="EHO141" s="91"/>
      <c r="EHR141" s="89"/>
      <c r="EHT141" s="91"/>
      <c r="EHW141" s="89"/>
      <c r="EHY141" s="91"/>
      <c r="EIB141" s="89"/>
      <c r="EID141" s="91"/>
      <c r="EIG141" s="89"/>
      <c r="EII141" s="91"/>
      <c r="EIL141" s="89"/>
      <c r="EIN141" s="91"/>
      <c r="EIQ141" s="89"/>
      <c r="EIS141" s="91"/>
      <c r="EIV141" s="89"/>
      <c r="EIX141" s="91"/>
      <c r="EJA141" s="89"/>
      <c r="EJC141" s="91"/>
      <c r="EJF141" s="89"/>
      <c r="EJH141" s="91"/>
      <c r="EJK141" s="89"/>
      <c r="EJM141" s="91"/>
      <c r="EJP141" s="89"/>
      <c r="EJR141" s="91"/>
      <c r="EJU141" s="89"/>
      <c r="EJW141" s="91"/>
      <c r="EJZ141" s="89"/>
      <c r="EKB141" s="91"/>
      <c r="EKE141" s="89"/>
      <c r="EKG141" s="91"/>
      <c r="EKJ141" s="89"/>
      <c r="EKL141" s="91"/>
      <c r="EKO141" s="89"/>
      <c r="EKQ141" s="91"/>
      <c r="EKT141" s="89"/>
      <c r="EKV141" s="91"/>
      <c r="EKY141" s="89"/>
      <c r="ELA141" s="91"/>
      <c r="ELD141" s="89"/>
      <c r="ELF141" s="91"/>
      <c r="ELI141" s="89"/>
      <c r="ELK141" s="91"/>
      <c r="ELN141" s="89"/>
      <c r="ELP141" s="91"/>
      <c r="ELS141" s="89"/>
      <c r="ELU141" s="91"/>
      <c r="ELX141" s="89"/>
      <c r="ELZ141" s="91"/>
      <c r="EMC141" s="89"/>
      <c r="EME141" s="91"/>
      <c r="EMH141" s="89"/>
      <c r="EMJ141" s="91"/>
      <c r="EMM141" s="89"/>
      <c r="EMO141" s="91"/>
      <c r="EMR141" s="89"/>
      <c r="EMT141" s="91"/>
      <c r="EMW141" s="89"/>
      <c r="EMY141" s="91"/>
      <c r="ENB141" s="89"/>
      <c r="END141" s="91"/>
      <c r="ENG141" s="89"/>
      <c r="ENI141" s="91"/>
      <c r="ENL141" s="89"/>
      <c r="ENN141" s="91"/>
      <c r="ENQ141" s="89"/>
      <c r="ENS141" s="91"/>
      <c r="ENV141" s="89"/>
      <c r="ENX141" s="91"/>
      <c r="EOA141" s="89"/>
      <c r="EOC141" s="91"/>
      <c r="EOF141" s="89"/>
      <c r="EOH141" s="91"/>
      <c r="EOK141" s="89"/>
      <c r="EOM141" s="91"/>
      <c r="EOP141" s="89"/>
      <c r="EOR141" s="91"/>
      <c r="EOU141" s="89"/>
      <c r="EOW141" s="91"/>
      <c r="EOZ141" s="89"/>
      <c r="EPB141" s="91"/>
      <c r="EPE141" s="89"/>
      <c r="EPG141" s="91"/>
      <c r="EPJ141" s="89"/>
      <c r="EPL141" s="91"/>
      <c r="EPO141" s="89"/>
      <c r="EPQ141" s="91"/>
      <c r="EPT141" s="89"/>
      <c r="EPV141" s="91"/>
      <c r="EPY141" s="89"/>
      <c r="EQA141" s="91"/>
      <c r="EQD141" s="89"/>
      <c r="EQF141" s="91"/>
      <c r="EQI141" s="89"/>
      <c r="EQK141" s="91"/>
      <c r="EQN141" s="89"/>
      <c r="EQP141" s="91"/>
      <c r="EQS141" s="89"/>
      <c r="EQU141" s="91"/>
      <c r="EQX141" s="89"/>
      <c r="EQZ141" s="91"/>
      <c r="ERC141" s="89"/>
      <c r="ERE141" s="91"/>
      <c r="ERH141" s="89"/>
      <c r="ERJ141" s="91"/>
      <c r="ERM141" s="89"/>
      <c r="ERO141" s="91"/>
      <c r="ERR141" s="89"/>
      <c r="ERT141" s="91"/>
      <c r="ERW141" s="89"/>
      <c r="ERY141" s="91"/>
      <c r="ESB141" s="89"/>
      <c r="ESD141" s="91"/>
      <c r="ESG141" s="89"/>
      <c r="ESI141" s="91"/>
      <c r="ESL141" s="89"/>
      <c r="ESN141" s="91"/>
      <c r="ESQ141" s="89"/>
      <c r="ESS141" s="91"/>
      <c r="ESV141" s="89"/>
      <c r="ESX141" s="91"/>
      <c r="ETA141" s="89"/>
      <c r="ETC141" s="91"/>
      <c r="ETF141" s="89"/>
      <c r="ETH141" s="91"/>
      <c r="ETK141" s="89"/>
      <c r="ETM141" s="91"/>
      <c r="ETP141" s="89"/>
      <c r="ETR141" s="91"/>
      <c r="ETU141" s="89"/>
      <c r="ETW141" s="91"/>
      <c r="ETZ141" s="89"/>
      <c r="EUB141" s="91"/>
      <c r="EUE141" s="89"/>
      <c r="EUG141" s="91"/>
      <c r="EUJ141" s="89"/>
      <c r="EUL141" s="91"/>
      <c r="EUO141" s="89"/>
      <c r="EUQ141" s="91"/>
      <c r="EUT141" s="89"/>
      <c r="EUV141" s="91"/>
      <c r="EUY141" s="89"/>
      <c r="EVA141" s="91"/>
      <c r="EVD141" s="89"/>
      <c r="EVF141" s="91"/>
      <c r="EVI141" s="89"/>
      <c r="EVK141" s="91"/>
      <c r="EVN141" s="89"/>
      <c r="EVP141" s="91"/>
      <c r="EVS141" s="89"/>
      <c r="EVU141" s="91"/>
      <c r="EVX141" s="89"/>
      <c r="EVZ141" s="91"/>
      <c r="EWC141" s="89"/>
      <c r="EWE141" s="91"/>
      <c r="EWH141" s="89"/>
      <c r="EWJ141" s="91"/>
      <c r="EWM141" s="89"/>
      <c r="EWO141" s="91"/>
      <c r="EWR141" s="89"/>
      <c r="EWT141" s="91"/>
      <c r="EWW141" s="89"/>
      <c r="EWY141" s="91"/>
      <c r="EXB141" s="89"/>
      <c r="EXD141" s="91"/>
      <c r="EXG141" s="89"/>
      <c r="EXI141" s="91"/>
      <c r="EXL141" s="89"/>
      <c r="EXN141" s="91"/>
      <c r="EXQ141" s="89"/>
      <c r="EXS141" s="91"/>
      <c r="EXV141" s="89"/>
      <c r="EXX141" s="91"/>
      <c r="EYA141" s="89"/>
      <c r="EYC141" s="91"/>
      <c r="EYF141" s="89"/>
      <c r="EYH141" s="91"/>
      <c r="EYK141" s="89"/>
      <c r="EYM141" s="91"/>
      <c r="EYP141" s="89"/>
      <c r="EYR141" s="91"/>
      <c r="EYU141" s="89"/>
      <c r="EYW141" s="91"/>
      <c r="EYZ141" s="89"/>
      <c r="EZB141" s="91"/>
      <c r="EZE141" s="89"/>
      <c r="EZG141" s="91"/>
      <c r="EZJ141" s="89"/>
      <c r="EZL141" s="91"/>
      <c r="EZO141" s="89"/>
      <c r="EZQ141" s="91"/>
      <c r="EZT141" s="89"/>
      <c r="EZV141" s="91"/>
      <c r="EZY141" s="89"/>
      <c r="FAA141" s="91"/>
      <c r="FAD141" s="89"/>
      <c r="FAF141" s="91"/>
      <c r="FAI141" s="89"/>
      <c r="FAK141" s="91"/>
      <c r="FAN141" s="89"/>
      <c r="FAP141" s="91"/>
      <c r="FAS141" s="89"/>
      <c r="FAU141" s="91"/>
      <c r="FAX141" s="89"/>
      <c r="FAZ141" s="91"/>
      <c r="FBC141" s="89"/>
      <c r="FBE141" s="91"/>
      <c r="FBH141" s="89"/>
      <c r="FBJ141" s="91"/>
      <c r="FBM141" s="89"/>
      <c r="FBO141" s="91"/>
      <c r="FBR141" s="89"/>
      <c r="FBT141" s="91"/>
      <c r="FBW141" s="89"/>
      <c r="FBY141" s="91"/>
      <c r="FCB141" s="89"/>
      <c r="FCD141" s="91"/>
      <c r="FCG141" s="89"/>
      <c r="FCI141" s="91"/>
      <c r="FCL141" s="89"/>
      <c r="FCN141" s="91"/>
      <c r="FCQ141" s="89"/>
      <c r="FCS141" s="91"/>
      <c r="FCV141" s="89"/>
      <c r="FCX141" s="91"/>
      <c r="FDA141" s="89"/>
      <c r="FDC141" s="91"/>
      <c r="FDF141" s="89"/>
      <c r="FDH141" s="91"/>
      <c r="FDK141" s="89"/>
      <c r="FDM141" s="91"/>
      <c r="FDP141" s="89"/>
      <c r="FDR141" s="91"/>
      <c r="FDU141" s="89"/>
      <c r="FDW141" s="91"/>
      <c r="FDZ141" s="89"/>
      <c r="FEB141" s="91"/>
      <c r="FEE141" s="89"/>
      <c r="FEG141" s="91"/>
      <c r="FEJ141" s="89"/>
      <c r="FEL141" s="91"/>
      <c r="FEO141" s="89"/>
      <c r="FEQ141" s="91"/>
      <c r="FET141" s="89"/>
      <c r="FEV141" s="91"/>
      <c r="FEY141" s="89"/>
      <c r="FFA141" s="91"/>
      <c r="FFD141" s="89"/>
      <c r="FFF141" s="91"/>
      <c r="FFI141" s="89"/>
      <c r="FFK141" s="91"/>
      <c r="FFN141" s="89"/>
      <c r="FFP141" s="91"/>
      <c r="FFS141" s="89"/>
      <c r="FFU141" s="91"/>
      <c r="FFX141" s="89"/>
      <c r="FFZ141" s="91"/>
      <c r="FGC141" s="89"/>
      <c r="FGE141" s="91"/>
      <c r="FGH141" s="89"/>
      <c r="FGJ141" s="91"/>
      <c r="FGM141" s="89"/>
      <c r="FGO141" s="91"/>
      <c r="FGR141" s="89"/>
      <c r="FGT141" s="91"/>
      <c r="FGW141" s="89"/>
      <c r="FGY141" s="91"/>
      <c r="FHB141" s="89"/>
      <c r="FHD141" s="91"/>
      <c r="FHG141" s="89"/>
      <c r="FHI141" s="91"/>
      <c r="FHL141" s="89"/>
      <c r="FHN141" s="91"/>
      <c r="FHQ141" s="89"/>
      <c r="FHS141" s="91"/>
      <c r="FHV141" s="89"/>
      <c r="FHX141" s="91"/>
      <c r="FIA141" s="89"/>
      <c r="FIC141" s="91"/>
      <c r="FIF141" s="89"/>
      <c r="FIH141" s="91"/>
      <c r="FIK141" s="89"/>
      <c r="FIM141" s="91"/>
      <c r="FIP141" s="89"/>
      <c r="FIR141" s="91"/>
      <c r="FIU141" s="89"/>
      <c r="FIW141" s="91"/>
      <c r="FIZ141" s="89"/>
      <c r="FJB141" s="91"/>
      <c r="FJE141" s="89"/>
      <c r="FJG141" s="91"/>
      <c r="FJJ141" s="89"/>
      <c r="FJL141" s="91"/>
      <c r="FJO141" s="89"/>
      <c r="FJQ141" s="91"/>
      <c r="FJT141" s="89"/>
      <c r="FJV141" s="91"/>
      <c r="FJY141" s="89"/>
      <c r="FKA141" s="91"/>
      <c r="FKD141" s="89"/>
      <c r="FKF141" s="91"/>
      <c r="FKI141" s="89"/>
      <c r="FKK141" s="91"/>
      <c r="FKN141" s="89"/>
      <c r="FKP141" s="91"/>
      <c r="FKS141" s="89"/>
      <c r="FKU141" s="91"/>
      <c r="FKX141" s="89"/>
      <c r="FKZ141" s="91"/>
      <c r="FLC141" s="89"/>
      <c r="FLE141" s="91"/>
      <c r="FLH141" s="89"/>
      <c r="FLJ141" s="91"/>
      <c r="FLM141" s="89"/>
      <c r="FLO141" s="91"/>
      <c r="FLR141" s="89"/>
      <c r="FLT141" s="91"/>
      <c r="FLW141" s="89"/>
      <c r="FLY141" s="91"/>
      <c r="FMB141" s="89"/>
      <c r="FMD141" s="91"/>
      <c r="FMG141" s="89"/>
      <c r="FMI141" s="91"/>
      <c r="FML141" s="89"/>
      <c r="FMN141" s="91"/>
      <c r="FMQ141" s="89"/>
      <c r="FMS141" s="91"/>
      <c r="FMV141" s="89"/>
      <c r="FMX141" s="91"/>
      <c r="FNA141" s="89"/>
      <c r="FNC141" s="91"/>
      <c r="FNF141" s="89"/>
      <c r="FNH141" s="91"/>
      <c r="FNK141" s="89"/>
      <c r="FNM141" s="91"/>
      <c r="FNP141" s="89"/>
      <c r="FNR141" s="91"/>
      <c r="FNU141" s="89"/>
      <c r="FNW141" s="91"/>
      <c r="FNZ141" s="89"/>
      <c r="FOB141" s="91"/>
      <c r="FOE141" s="89"/>
      <c r="FOG141" s="91"/>
      <c r="FOJ141" s="89"/>
      <c r="FOL141" s="91"/>
      <c r="FOO141" s="89"/>
      <c r="FOQ141" s="91"/>
      <c r="FOT141" s="89"/>
      <c r="FOV141" s="91"/>
      <c r="FOY141" s="89"/>
      <c r="FPA141" s="91"/>
      <c r="FPD141" s="89"/>
      <c r="FPF141" s="91"/>
      <c r="FPI141" s="89"/>
      <c r="FPK141" s="91"/>
      <c r="FPN141" s="89"/>
      <c r="FPP141" s="91"/>
      <c r="FPS141" s="89"/>
      <c r="FPU141" s="91"/>
      <c r="FPX141" s="89"/>
      <c r="FPZ141" s="91"/>
      <c r="FQC141" s="89"/>
      <c r="FQE141" s="91"/>
      <c r="FQH141" s="89"/>
      <c r="FQJ141" s="91"/>
      <c r="FQM141" s="89"/>
      <c r="FQO141" s="91"/>
      <c r="FQR141" s="89"/>
      <c r="FQT141" s="91"/>
      <c r="FQW141" s="89"/>
      <c r="FQY141" s="91"/>
      <c r="FRB141" s="89"/>
      <c r="FRD141" s="91"/>
      <c r="FRG141" s="89"/>
      <c r="FRI141" s="91"/>
      <c r="FRL141" s="89"/>
      <c r="FRN141" s="91"/>
      <c r="FRQ141" s="89"/>
      <c r="FRS141" s="91"/>
      <c r="FRV141" s="89"/>
      <c r="FRX141" s="91"/>
      <c r="FSA141" s="89"/>
      <c r="FSC141" s="91"/>
      <c r="FSF141" s="89"/>
      <c r="FSH141" s="91"/>
      <c r="FSK141" s="89"/>
      <c r="FSM141" s="91"/>
      <c r="FSP141" s="89"/>
      <c r="FSR141" s="91"/>
      <c r="FSU141" s="89"/>
      <c r="FSW141" s="91"/>
      <c r="FSZ141" s="89"/>
      <c r="FTB141" s="91"/>
      <c r="FTE141" s="89"/>
      <c r="FTG141" s="91"/>
      <c r="FTJ141" s="89"/>
      <c r="FTL141" s="91"/>
      <c r="FTO141" s="89"/>
      <c r="FTQ141" s="91"/>
      <c r="FTT141" s="89"/>
      <c r="FTV141" s="91"/>
      <c r="FTY141" s="89"/>
      <c r="FUA141" s="91"/>
      <c r="FUD141" s="89"/>
      <c r="FUF141" s="91"/>
      <c r="FUI141" s="89"/>
      <c r="FUK141" s="91"/>
      <c r="FUN141" s="89"/>
      <c r="FUP141" s="91"/>
      <c r="FUS141" s="89"/>
      <c r="FUU141" s="91"/>
      <c r="FUX141" s="89"/>
      <c r="FUZ141" s="91"/>
      <c r="FVC141" s="89"/>
      <c r="FVE141" s="91"/>
      <c r="FVH141" s="89"/>
      <c r="FVJ141" s="91"/>
      <c r="FVM141" s="89"/>
      <c r="FVO141" s="91"/>
      <c r="FVR141" s="89"/>
      <c r="FVT141" s="91"/>
      <c r="FVW141" s="89"/>
      <c r="FVY141" s="91"/>
      <c r="FWB141" s="89"/>
      <c r="FWD141" s="91"/>
      <c r="FWG141" s="89"/>
      <c r="FWI141" s="91"/>
      <c r="FWL141" s="89"/>
      <c r="FWN141" s="91"/>
      <c r="FWQ141" s="89"/>
      <c r="FWS141" s="91"/>
      <c r="FWV141" s="89"/>
      <c r="FWX141" s="91"/>
      <c r="FXA141" s="89"/>
      <c r="FXC141" s="91"/>
      <c r="FXF141" s="89"/>
      <c r="FXH141" s="91"/>
      <c r="FXK141" s="89"/>
      <c r="FXM141" s="91"/>
      <c r="FXP141" s="89"/>
      <c r="FXR141" s="91"/>
      <c r="FXU141" s="89"/>
      <c r="FXW141" s="91"/>
      <c r="FXZ141" s="89"/>
      <c r="FYB141" s="91"/>
      <c r="FYE141" s="89"/>
      <c r="FYG141" s="91"/>
      <c r="FYJ141" s="89"/>
      <c r="FYL141" s="91"/>
      <c r="FYO141" s="89"/>
      <c r="FYQ141" s="91"/>
      <c r="FYT141" s="89"/>
      <c r="FYV141" s="91"/>
      <c r="FYY141" s="89"/>
      <c r="FZA141" s="91"/>
      <c r="FZD141" s="89"/>
      <c r="FZF141" s="91"/>
      <c r="FZI141" s="89"/>
      <c r="FZK141" s="91"/>
      <c r="FZN141" s="89"/>
      <c r="FZP141" s="91"/>
      <c r="FZS141" s="89"/>
      <c r="FZU141" s="91"/>
      <c r="FZX141" s="89"/>
      <c r="FZZ141" s="91"/>
      <c r="GAC141" s="89"/>
      <c r="GAE141" s="91"/>
      <c r="GAH141" s="89"/>
      <c r="GAJ141" s="91"/>
      <c r="GAM141" s="89"/>
      <c r="GAO141" s="91"/>
      <c r="GAR141" s="89"/>
      <c r="GAT141" s="91"/>
      <c r="GAW141" s="89"/>
      <c r="GAY141" s="91"/>
      <c r="GBB141" s="89"/>
      <c r="GBD141" s="91"/>
      <c r="GBG141" s="89"/>
      <c r="GBI141" s="91"/>
      <c r="GBL141" s="89"/>
      <c r="GBN141" s="91"/>
      <c r="GBQ141" s="89"/>
      <c r="GBS141" s="91"/>
      <c r="GBV141" s="89"/>
      <c r="GBX141" s="91"/>
      <c r="GCA141" s="89"/>
      <c r="GCC141" s="91"/>
      <c r="GCF141" s="89"/>
      <c r="GCH141" s="91"/>
      <c r="GCK141" s="89"/>
      <c r="GCM141" s="91"/>
      <c r="GCP141" s="89"/>
      <c r="GCR141" s="91"/>
      <c r="GCU141" s="89"/>
      <c r="GCW141" s="91"/>
      <c r="GCZ141" s="89"/>
      <c r="GDB141" s="91"/>
      <c r="GDE141" s="89"/>
      <c r="GDG141" s="91"/>
      <c r="GDJ141" s="89"/>
      <c r="GDL141" s="91"/>
      <c r="GDO141" s="89"/>
      <c r="GDQ141" s="91"/>
      <c r="GDT141" s="89"/>
      <c r="GDV141" s="91"/>
      <c r="GDY141" s="89"/>
      <c r="GEA141" s="91"/>
      <c r="GED141" s="89"/>
      <c r="GEF141" s="91"/>
      <c r="GEI141" s="89"/>
      <c r="GEK141" s="91"/>
      <c r="GEN141" s="89"/>
      <c r="GEP141" s="91"/>
      <c r="GES141" s="89"/>
      <c r="GEU141" s="91"/>
      <c r="GEX141" s="89"/>
      <c r="GEZ141" s="91"/>
      <c r="GFC141" s="89"/>
      <c r="GFE141" s="91"/>
      <c r="GFH141" s="89"/>
      <c r="GFJ141" s="91"/>
      <c r="GFM141" s="89"/>
      <c r="GFO141" s="91"/>
      <c r="GFR141" s="89"/>
      <c r="GFT141" s="91"/>
      <c r="GFW141" s="89"/>
      <c r="GFY141" s="91"/>
      <c r="GGB141" s="89"/>
      <c r="GGD141" s="91"/>
      <c r="GGG141" s="89"/>
      <c r="GGI141" s="91"/>
      <c r="GGL141" s="89"/>
      <c r="GGN141" s="91"/>
      <c r="GGQ141" s="89"/>
      <c r="GGS141" s="91"/>
      <c r="GGV141" s="89"/>
      <c r="GGX141" s="91"/>
      <c r="GHA141" s="89"/>
      <c r="GHC141" s="91"/>
      <c r="GHF141" s="89"/>
      <c r="GHH141" s="91"/>
      <c r="GHK141" s="89"/>
      <c r="GHM141" s="91"/>
      <c r="GHP141" s="89"/>
      <c r="GHR141" s="91"/>
      <c r="GHU141" s="89"/>
      <c r="GHW141" s="91"/>
      <c r="GHZ141" s="89"/>
      <c r="GIB141" s="91"/>
      <c r="GIE141" s="89"/>
      <c r="GIG141" s="91"/>
      <c r="GIJ141" s="89"/>
      <c r="GIL141" s="91"/>
      <c r="GIO141" s="89"/>
      <c r="GIQ141" s="91"/>
      <c r="GIT141" s="89"/>
      <c r="GIV141" s="91"/>
      <c r="GIY141" s="89"/>
      <c r="GJA141" s="91"/>
      <c r="GJD141" s="89"/>
      <c r="GJF141" s="91"/>
      <c r="GJI141" s="89"/>
      <c r="GJK141" s="91"/>
      <c r="GJN141" s="89"/>
      <c r="GJP141" s="91"/>
      <c r="GJS141" s="89"/>
      <c r="GJU141" s="91"/>
      <c r="GJX141" s="89"/>
      <c r="GJZ141" s="91"/>
      <c r="GKC141" s="89"/>
      <c r="GKE141" s="91"/>
      <c r="GKH141" s="89"/>
      <c r="GKJ141" s="91"/>
      <c r="GKM141" s="89"/>
      <c r="GKO141" s="91"/>
      <c r="GKR141" s="89"/>
      <c r="GKT141" s="91"/>
      <c r="GKW141" s="89"/>
      <c r="GKY141" s="91"/>
      <c r="GLB141" s="89"/>
      <c r="GLD141" s="91"/>
      <c r="GLG141" s="89"/>
      <c r="GLI141" s="91"/>
      <c r="GLL141" s="89"/>
      <c r="GLN141" s="91"/>
      <c r="GLQ141" s="89"/>
      <c r="GLS141" s="91"/>
      <c r="GLV141" s="89"/>
      <c r="GLX141" s="91"/>
      <c r="GMA141" s="89"/>
      <c r="GMC141" s="91"/>
      <c r="GMF141" s="89"/>
      <c r="GMH141" s="91"/>
      <c r="GMK141" s="89"/>
      <c r="GMM141" s="91"/>
      <c r="GMP141" s="89"/>
      <c r="GMR141" s="91"/>
      <c r="GMU141" s="89"/>
      <c r="GMW141" s="91"/>
      <c r="GMZ141" s="89"/>
      <c r="GNB141" s="91"/>
      <c r="GNE141" s="89"/>
      <c r="GNG141" s="91"/>
      <c r="GNJ141" s="89"/>
      <c r="GNL141" s="91"/>
      <c r="GNO141" s="89"/>
      <c r="GNQ141" s="91"/>
      <c r="GNT141" s="89"/>
      <c r="GNV141" s="91"/>
      <c r="GNY141" s="89"/>
      <c r="GOA141" s="91"/>
      <c r="GOD141" s="89"/>
      <c r="GOF141" s="91"/>
      <c r="GOI141" s="89"/>
      <c r="GOK141" s="91"/>
      <c r="GON141" s="89"/>
      <c r="GOP141" s="91"/>
      <c r="GOS141" s="89"/>
      <c r="GOU141" s="91"/>
      <c r="GOX141" s="89"/>
      <c r="GOZ141" s="91"/>
      <c r="GPC141" s="89"/>
      <c r="GPE141" s="91"/>
      <c r="GPH141" s="89"/>
      <c r="GPJ141" s="91"/>
      <c r="GPM141" s="89"/>
      <c r="GPO141" s="91"/>
      <c r="GPR141" s="89"/>
      <c r="GPT141" s="91"/>
      <c r="GPW141" s="89"/>
      <c r="GPY141" s="91"/>
      <c r="GQB141" s="89"/>
      <c r="GQD141" s="91"/>
      <c r="GQG141" s="89"/>
      <c r="GQI141" s="91"/>
      <c r="GQL141" s="89"/>
      <c r="GQN141" s="91"/>
      <c r="GQQ141" s="89"/>
      <c r="GQS141" s="91"/>
      <c r="GQV141" s="89"/>
      <c r="GQX141" s="91"/>
      <c r="GRA141" s="89"/>
      <c r="GRC141" s="91"/>
      <c r="GRF141" s="89"/>
      <c r="GRH141" s="91"/>
      <c r="GRK141" s="89"/>
      <c r="GRM141" s="91"/>
      <c r="GRP141" s="89"/>
      <c r="GRR141" s="91"/>
      <c r="GRU141" s="89"/>
      <c r="GRW141" s="91"/>
      <c r="GRZ141" s="89"/>
      <c r="GSB141" s="91"/>
      <c r="GSE141" s="89"/>
      <c r="GSG141" s="91"/>
      <c r="GSJ141" s="89"/>
      <c r="GSL141" s="91"/>
      <c r="GSO141" s="89"/>
      <c r="GSQ141" s="91"/>
      <c r="GST141" s="89"/>
      <c r="GSV141" s="91"/>
      <c r="GSY141" s="89"/>
      <c r="GTA141" s="91"/>
      <c r="GTD141" s="89"/>
      <c r="GTF141" s="91"/>
      <c r="GTI141" s="89"/>
      <c r="GTK141" s="91"/>
      <c r="GTN141" s="89"/>
      <c r="GTP141" s="91"/>
      <c r="GTS141" s="89"/>
      <c r="GTU141" s="91"/>
      <c r="GTX141" s="89"/>
      <c r="GTZ141" s="91"/>
      <c r="GUC141" s="89"/>
      <c r="GUE141" s="91"/>
      <c r="GUH141" s="89"/>
      <c r="GUJ141" s="91"/>
      <c r="GUM141" s="89"/>
      <c r="GUO141" s="91"/>
      <c r="GUR141" s="89"/>
      <c r="GUT141" s="91"/>
      <c r="GUW141" s="89"/>
      <c r="GUY141" s="91"/>
      <c r="GVB141" s="89"/>
      <c r="GVD141" s="91"/>
      <c r="GVG141" s="89"/>
      <c r="GVI141" s="91"/>
      <c r="GVL141" s="89"/>
      <c r="GVN141" s="91"/>
      <c r="GVQ141" s="89"/>
      <c r="GVS141" s="91"/>
      <c r="GVV141" s="89"/>
      <c r="GVX141" s="91"/>
      <c r="GWA141" s="89"/>
      <c r="GWC141" s="91"/>
      <c r="GWF141" s="89"/>
      <c r="GWH141" s="91"/>
      <c r="GWK141" s="89"/>
      <c r="GWM141" s="91"/>
      <c r="GWP141" s="89"/>
      <c r="GWR141" s="91"/>
      <c r="GWU141" s="89"/>
      <c r="GWW141" s="91"/>
      <c r="GWZ141" s="89"/>
      <c r="GXB141" s="91"/>
      <c r="GXE141" s="89"/>
      <c r="GXG141" s="91"/>
      <c r="GXJ141" s="89"/>
      <c r="GXL141" s="91"/>
      <c r="GXO141" s="89"/>
      <c r="GXQ141" s="91"/>
      <c r="GXT141" s="89"/>
      <c r="GXV141" s="91"/>
      <c r="GXY141" s="89"/>
      <c r="GYA141" s="91"/>
      <c r="GYD141" s="89"/>
      <c r="GYF141" s="91"/>
      <c r="GYI141" s="89"/>
      <c r="GYK141" s="91"/>
      <c r="GYN141" s="89"/>
      <c r="GYP141" s="91"/>
      <c r="GYS141" s="89"/>
      <c r="GYU141" s="91"/>
      <c r="GYX141" s="89"/>
      <c r="GYZ141" s="91"/>
      <c r="GZC141" s="89"/>
      <c r="GZE141" s="91"/>
      <c r="GZH141" s="89"/>
      <c r="GZJ141" s="91"/>
      <c r="GZM141" s="89"/>
      <c r="GZO141" s="91"/>
      <c r="GZR141" s="89"/>
      <c r="GZT141" s="91"/>
      <c r="GZW141" s="89"/>
      <c r="GZY141" s="91"/>
      <c r="HAB141" s="89"/>
      <c r="HAD141" s="91"/>
      <c r="HAG141" s="89"/>
      <c r="HAI141" s="91"/>
      <c r="HAL141" s="89"/>
      <c r="HAN141" s="91"/>
      <c r="HAQ141" s="89"/>
      <c r="HAS141" s="91"/>
      <c r="HAV141" s="89"/>
      <c r="HAX141" s="91"/>
      <c r="HBA141" s="89"/>
      <c r="HBC141" s="91"/>
      <c r="HBF141" s="89"/>
      <c r="HBH141" s="91"/>
      <c r="HBK141" s="89"/>
      <c r="HBM141" s="91"/>
      <c r="HBP141" s="89"/>
      <c r="HBR141" s="91"/>
      <c r="HBU141" s="89"/>
      <c r="HBW141" s="91"/>
      <c r="HBZ141" s="89"/>
      <c r="HCB141" s="91"/>
      <c r="HCE141" s="89"/>
      <c r="HCG141" s="91"/>
      <c r="HCJ141" s="89"/>
      <c r="HCL141" s="91"/>
      <c r="HCO141" s="89"/>
      <c r="HCQ141" s="91"/>
      <c r="HCT141" s="89"/>
      <c r="HCV141" s="91"/>
      <c r="HCY141" s="89"/>
      <c r="HDA141" s="91"/>
      <c r="HDD141" s="89"/>
      <c r="HDF141" s="91"/>
      <c r="HDI141" s="89"/>
      <c r="HDK141" s="91"/>
      <c r="HDN141" s="89"/>
      <c r="HDP141" s="91"/>
      <c r="HDS141" s="89"/>
      <c r="HDU141" s="91"/>
      <c r="HDX141" s="89"/>
      <c r="HDZ141" s="91"/>
      <c r="HEC141" s="89"/>
      <c r="HEE141" s="91"/>
      <c r="HEH141" s="89"/>
      <c r="HEJ141" s="91"/>
      <c r="HEM141" s="89"/>
      <c r="HEO141" s="91"/>
      <c r="HER141" s="89"/>
      <c r="HET141" s="91"/>
      <c r="HEW141" s="89"/>
      <c r="HEY141" s="91"/>
      <c r="HFB141" s="89"/>
      <c r="HFD141" s="91"/>
      <c r="HFG141" s="89"/>
      <c r="HFI141" s="91"/>
      <c r="HFL141" s="89"/>
      <c r="HFN141" s="91"/>
      <c r="HFQ141" s="89"/>
      <c r="HFS141" s="91"/>
      <c r="HFV141" s="89"/>
      <c r="HFX141" s="91"/>
      <c r="HGA141" s="89"/>
      <c r="HGC141" s="91"/>
      <c r="HGF141" s="89"/>
      <c r="HGH141" s="91"/>
      <c r="HGK141" s="89"/>
      <c r="HGM141" s="91"/>
      <c r="HGP141" s="89"/>
      <c r="HGR141" s="91"/>
      <c r="HGU141" s="89"/>
      <c r="HGW141" s="91"/>
      <c r="HGZ141" s="89"/>
      <c r="HHB141" s="91"/>
      <c r="HHE141" s="89"/>
      <c r="HHG141" s="91"/>
      <c r="HHJ141" s="89"/>
      <c r="HHL141" s="91"/>
      <c r="HHO141" s="89"/>
      <c r="HHQ141" s="91"/>
      <c r="HHT141" s="89"/>
      <c r="HHV141" s="91"/>
      <c r="HHY141" s="89"/>
      <c r="HIA141" s="91"/>
      <c r="HID141" s="89"/>
      <c r="HIF141" s="91"/>
      <c r="HII141" s="89"/>
      <c r="HIK141" s="91"/>
      <c r="HIN141" s="89"/>
      <c r="HIP141" s="91"/>
      <c r="HIS141" s="89"/>
      <c r="HIU141" s="91"/>
      <c r="HIX141" s="89"/>
      <c r="HIZ141" s="91"/>
      <c r="HJC141" s="89"/>
      <c r="HJE141" s="91"/>
      <c r="HJH141" s="89"/>
      <c r="HJJ141" s="91"/>
      <c r="HJM141" s="89"/>
      <c r="HJO141" s="91"/>
      <c r="HJR141" s="89"/>
      <c r="HJT141" s="91"/>
      <c r="HJW141" s="89"/>
      <c r="HJY141" s="91"/>
      <c r="HKB141" s="89"/>
      <c r="HKD141" s="91"/>
      <c r="HKG141" s="89"/>
      <c r="HKI141" s="91"/>
      <c r="HKL141" s="89"/>
      <c r="HKN141" s="91"/>
      <c r="HKQ141" s="89"/>
      <c r="HKS141" s="91"/>
      <c r="HKV141" s="89"/>
      <c r="HKX141" s="91"/>
      <c r="HLA141" s="89"/>
      <c r="HLC141" s="91"/>
      <c r="HLF141" s="89"/>
      <c r="HLH141" s="91"/>
      <c r="HLK141" s="89"/>
      <c r="HLM141" s="91"/>
      <c r="HLP141" s="89"/>
      <c r="HLR141" s="91"/>
      <c r="HLU141" s="89"/>
      <c r="HLW141" s="91"/>
      <c r="HLZ141" s="89"/>
      <c r="HMB141" s="91"/>
      <c r="HME141" s="89"/>
      <c r="HMG141" s="91"/>
      <c r="HMJ141" s="89"/>
      <c r="HML141" s="91"/>
      <c r="HMO141" s="89"/>
      <c r="HMQ141" s="91"/>
      <c r="HMT141" s="89"/>
      <c r="HMV141" s="91"/>
      <c r="HMY141" s="89"/>
      <c r="HNA141" s="91"/>
      <c r="HND141" s="89"/>
      <c r="HNF141" s="91"/>
      <c r="HNI141" s="89"/>
      <c r="HNK141" s="91"/>
      <c r="HNN141" s="89"/>
      <c r="HNP141" s="91"/>
      <c r="HNS141" s="89"/>
      <c r="HNU141" s="91"/>
      <c r="HNX141" s="89"/>
      <c r="HNZ141" s="91"/>
      <c r="HOC141" s="89"/>
      <c r="HOE141" s="91"/>
      <c r="HOH141" s="89"/>
      <c r="HOJ141" s="91"/>
      <c r="HOM141" s="89"/>
      <c r="HOO141" s="91"/>
      <c r="HOR141" s="89"/>
      <c r="HOT141" s="91"/>
      <c r="HOW141" s="89"/>
      <c r="HOY141" s="91"/>
      <c r="HPB141" s="89"/>
      <c r="HPD141" s="91"/>
      <c r="HPG141" s="89"/>
      <c r="HPI141" s="91"/>
      <c r="HPL141" s="89"/>
      <c r="HPN141" s="91"/>
      <c r="HPQ141" s="89"/>
      <c r="HPS141" s="91"/>
      <c r="HPV141" s="89"/>
      <c r="HPX141" s="91"/>
      <c r="HQA141" s="89"/>
      <c r="HQC141" s="91"/>
      <c r="HQF141" s="89"/>
      <c r="HQH141" s="91"/>
      <c r="HQK141" s="89"/>
      <c r="HQM141" s="91"/>
      <c r="HQP141" s="89"/>
      <c r="HQR141" s="91"/>
      <c r="HQU141" s="89"/>
      <c r="HQW141" s="91"/>
      <c r="HQZ141" s="89"/>
      <c r="HRB141" s="91"/>
      <c r="HRE141" s="89"/>
      <c r="HRG141" s="91"/>
      <c r="HRJ141" s="89"/>
      <c r="HRL141" s="91"/>
      <c r="HRO141" s="89"/>
      <c r="HRQ141" s="91"/>
      <c r="HRT141" s="89"/>
      <c r="HRV141" s="91"/>
      <c r="HRY141" s="89"/>
      <c r="HSA141" s="91"/>
      <c r="HSD141" s="89"/>
      <c r="HSF141" s="91"/>
      <c r="HSI141" s="89"/>
      <c r="HSK141" s="91"/>
      <c r="HSN141" s="89"/>
      <c r="HSP141" s="91"/>
      <c r="HSS141" s="89"/>
      <c r="HSU141" s="91"/>
      <c r="HSX141" s="89"/>
      <c r="HSZ141" s="91"/>
      <c r="HTC141" s="89"/>
      <c r="HTE141" s="91"/>
      <c r="HTH141" s="89"/>
      <c r="HTJ141" s="91"/>
      <c r="HTM141" s="89"/>
      <c r="HTO141" s="91"/>
      <c r="HTR141" s="89"/>
      <c r="HTT141" s="91"/>
      <c r="HTW141" s="89"/>
      <c r="HTY141" s="91"/>
      <c r="HUB141" s="89"/>
      <c r="HUD141" s="91"/>
      <c r="HUG141" s="89"/>
      <c r="HUI141" s="91"/>
      <c r="HUL141" s="89"/>
      <c r="HUN141" s="91"/>
      <c r="HUQ141" s="89"/>
      <c r="HUS141" s="91"/>
      <c r="HUV141" s="89"/>
      <c r="HUX141" s="91"/>
      <c r="HVA141" s="89"/>
      <c r="HVC141" s="91"/>
      <c r="HVF141" s="89"/>
      <c r="HVH141" s="91"/>
      <c r="HVK141" s="89"/>
      <c r="HVM141" s="91"/>
      <c r="HVP141" s="89"/>
      <c r="HVR141" s="91"/>
      <c r="HVU141" s="89"/>
      <c r="HVW141" s="91"/>
      <c r="HVZ141" s="89"/>
      <c r="HWB141" s="91"/>
      <c r="HWE141" s="89"/>
      <c r="HWG141" s="91"/>
      <c r="HWJ141" s="89"/>
      <c r="HWL141" s="91"/>
      <c r="HWO141" s="89"/>
      <c r="HWQ141" s="91"/>
      <c r="HWT141" s="89"/>
      <c r="HWV141" s="91"/>
      <c r="HWY141" s="89"/>
      <c r="HXA141" s="91"/>
      <c r="HXD141" s="89"/>
      <c r="HXF141" s="91"/>
      <c r="HXI141" s="89"/>
      <c r="HXK141" s="91"/>
      <c r="HXN141" s="89"/>
      <c r="HXP141" s="91"/>
      <c r="HXS141" s="89"/>
      <c r="HXU141" s="91"/>
      <c r="HXX141" s="89"/>
      <c r="HXZ141" s="91"/>
      <c r="HYC141" s="89"/>
      <c r="HYE141" s="91"/>
      <c r="HYH141" s="89"/>
      <c r="HYJ141" s="91"/>
      <c r="HYM141" s="89"/>
      <c r="HYO141" s="91"/>
      <c r="HYR141" s="89"/>
      <c r="HYT141" s="91"/>
      <c r="HYW141" s="89"/>
      <c r="HYY141" s="91"/>
      <c r="HZB141" s="89"/>
      <c r="HZD141" s="91"/>
      <c r="HZG141" s="89"/>
      <c r="HZI141" s="91"/>
      <c r="HZL141" s="89"/>
      <c r="HZN141" s="91"/>
      <c r="HZQ141" s="89"/>
      <c r="HZS141" s="91"/>
      <c r="HZV141" s="89"/>
      <c r="HZX141" s="91"/>
      <c r="IAA141" s="89"/>
      <c r="IAC141" s="91"/>
      <c r="IAF141" s="89"/>
      <c r="IAH141" s="91"/>
      <c r="IAK141" s="89"/>
      <c r="IAM141" s="91"/>
      <c r="IAP141" s="89"/>
      <c r="IAR141" s="91"/>
      <c r="IAU141" s="89"/>
      <c r="IAW141" s="91"/>
      <c r="IAZ141" s="89"/>
      <c r="IBB141" s="91"/>
      <c r="IBE141" s="89"/>
      <c r="IBG141" s="91"/>
      <c r="IBJ141" s="89"/>
      <c r="IBL141" s="91"/>
      <c r="IBO141" s="89"/>
      <c r="IBQ141" s="91"/>
      <c r="IBT141" s="89"/>
      <c r="IBV141" s="91"/>
      <c r="IBY141" s="89"/>
      <c r="ICA141" s="91"/>
      <c r="ICD141" s="89"/>
      <c r="ICF141" s="91"/>
      <c r="ICI141" s="89"/>
      <c r="ICK141" s="91"/>
      <c r="ICN141" s="89"/>
      <c r="ICP141" s="91"/>
      <c r="ICS141" s="89"/>
      <c r="ICU141" s="91"/>
      <c r="ICX141" s="89"/>
      <c r="ICZ141" s="91"/>
      <c r="IDC141" s="89"/>
      <c r="IDE141" s="91"/>
      <c r="IDH141" s="89"/>
      <c r="IDJ141" s="91"/>
      <c r="IDM141" s="89"/>
      <c r="IDO141" s="91"/>
      <c r="IDR141" s="89"/>
      <c r="IDT141" s="91"/>
      <c r="IDW141" s="89"/>
      <c r="IDY141" s="91"/>
      <c r="IEB141" s="89"/>
      <c r="IED141" s="91"/>
      <c r="IEG141" s="89"/>
      <c r="IEI141" s="91"/>
      <c r="IEL141" s="89"/>
      <c r="IEN141" s="91"/>
      <c r="IEQ141" s="89"/>
      <c r="IES141" s="91"/>
      <c r="IEV141" s="89"/>
      <c r="IEX141" s="91"/>
      <c r="IFA141" s="89"/>
      <c r="IFC141" s="91"/>
      <c r="IFF141" s="89"/>
      <c r="IFH141" s="91"/>
      <c r="IFK141" s="89"/>
      <c r="IFM141" s="91"/>
      <c r="IFP141" s="89"/>
      <c r="IFR141" s="91"/>
      <c r="IFU141" s="89"/>
      <c r="IFW141" s="91"/>
      <c r="IFZ141" s="89"/>
      <c r="IGB141" s="91"/>
      <c r="IGE141" s="89"/>
      <c r="IGG141" s="91"/>
      <c r="IGJ141" s="89"/>
      <c r="IGL141" s="91"/>
      <c r="IGO141" s="89"/>
      <c r="IGQ141" s="91"/>
      <c r="IGT141" s="89"/>
      <c r="IGV141" s="91"/>
      <c r="IGY141" s="89"/>
      <c r="IHA141" s="91"/>
      <c r="IHD141" s="89"/>
      <c r="IHF141" s="91"/>
      <c r="IHI141" s="89"/>
      <c r="IHK141" s="91"/>
      <c r="IHN141" s="89"/>
      <c r="IHP141" s="91"/>
      <c r="IHS141" s="89"/>
      <c r="IHU141" s="91"/>
      <c r="IHX141" s="89"/>
      <c r="IHZ141" s="91"/>
      <c r="IIC141" s="89"/>
      <c r="IIE141" s="91"/>
      <c r="IIH141" s="89"/>
      <c r="IIJ141" s="91"/>
      <c r="IIM141" s="89"/>
      <c r="IIO141" s="91"/>
      <c r="IIR141" s="89"/>
      <c r="IIT141" s="91"/>
      <c r="IIW141" s="89"/>
      <c r="IIY141" s="91"/>
      <c r="IJB141" s="89"/>
      <c r="IJD141" s="91"/>
      <c r="IJG141" s="89"/>
      <c r="IJI141" s="91"/>
      <c r="IJL141" s="89"/>
      <c r="IJN141" s="91"/>
      <c r="IJQ141" s="89"/>
      <c r="IJS141" s="91"/>
      <c r="IJV141" s="89"/>
      <c r="IJX141" s="91"/>
      <c r="IKA141" s="89"/>
      <c r="IKC141" s="91"/>
      <c r="IKF141" s="89"/>
      <c r="IKH141" s="91"/>
      <c r="IKK141" s="89"/>
      <c r="IKM141" s="91"/>
      <c r="IKP141" s="89"/>
      <c r="IKR141" s="91"/>
      <c r="IKU141" s="89"/>
      <c r="IKW141" s="91"/>
      <c r="IKZ141" s="89"/>
      <c r="ILB141" s="91"/>
      <c r="ILE141" s="89"/>
      <c r="ILG141" s="91"/>
      <c r="ILJ141" s="89"/>
      <c r="ILL141" s="91"/>
      <c r="ILO141" s="89"/>
      <c r="ILQ141" s="91"/>
      <c r="ILT141" s="89"/>
      <c r="ILV141" s="91"/>
      <c r="ILY141" s="89"/>
      <c r="IMA141" s="91"/>
      <c r="IMD141" s="89"/>
      <c r="IMF141" s="91"/>
      <c r="IMI141" s="89"/>
      <c r="IMK141" s="91"/>
      <c r="IMN141" s="89"/>
      <c r="IMP141" s="91"/>
      <c r="IMS141" s="89"/>
      <c r="IMU141" s="91"/>
      <c r="IMX141" s="89"/>
      <c r="IMZ141" s="91"/>
      <c r="INC141" s="89"/>
      <c r="INE141" s="91"/>
      <c r="INH141" s="89"/>
      <c r="INJ141" s="91"/>
      <c r="INM141" s="89"/>
      <c r="INO141" s="91"/>
      <c r="INR141" s="89"/>
      <c r="INT141" s="91"/>
      <c r="INW141" s="89"/>
      <c r="INY141" s="91"/>
      <c r="IOB141" s="89"/>
      <c r="IOD141" s="91"/>
      <c r="IOG141" s="89"/>
      <c r="IOI141" s="91"/>
      <c r="IOL141" s="89"/>
      <c r="ION141" s="91"/>
      <c r="IOQ141" s="89"/>
      <c r="IOS141" s="91"/>
      <c r="IOV141" s="89"/>
      <c r="IOX141" s="91"/>
      <c r="IPA141" s="89"/>
      <c r="IPC141" s="91"/>
      <c r="IPF141" s="89"/>
      <c r="IPH141" s="91"/>
      <c r="IPK141" s="89"/>
      <c r="IPM141" s="91"/>
      <c r="IPP141" s="89"/>
      <c r="IPR141" s="91"/>
      <c r="IPU141" s="89"/>
      <c r="IPW141" s="91"/>
      <c r="IPZ141" s="89"/>
      <c r="IQB141" s="91"/>
      <c r="IQE141" s="89"/>
      <c r="IQG141" s="91"/>
      <c r="IQJ141" s="89"/>
      <c r="IQL141" s="91"/>
      <c r="IQO141" s="89"/>
      <c r="IQQ141" s="91"/>
      <c r="IQT141" s="89"/>
      <c r="IQV141" s="91"/>
      <c r="IQY141" s="89"/>
      <c r="IRA141" s="91"/>
      <c r="IRD141" s="89"/>
      <c r="IRF141" s="91"/>
      <c r="IRI141" s="89"/>
      <c r="IRK141" s="91"/>
      <c r="IRN141" s="89"/>
      <c r="IRP141" s="91"/>
      <c r="IRS141" s="89"/>
      <c r="IRU141" s="91"/>
      <c r="IRX141" s="89"/>
      <c r="IRZ141" s="91"/>
      <c r="ISC141" s="89"/>
      <c r="ISE141" s="91"/>
      <c r="ISH141" s="89"/>
      <c r="ISJ141" s="91"/>
      <c r="ISM141" s="89"/>
      <c r="ISO141" s="91"/>
      <c r="ISR141" s="89"/>
      <c r="IST141" s="91"/>
      <c r="ISW141" s="89"/>
      <c r="ISY141" s="91"/>
      <c r="ITB141" s="89"/>
      <c r="ITD141" s="91"/>
      <c r="ITG141" s="89"/>
      <c r="ITI141" s="91"/>
      <c r="ITL141" s="89"/>
      <c r="ITN141" s="91"/>
      <c r="ITQ141" s="89"/>
      <c r="ITS141" s="91"/>
      <c r="ITV141" s="89"/>
      <c r="ITX141" s="91"/>
      <c r="IUA141" s="89"/>
      <c r="IUC141" s="91"/>
      <c r="IUF141" s="89"/>
      <c r="IUH141" s="91"/>
      <c r="IUK141" s="89"/>
      <c r="IUM141" s="91"/>
      <c r="IUP141" s="89"/>
      <c r="IUR141" s="91"/>
      <c r="IUU141" s="89"/>
      <c r="IUW141" s="91"/>
      <c r="IUZ141" s="89"/>
      <c r="IVB141" s="91"/>
      <c r="IVE141" s="89"/>
      <c r="IVG141" s="91"/>
      <c r="IVJ141" s="89"/>
      <c r="IVL141" s="91"/>
      <c r="IVO141" s="89"/>
      <c r="IVQ141" s="91"/>
      <c r="IVT141" s="89"/>
      <c r="IVV141" s="91"/>
      <c r="IVY141" s="89"/>
      <c r="IWA141" s="91"/>
      <c r="IWD141" s="89"/>
      <c r="IWF141" s="91"/>
      <c r="IWI141" s="89"/>
      <c r="IWK141" s="91"/>
      <c r="IWN141" s="89"/>
      <c r="IWP141" s="91"/>
      <c r="IWS141" s="89"/>
      <c r="IWU141" s="91"/>
      <c r="IWX141" s="89"/>
      <c r="IWZ141" s="91"/>
      <c r="IXC141" s="89"/>
      <c r="IXE141" s="91"/>
      <c r="IXH141" s="89"/>
      <c r="IXJ141" s="91"/>
      <c r="IXM141" s="89"/>
      <c r="IXO141" s="91"/>
      <c r="IXR141" s="89"/>
      <c r="IXT141" s="91"/>
      <c r="IXW141" s="89"/>
      <c r="IXY141" s="91"/>
      <c r="IYB141" s="89"/>
      <c r="IYD141" s="91"/>
      <c r="IYG141" s="89"/>
      <c r="IYI141" s="91"/>
      <c r="IYL141" s="89"/>
      <c r="IYN141" s="91"/>
      <c r="IYQ141" s="89"/>
      <c r="IYS141" s="91"/>
      <c r="IYV141" s="89"/>
      <c r="IYX141" s="91"/>
      <c r="IZA141" s="89"/>
      <c r="IZC141" s="91"/>
      <c r="IZF141" s="89"/>
      <c r="IZH141" s="91"/>
      <c r="IZK141" s="89"/>
      <c r="IZM141" s="91"/>
      <c r="IZP141" s="89"/>
      <c r="IZR141" s="91"/>
      <c r="IZU141" s="89"/>
      <c r="IZW141" s="91"/>
      <c r="IZZ141" s="89"/>
      <c r="JAB141" s="91"/>
      <c r="JAE141" s="89"/>
      <c r="JAG141" s="91"/>
      <c r="JAJ141" s="89"/>
      <c r="JAL141" s="91"/>
      <c r="JAO141" s="89"/>
      <c r="JAQ141" s="91"/>
      <c r="JAT141" s="89"/>
      <c r="JAV141" s="91"/>
      <c r="JAY141" s="89"/>
      <c r="JBA141" s="91"/>
      <c r="JBD141" s="89"/>
      <c r="JBF141" s="91"/>
      <c r="JBI141" s="89"/>
      <c r="JBK141" s="91"/>
      <c r="JBN141" s="89"/>
      <c r="JBP141" s="91"/>
      <c r="JBS141" s="89"/>
      <c r="JBU141" s="91"/>
      <c r="JBX141" s="89"/>
      <c r="JBZ141" s="91"/>
      <c r="JCC141" s="89"/>
      <c r="JCE141" s="91"/>
      <c r="JCH141" s="89"/>
      <c r="JCJ141" s="91"/>
      <c r="JCM141" s="89"/>
      <c r="JCO141" s="91"/>
      <c r="JCR141" s="89"/>
      <c r="JCT141" s="91"/>
      <c r="JCW141" s="89"/>
      <c r="JCY141" s="91"/>
      <c r="JDB141" s="89"/>
      <c r="JDD141" s="91"/>
      <c r="JDG141" s="89"/>
      <c r="JDI141" s="91"/>
      <c r="JDL141" s="89"/>
      <c r="JDN141" s="91"/>
      <c r="JDQ141" s="89"/>
      <c r="JDS141" s="91"/>
      <c r="JDV141" s="89"/>
      <c r="JDX141" s="91"/>
      <c r="JEA141" s="89"/>
      <c r="JEC141" s="91"/>
      <c r="JEF141" s="89"/>
      <c r="JEH141" s="91"/>
      <c r="JEK141" s="89"/>
      <c r="JEM141" s="91"/>
      <c r="JEP141" s="89"/>
      <c r="JER141" s="91"/>
      <c r="JEU141" s="89"/>
      <c r="JEW141" s="91"/>
      <c r="JEZ141" s="89"/>
      <c r="JFB141" s="91"/>
      <c r="JFE141" s="89"/>
      <c r="JFG141" s="91"/>
      <c r="JFJ141" s="89"/>
      <c r="JFL141" s="91"/>
      <c r="JFO141" s="89"/>
      <c r="JFQ141" s="91"/>
      <c r="JFT141" s="89"/>
      <c r="JFV141" s="91"/>
      <c r="JFY141" s="89"/>
      <c r="JGA141" s="91"/>
      <c r="JGD141" s="89"/>
      <c r="JGF141" s="91"/>
      <c r="JGI141" s="89"/>
      <c r="JGK141" s="91"/>
      <c r="JGN141" s="89"/>
      <c r="JGP141" s="91"/>
      <c r="JGS141" s="89"/>
      <c r="JGU141" s="91"/>
      <c r="JGX141" s="89"/>
      <c r="JGZ141" s="91"/>
      <c r="JHC141" s="89"/>
      <c r="JHE141" s="91"/>
      <c r="JHH141" s="89"/>
      <c r="JHJ141" s="91"/>
      <c r="JHM141" s="89"/>
      <c r="JHO141" s="91"/>
      <c r="JHR141" s="89"/>
      <c r="JHT141" s="91"/>
      <c r="JHW141" s="89"/>
      <c r="JHY141" s="91"/>
      <c r="JIB141" s="89"/>
      <c r="JID141" s="91"/>
      <c r="JIG141" s="89"/>
      <c r="JII141" s="91"/>
      <c r="JIL141" s="89"/>
      <c r="JIN141" s="91"/>
      <c r="JIQ141" s="89"/>
      <c r="JIS141" s="91"/>
      <c r="JIV141" s="89"/>
      <c r="JIX141" s="91"/>
      <c r="JJA141" s="89"/>
      <c r="JJC141" s="91"/>
      <c r="JJF141" s="89"/>
      <c r="JJH141" s="91"/>
      <c r="JJK141" s="89"/>
      <c r="JJM141" s="91"/>
      <c r="JJP141" s="89"/>
      <c r="JJR141" s="91"/>
      <c r="JJU141" s="89"/>
      <c r="JJW141" s="91"/>
      <c r="JJZ141" s="89"/>
      <c r="JKB141" s="91"/>
      <c r="JKE141" s="89"/>
      <c r="JKG141" s="91"/>
      <c r="JKJ141" s="89"/>
      <c r="JKL141" s="91"/>
      <c r="JKO141" s="89"/>
      <c r="JKQ141" s="91"/>
      <c r="JKT141" s="89"/>
      <c r="JKV141" s="91"/>
      <c r="JKY141" s="89"/>
      <c r="JLA141" s="91"/>
      <c r="JLD141" s="89"/>
      <c r="JLF141" s="91"/>
      <c r="JLI141" s="89"/>
      <c r="JLK141" s="91"/>
      <c r="JLN141" s="89"/>
      <c r="JLP141" s="91"/>
      <c r="JLS141" s="89"/>
      <c r="JLU141" s="91"/>
      <c r="JLX141" s="89"/>
      <c r="JLZ141" s="91"/>
      <c r="JMC141" s="89"/>
      <c r="JME141" s="91"/>
      <c r="JMH141" s="89"/>
      <c r="JMJ141" s="91"/>
      <c r="JMM141" s="89"/>
      <c r="JMO141" s="91"/>
      <c r="JMR141" s="89"/>
      <c r="JMT141" s="91"/>
      <c r="JMW141" s="89"/>
      <c r="JMY141" s="91"/>
      <c r="JNB141" s="89"/>
      <c r="JND141" s="91"/>
      <c r="JNG141" s="89"/>
      <c r="JNI141" s="91"/>
      <c r="JNL141" s="89"/>
      <c r="JNN141" s="91"/>
      <c r="JNQ141" s="89"/>
      <c r="JNS141" s="91"/>
      <c r="JNV141" s="89"/>
      <c r="JNX141" s="91"/>
      <c r="JOA141" s="89"/>
      <c r="JOC141" s="91"/>
      <c r="JOF141" s="89"/>
      <c r="JOH141" s="91"/>
      <c r="JOK141" s="89"/>
      <c r="JOM141" s="91"/>
      <c r="JOP141" s="89"/>
      <c r="JOR141" s="91"/>
      <c r="JOU141" s="89"/>
      <c r="JOW141" s="91"/>
      <c r="JOZ141" s="89"/>
      <c r="JPB141" s="91"/>
      <c r="JPE141" s="89"/>
      <c r="JPG141" s="91"/>
      <c r="JPJ141" s="89"/>
      <c r="JPL141" s="91"/>
      <c r="JPO141" s="89"/>
      <c r="JPQ141" s="91"/>
      <c r="JPT141" s="89"/>
      <c r="JPV141" s="91"/>
      <c r="JPY141" s="89"/>
      <c r="JQA141" s="91"/>
      <c r="JQD141" s="89"/>
      <c r="JQF141" s="91"/>
      <c r="JQI141" s="89"/>
      <c r="JQK141" s="91"/>
      <c r="JQN141" s="89"/>
      <c r="JQP141" s="91"/>
      <c r="JQS141" s="89"/>
      <c r="JQU141" s="91"/>
      <c r="JQX141" s="89"/>
      <c r="JQZ141" s="91"/>
      <c r="JRC141" s="89"/>
      <c r="JRE141" s="91"/>
      <c r="JRH141" s="89"/>
      <c r="JRJ141" s="91"/>
      <c r="JRM141" s="89"/>
      <c r="JRO141" s="91"/>
      <c r="JRR141" s="89"/>
      <c r="JRT141" s="91"/>
      <c r="JRW141" s="89"/>
      <c r="JRY141" s="91"/>
      <c r="JSB141" s="89"/>
      <c r="JSD141" s="91"/>
      <c r="JSG141" s="89"/>
      <c r="JSI141" s="91"/>
      <c r="JSL141" s="89"/>
      <c r="JSN141" s="91"/>
      <c r="JSQ141" s="89"/>
      <c r="JSS141" s="91"/>
      <c r="JSV141" s="89"/>
      <c r="JSX141" s="91"/>
      <c r="JTA141" s="89"/>
      <c r="JTC141" s="91"/>
      <c r="JTF141" s="89"/>
      <c r="JTH141" s="91"/>
      <c r="JTK141" s="89"/>
      <c r="JTM141" s="91"/>
      <c r="JTP141" s="89"/>
      <c r="JTR141" s="91"/>
      <c r="JTU141" s="89"/>
      <c r="JTW141" s="91"/>
      <c r="JTZ141" s="89"/>
      <c r="JUB141" s="91"/>
      <c r="JUE141" s="89"/>
      <c r="JUG141" s="91"/>
      <c r="JUJ141" s="89"/>
      <c r="JUL141" s="91"/>
      <c r="JUO141" s="89"/>
      <c r="JUQ141" s="91"/>
      <c r="JUT141" s="89"/>
      <c r="JUV141" s="91"/>
      <c r="JUY141" s="89"/>
      <c r="JVA141" s="91"/>
      <c r="JVD141" s="89"/>
      <c r="JVF141" s="91"/>
      <c r="JVI141" s="89"/>
      <c r="JVK141" s="91"/>
      <c r="JVN141" s="89"/>
      <c r="JVP141" s="91"/>
      <c r="JVS141" s="89"/>
      <c r="JVU141" s="91"/>
      <c r="JVX141" s="89"/>
      <c r="JVZ141" s="91"/>
      <c r="JWC141" s="89"/>
      <c r="JWE141" s="91"/>
      <c r="JWH141" s="89"/>
      <c r="JWJ141" s="91"/>
      <c r="JWM141" s="89"/>
      <c r="JWO141" s="91"/>
      <c r="JWR141" s="89"/>
      <c r="JWT141" s="91"/>
      <c r="JWW141" s="89"/>
      <c r="JWY141" s="91"/>
      <c r="JXB141" s="89"/>
      <c r="JXD141" s="91"/>
      <c r="JXG141" s="89"/>
      <c r="JXI141" s="91"/>
      <c r="JXL141" s="89"/>
      <c r="JXN141" s="91"/>
      <c r="JXQ141" s="89"/>
      <c r="JXS141" s="91"/>
      <c r="JXV141" s="89"/>
      <c r="JXX141" s="91"/>
      <c r="JYA141" s="89"/>
      <c r="JYC141" s="91"/>
      <c r="JYF141" s="89"/>
      <c r="JYH141" s="91"/>
      <c r="JYK141" s="89"/>
      <c r="JYM141" s="91"/>
      <c r="JYP141" s="89"/>
      <c r="JYR141" s="91"/>
      <c r="JYU141" s="89"/>
      <c r="JYW141" s="91"/>
      <c r="JYZ141" s="89"/>
      <c r="JZB141" s="91"/>
      <c r="JZE141" s="89"/>
      <c r="JZG141" s="91"/>
      <c r="JZJ141" s="89"/>
      <c r="JZL141" s="91"/>
      <c r="JZO141" s="89"/>
      <c r="JZQ141" s="91"/>
      <c r="JZT141" s="89"/>
      <c r="JZV141" s="91"/>
      <c r="JZY141" s="89"/>
      <c r="KAA141" s="91"/>
      <c r="KAD141" s="89"/>
      <c r="KAF141" s="91"/>
      <c r="KAI141" s="89"/>
      <c r="KAK141" s="91"/>
      <c r="KAN141" s="89"/>
      <c r="KAP141" s="91"/>
      <c r="KAS141" s="89"/>
      <c r="KAU141" s="91"/>
      <c r="KAX141" s="89"/>
      <c r="KAZ141" s="91"/>
      <c r="KBC141" s="89"/>
      <c r="KBE141" s="91"/>
      <c r="KBH141" s="89"/>
      <c r="KBJ141" s="91"/>
      <c r="KBM141" s="89"/>
      <c r="KBO141" s="91"/>
      <c r="KBR141" s="89"/>
      <c r="KBT141" s="91"/>
      <c r="KBW141" s="89"/>
      <c r="KBY141" s="91"/>
      <c r="KCB141" s="89"/>
      <c r="KCD141" s="91"/>
      <c r="KCG141" s="89"/>
      <c r="KCI141" s="91"/>
      <c r="KCL141" s="89"/>
      <c r="KCN141" s="91"/>
      <c r="KCQ141" s="89"/>
      <c r="KCS141" s="91"/>
      <c r="KCV141" s="89"/>
      <c r="KCX141" s="91"/>
      <c r="KDA141" s="89"/>
      <c r="KDC141" s="91"/>
      <c r="KDF141" s="89"/>
      <c r="KDH141" s="91"/>
      <c r="KDK141" s="89"/>
      <c r="KDM141" s="91"/>
      <c r="KDP141" s="89"/>
      <c r="KDR141" s="91"/>
      <c r="KDU141" s="89"/>
      <c r="KDW141" s="91"/>
      <c r="KDZ141" s="89"/>
      <c r="KEB141" s="91"/>
      <c r="KEE141" s="89"/>
      <c r="KEG141" s="91"/>
      <c r="KEJ141" s="89"/>
      <c r="KEL141" s="91"/>
      <c r="KEO141" s="89"/>
      <c r="KEQ141" s="91"/>
      <c r="KET141" s="89"/>
      <c r="KEV141" s="91"/>
      <c r="KEY141" s="89"/>
      <c r="KFA141" s="91"/>
      <c r="KFD141" s="89"/>
      <c r="KFF141" s="91"/>
      <c r="KFI141" s="89"/>
      <c r="KFK141" s="91"/>
      <c r="KFN141" s="89"/>
      <c r="KFP141" s="91"/>
      <c r="KFS141" s="89"/>
      <c r="KFU141" s="91"/>
      <c r="KFX141" s="89"/>
      <c r="KFZ141" s="91"/>
      <c r="KGC141" s="89"/>
      <c r="KGE141" s="91"/>
      <c r="KGH141" s="89"/>
      <c r="KGJ141" s="91"/>
      <c r="KGM141" s="89"/>
      <c r="KGO141" s="91"/>
      <c r="KGR141" s="89"/>
      <c r="KGT141" s="91"/>
      <c r="KGW141" s="89"/>
      <c r="KGY141" s="91"/>
      <c r="KHB141" s="89"/>
      <c r="KHD141" s="91"/>
      <c r="KHG141" s="89"/>
      <c r="KHI141" s="91"/>
      <c r="KHL141" s="89"/>
      <c r="KHN141" s="91"/>
      <c r="KHQ141" s="89"/>
      <c r="KHS141" s="91"/>
      <c r="KHV141" s="89"/>
      <c r="KHX141" s="91"/>
      <c r="KIA141" s="89"/>
      <c r="KIC141" s="91"/>
      <c r="KIF141" s="89"/>
      <c r="KIH141" s="91"/>
      <c r="KIK141" s="89"/>
      <c r="KIM141" s="91"/>
      <c r="KIP141" s="89"/>
      <c r="KIR141" s="91"/>
      <c r="KIU141" s="89"/>
      <c r="KIW141" s="91"/>
      <c r="KIZ141" s="89"/>
      <c r="KJB141" s="91"/>
      <c r="KJE141" s="89"/>
      <c r="KJG141" s="91"/>
      <c r="KJJ141" s="89"/>
      <c r="KJL141" s="91"/>
      <c r="KJO141" s="89"/>
      <c r="KJQ141" s="91"/>
      <c r="KJT141" s="89"/>
      <c r="KJV141" s="91"/>
      <c r="KJY141" s="89"/>
      <c r="KKA141" s="91"/>
      <c r="KKD141" s="89"/>
      <c r="KKF141" s="91"/>
      <c r="KKI141" s="89"/>
      <c r="KKK141" s="91"/>
      <c r="KKN141" s="89"/>
      <c r="KKP141" s="91"/>
      <c r="KKS141" s="89"/>
      <c r="KKU141" s="91"/>
      <c r="KKX141" s="89"/>
      <c r="KKZ141" s="91"/>
      <c r="KLC141" s="89"/>
      <c r="KLE141" s="91"/>
      <c r="KLH141" s="89"/>
      <c r="KLJ141" s="91"/>
      <c r="KLM141" s="89"/>
      <c r="KLO141" s="91"/>
      <c r="KLR141" s="89"/>
      <c r="KLT141" s="91"/>
      <c r="KLW141" s="89"/>
      <c r="KLY141" s="91"/>
      <c r="KMB141" s="89"/>
      <c r="KMD141" s="91"/>
      <c r="KMG141" s="89"/>
      <c r="KMI141" s="91"/>
      <c r="KML141" s="89"/>
      <c r="KMN141" s="91"/>
      <c r="KMQ141" s="89"/>
      <c r="KMS141" s="91"/>
      <c r="KMV141" s="89"/>
      <c r="KMX141" s="91"/>
      <c r="KNA141" s="89"/>
      <c r="KNC141" s="91"/>
      <c r="KNF141" s="89"/>
      <c r="KNH141" s="91"/>
      <c r="KNK141" s="89"/>
      <c r="KNM141" s="91"/>
      <c r="KNP141" s="89"/>
      <c r="KNR141" s="91"/>
      <c r="KNU141" s="89"/>
      <c r="KNW141" s="91"/>
      <c r="KNZ141" s="89"/>
      <c r="KOB141" s="91"/>
      <c r="KOE141" s="89"/>
      <c r="KOG141" s="91"/>
      <c r="KOJ141" s="89"/>
      <c r="KOL141" s="91"/>
      <c r="KOO141" s="89"/>
      <c r="KOQ141" s="91"/>
      <c r="KOT141" s="89"/>
      <c r="KOV141" s="91"/>
      <c r="KOY141" s="89"/>
      <c r="KPA141" s="91"/>
      <c r="KPD141" s="89"/>
      <c r="KPF141" s="91"/>
      <c r="KPI141" s="89"/>
      <c r="KPK141" s="91"/>
      <c r="KPN141" s="89"/>
      <c r="KPP141" s="91"/>
      <c r="KPS141" s="89"/>
      <c r="KPU141" s="91"/>
      <c r="KPX141" s="89"/>
      <c r="KPZ141" s="91"/>
      <c r="KQC141" s="89"/>
      <c r="KQE141" s="91"/>
      <c r="KQH141" s="89"/>
      <c r="KQJ141" s="91"/>
      <c r="KQM141" s="89"/>
      <c r="KQO141" s="91"/>
      <c r="KQR141" s="89"/>
      <c r="KQT141" s="91"/>
      <c r="KQW141" s="89"/>
      <c r="KQY141" s="91"/>
      <c r="KRB141" s="89"/>
      <c r="KRD141" s="91"/>
      <c r="KRG141" s="89"/>
      <c r="KRI141" s="91"/>
      <c r="KRL141" s="89"/>
      <c r="KRN141" s="91"/>
      <c r="KRQ141" s="89"/>
      <c r="KRS141" s="91"/>
      <c r="KRV141" s="89"/>
      <c r="KRX141" s="91"/>
      <c r="KSA141" s="89"/>
      <c r="KSC141" s="91"/>
      <c r="KSF141" s="89"/>
      <c r="KSH141" s="91"/>
      <c r="KSK141" s="89"/>
      <c r="KSM141" s="91"/>
      <c r="KSP141" s="89"/>
      <c r="KSR141" s="91"/>
      <c r="KSU141" s="89"/>
      <c r="KSW141" s="91"/>
      <c r="KSZ141" s="89"/>
      <c r="KTB141" s="91"/>
      <c r="KTE141" s="89"/>
      <c r="KTG141" s="91"/>
      <c r="KTJ141" s="89"/>
      <c r="KTL141" s="91"/>
      <c r="KTO141" s="89"/>
      <c r="KTQ141" s="91"/>
      <c r="KTT141" s="89"/>
      <c r="KTV141" s="91"/>
      <c r="KTY141" s="89"/>
      <c r="KUA141" s="91"/>
      <c r="KUD141" s="89"/>
      <c r="KUF141" s="91"/>
      <c r="KUI141" s="89"/>
      <c r="KUK141" s="91"/>
      <c r="KUN141" s="89"/>
      <c r="KUP141" s="91"/>
      <c r="KUS141" s="89"/>
      <c r="KUU141" s="91"/>
      <c r="KUX141" s="89"/>
      <c r="KUZ141" s="91"/>
      <c r="KVC141" s="89"/>
      <c r="KVE141" s="91"/>
      <c r="KVH141" s="89"/>
      <c r="KVJ141" s="91"/>
      <c r="KVM141" s="89"/>
      <c r="KVO141" s="91"/>
      <c r="KVR141" s="89"/>
      <c r="KVT141" s="91"/>
      <c r="KVW141" s="89"/>
      <c r="KVY141" s="91"/>
      <c r="KWB141" s="89"/>
      <c r="KWD141" s="91"/>
      <c r="KWG141" s="89"/>
      <c r="KWI141" s="91"/>
      <c r="KWL141" s="89"/>
      <c r="KWN141" s="91"/>
      <c r="KWQ141" s="89"/>
      <c r="KWS141" s="91"/>
      <c r="KWV141" s="89"/>
      <c r="KWX141" s="91"/>
      <c r="KXA141" s="89"/>
      <c r="KXC141" s="91"/>
      <c r="KXF141" s="89"/>
      <c r="KXH141" s="91"/>
      <c r="KXK141" s="89"/>
      <c r="KXM141" s="91"/>
      <c r="KXP141" s="89"/>
      <c r="KXR141" s="91"/>
      <c r="KXU141" s="89"/>
      <c r="KXW141" s="91"/>
      <c r="KXZ141" s="89"/>
      <c r="KYB141" s="91"/>
      <c r="KYE141" s="89"/>
      <c r="KYG141" s="91"/>
      <c r="KYJ141" s="89"/>
      <c r="KYL141" s="91"/>
      <c r="KYO141" s="89"/>
      <c r="KYQ141" s="91"/>
      <c r="KYT141" s="89"/>
      <c r="KYV141" s="91"/>
      <c r="KYY141" s="89"/>
      <c r="KZA141" s="91"/>
      <c r="KZD141" s="89"/>
      <c r="KZF141" s="91"/>
      <c r="KZI141" s="89"/>
      <c r="KZK141" s="91"/>
      <c r="KZN141" s="89"/>
      <c r="KZP141" s="91"/>
      <c r="KZS141" s="89"/>
      <c r="KZU141" s="91"/>
      <c r="KZX141" s="89"/>
      <c r="KZZ141" s="91"/>
      <c r="LAC141" s="89"/>
      <c r="LAE141" s="91"/>
      <c r="LAH141" s="89"/>
      <c r="LAJ141" s="91"/>
      <c r="LAM141" s="89"/>
      <c r="LAO141" s="91"/>
      <c r="LAR141" s="89"/>
      <c r="LAT141" s="91"/>
      <c r="LAW141" s="89"/>
      <c r="LAY141" s="91"/>
      <c r="LBB141" s="89"/>
      <c r="LBD141" s="91"/>
      <c r="LBG141" s="89"/>
      <c r="LBI141" s="91"/>
      <c r="LBL141" s="89"/>
      <c r="LBN141" s="91"/>
      <c r="LBQ141" s="89"/>
      <c r="LBS141" s="91"/>
      <c r="LBV141" s="89"/>
      <c r="LBX141" s="91"/>
      <c r="LCA141" s="89"/>
      <c r="LCC141" s="91"/>
      <c r="LCF141" s="89"/>
      <c r="LCH141" s="91"/>
      <c r="LCK141" s="89"/>
      <c r="LCM141" s="91"/>
      <c r="LCP141" s="89"/>
      <c r="LCR141" s="91"/>
      <c r="LCU141" s="89"/>
      <c r="LCW141" s="91"/>
      <c r="LCZ141" s="89"/>
      <c r="LDB141" s="91"/>
      <c r="LDE141" s="89"/>
      <c r="LDG141" s="91"/>
      <c r="LDJ141" s="89"/>
      <c r="LDL141" s="91"/>
      <c r="LDO141" s="89"/>
      <c r="LDQ141" s="91"/>
      <c r="LDT141" s="89"/>
      <c r="LDV141" s="91"/>
      <c r="LDY141" s="89"/>
      <c r="LEA141" s="91"/>
      <c r="LED141" s="89"/>
      <c r="LEF141" s="91"/>
      <c r="LEI141" s="89"/>
      <c r="LEK141" s="91"/>
      <c r="LEN141" s="89"/>
      <c r="LEP141" s="91"/>
      <c r="LES141" s="89"/>
      <c r="LEU141" s="91"/>
      <c r="LEX141" s="89"/>
      <c r="LEZ141" s="91"/>
      <c r="LFC141" s="89"/>
      <c r="LFE141" s="91"/>
      <c r="LFH141" s="89"/>
      <c r="LFJ141" s="91"/>
      <c r="LFM141" s="89"/>
      <c r="LFO141" s="91"/>
      <c r="LFR141" s="89"/>
      <c r="LFT141" s="91"/>
      <c r="LFW141" s="89"/>
      <c r="LFY141" s="91"/>
      <c r="LGB141" s="89"/>
      <c r="LGD141" s="91"/>
      <c r="LGG141" s="89"/>
      <c r="LGI141" s="91"/>
      <c r="LGL141" s="89"/>
      <c r="LGN141" s="91"/>
      <c r="LGQ141" s="89"/>
      <c r="LGS141" s="91"/>
      <c r="LGV141" s="89"/>
      <c r="LGX141" s="91"/>
      <c r="LHA141" s="89"/>
      <c r="LHC141" s="91"/>
      <c r="LHF141" s="89"/>
      <c r="LHH141" s="91"/>
      <c r="LHK141" s="89"/>
      <c r="LHM141" s="91"/>
      <c r="LHP141" s="89"/>
      <c r="LHR141" s="91"/>
      <c r="LHU141" s="89"/>
      <c r="LHW141" s="91"/>
      <c r="LHZ141" s="89"/>
      <c r="LIB141" s="91"/>
      <c r="LIE141" s="89"/>
      <c r="LIG141" s="91"/>
      <c r="LIJ141" s="89"/>
      <c r="LIL141" s="91"/>
      <c r="LIO141" s="89"/>
      <c r="LIQ141" s="91"/>
      <c r="LIT141" s="89"/>
      <c r="LIV141" s="91"/>
      <c r="LIY141" s="89"/>
      <c r="LJA141" s="91"/>
      <c r="LJD141" s="89"/>
      <c r="LJF141" s="91"/>
      <c r="LJI141" s="89"/>
      <c r="LJK141" s="91"/>
      <c r="LJN141" s="89"/>
      <c r="LJP141" s="91"/>
      <c r="LJS141" s="89"/>
      <c r="LJU141" s="91"/>
      <c r="LJX141" s="89"/>
      <c r="LJZ141" s="91"/>
      <c r="LKC141" s="89"/>
      <c r="LKE141" s="91"/>
      <c r="LKH141" s="89"/>
      <c r="LKJ141" s="91"/>
      <c r="LKM141" s="89"/>
      <c r="LKO141" s="91"/>
      <c r="LKR141" s="89"/>
      <c r="LKT141" s="91"/>
      <c r="LKW141" s="89"/>
      <c r="LKY141" s="91"/>
      <c r="LLB141" s="89"/>
      <c r="LLD141" s="91"/>
      <c r="LLG141" s="89"/>
      <c r="LLI141" s="91"/>
      <c r="LLL141" s="89"/>
      <c r="LLN141" s="91"/>
      <c r="LLQ141" s="89"/>
      <c r="LLS141" s="91"/>
      <c r="LLV141" s="89"/>
      <c r="LLX141" s="91"/>
      <c r="LMA141" s="89"/>
      <c r="LMC141" s="91"/>
      <c r="LMF141" s="89"/>
      <c r="LMH141" s="91"/>
      <c r="LMK141" s="89"/>
      <c r="LMM141" s="91"/>
      <c r="LMP141" s="89"/>
      <c r="LMR141" s="91"/>
      <c r="LMU141" s="89"/>
      <c r="LMW141" s="91"/>
      <c r="LMZ141" s="89"/>
      <c r="LNB141" s="91"/>
      <c r="LNE141" s="89"/>
      <c r="LNG141" s="91"/>
      <c r="LNJ141" s="89"/>
      <c r="LNL141" s="91"/>
      <c r="LNO141" s="89"/>
      <c r="LNQ141" s="91"/>
      <c r="LNT141" s="89"/>
      <c r="LNV141" s="91"/>
      <c r="LNY141" s="89"/>
      <c r="LOA141" s="91"/>
      <c r="LOD141" s="89"/>
      <c r="LOF141" s="91"/>
      <c r="LOI141" s="89"/>
      <c r="LOK141" s="91"/>
      <c r="LON141" s="89"/>
      <c r="LOP141" s="91"/>
      <c r="LOS141" s="89"/>
      <c r="LOU141" s="91"/>
      <c r="LOX141" s="89"/>
      <c r="LOZ141" s="91"/>
      <c r="LPC141" s="89"/>
      <c r="LPE141" s="91"/>
      <c r="LPH141" s="89"/>
      <c r="LPJ141" s="91"/>
      <c r="LPM141" s="89"/>
      <c r="LPO141" s="91"/>
      <c r="LPR141" s="89"/>
      <c r="LPT141" s="91"/>
      <c r="LPW141" s="89"/>
      <c r="LPY141" s="91"/>
      <c r="LQB141" s="89"/>
      <c r="LQD141" s="91"/>
      <c r="LQG141" s="89"/>
      <c r="LQI141" s="91"/>
      <c r="LQL141" s="89"/>
      <c r="LQN141" s="91"/>
      <c r="LQQ141" s="89"/>
      <c r="LQS141" s="91"/>
      <c r="LQV141" s="89"/>
      <c r="LQX141" s="91"/>
      <c r="LRA141" s="89"/>
      <c r="LRC141" s="91"/>
      <c r="LRF141" s="89"/>
      <c r="LRH141" s="91"/>
      <c r="LRK141" s="89"/>
      <c r="LRM141" s="91"/>
      <c r="LRP141" s="89"/>
      <c r="LRR141" s="91"/>
      <c r="LRU141" s="89"/>
      <c r="LRW141" s="91"/>
      <c r="LRZ141" s="89"/>
      <c r="LSB141" s="91"/>
      <c r="LSE141" s="89"/>
      <c r="LSG141" s="91"/>
      <c r="LSJ141" s="89"/>
      <c r="LSL141" s="91"/>
      <c r="LSO141" s="89"/>
      <c r="LSQ141" s="91"/>
      <c r="LST141" s="89"/>
      <c r="LSV141" s="91"/>
      <c r="LSY141" s="89"/>
      <c r="LTA141" s="91"/>
      <c r="LTD141" s="89"/>
      <c r="LTF141" s="91"/>
      <c r="LTI141" s="89"/>
      <c r="LTK141" s="91"/>
      <c r="LTN141" s="89"/>
      <c r="LTP141" s="91"/>
      <c r="LTS141" s="89"/>
      <c r="LTU141" s="91"/>
      <c r="LTX141" s="89"/>
      <c r="LTZ141" s="91"/>
      <c r="LUC141" s="89"/>
      <c r="LUE141" s="91"/>
      <c r="LUH141" s="89"/>
      <c r="LUJ141" s="91"/>
      <c r="LUM141" s="89"/>
      <c r="LUO141" s="91"/>
      <c r="LUR141" s="89"/>
      <c r="LUT141" s="91"/>
      <c r="LUW141" s="89"/>
      <c r="LUY141" s="91"/>
      <c r="LVB141" s="89"/>
      <c r="LVD141" s="91"/>
      <c r="LVG141" s="89"/>
      <c r="LVI141" s="91"/>
      <c r="LVL141" s="89"/>
      <c r="LVN141" s="91"/>
      <c r="LVQ141" s="89"/>
      <c r="LVS141" s="91"/>
      <c r="LVV141" s="89"/>
      <c r="LVX141" s="91"/>
      <c r="LWA141" s="89"/>
      <c r="LWC141" s="91"/>
      <c r="LWF141" s="89"/>
      <c r="LWH141" s="91"/>
      <c r="LWK141" s="89"/>
      <c r="LWM141" s="91"/>
      <c r="LWP141" s="89"/>
      <c r="LWR141" s="91"/>
      <c r="LWU141" s="89"/>
      <c r="LWW141" s="91"/>
      <c r="LWZ141" s="89"/>
      <c r="LXB141" s="91"/>
      <c r="LXE141" s="89"/>
      <c r="LXG141" s="91"/>
      <c r="LXJ141" s="89"/>
      <c r="LXL141" s="91"/>
      <c r="LXO141" s="89"/>
      <c r="LXQ141" s="91"/>
      <c r="LXT141" s="89"/>
      <c r="LXV141" s="91"/>
      <c r="LXY141" s="89"/>
      <c r="LYA141" s="91"/>
      <c r="LYD141" s="89"/>
      <c r="LYF141" s="91"/>
      <c r="LYI141" s="89"/>
      <c r="LYK141" s="91"/>
      <c r="LYN141" s="89"/>
      <c r="LYP141" s="91"/>
      <c r="LYS141" s="89"/>
      <c r="LYU141" s="91"/>
      <c r="LYX141" s="89"/>
      <c r="LYZ141" s="91"/>
      <c r="LZC141" s="89"/>
      <c r="LZE141" s="91"/>
      <c r="LZH141" s="89"/>
      <c r="LZJ141" s="91"/>
      <c r="LZM141" s="89"/>
      <c r="LZO141" s="91"/>
      <c r="LZR141" s="89"/>
      <c r="LZT141" s="91"/>
      <c r="LZW141" s="89"/>
      <c r="LZY141" s="91"/>
      <c r="MAB141" s="89"/>
      <c r="MAD141" s="91"/>
      <c r="MAG141" s="89"/>
      <c r="MAI141" s="91"/>
      <c r="MAL141" s="89"/>
      <c r="MAN141" s="91"/>
      <c r="MAQ141" s="89"/>
      <c r="MAS141" s="91"/>
      <c r="MAV141" s="89"/>
      <c r="MAX141" s="91"/>
      <c r="MBA141" s="89"/>
      <c r="MBC141" s="91"/>
      <c r="MBF141" s="89"/>
      <c r="MBH141" s="91"/>
      <c r="MBK141" s="89"/>
      <c r="MBM141" s="91"/>
      <c r="MBP141" s="89"/>
      <c r="MBR141" s="91"/>
      <c r="MBU141" s="89"/>
      <c r="MBW141" s="91"/>
      <c r="MBZ141" s="89"/>
      <c r="MCB141" s="91"/>
      <c r="MCE141" s="89"/>
      <c r="MCG141" s="91"/>
      <c r="MCJ141" s="89"/>
      <c r="MCL141" s="91"/>
      <c r="MCO141" s="89"/>
      <c r="MCQ141" s="91"/>
      <c r="MCT141" s="89"/>
      <c r="MCV141" s="91"/>
      <c r="MCY141" s="89"/>
      <c r="MDA141" s="91"/>
      <c r="MDD141" s="89"/>
      <c r="MDF141" s="91"/>
      <c r="MDI141" s="89"/>
      <c r="MDK141" s="91"/>
      <c r="MDN141" s="89"/>
      <c r="MDP141" s="91"/>
      <c r="MDS141" s="89"/>
      <c r="MDU141" s="91"/>
      <c r="MDX141" s="89"/>
      <c r="MDZ141" s="91"/>
      <c r="MEC141" s="89"/>
      <c r="MEE141" s="91"/>
      <c r="MEH141" s="89"/>
      <c r="MEJ141" s="91"/>
      <c r="MEM141" s="89"/>
      <c r="MEO141" s="91"/>
      <c r="MER141" s="89"/>
      <c r="MET141" s="91"/>
      <c r="MEW141" s="89"/>
      <c r="MEY141" s="91"/>
      <c r="MFB141" s="89"/>
      <c r="MFD141" s="91"/>
      <c r="MFG141" s="89"/>
      <c r="MFI141" s="91"/>
      <c r="MFL141" s="89"/>
      <c r="MFN141" s="91"/>
      <c r="MFQ141" s="89"/>
      <c r="MFS141" s="91"/>
      <c r="MFV141" s="89"/>
      <c r="MFX141" s="91"/>
      <c r="MGA141" s="89"/>
      <c r="MGC141" s="91"/>
      <c r="MGF141" s="89"/>
      <c r="MGH141" s="91"/>
      <c r="MGK141" s="89"/>
      <c r="MGM141" s="91"/>
      <c r="MGP141" s="89"/>
      <c r="MGR141" s="91"/>
      <c r="MGU141" s="89"/>
      <c r="MGW141" s="91"/>
      <c r="MGZ141" s="89"/>
      <c r="MHB141" s="91"/>
      <c r="MHE141" s="89"/>
      <c r="MHG141" s="91"/>
      <c r="MHJ141" s="89"/>
      <c r="MHL141" s="91"/>
      <c r="MHO141" s="89"/>
      <c r="MHQ141" s="91"/>
      <c r="MHT141" s="89"/>
      <c r="MHV141" s="91"/>
      <c r="MHY141" s="89"/>
      <c r="MIA141" s="91"/>
      <c r="MID141" s="89"/>
      <c r="MIF141" s="91"/>
      <c r="MII141" s="89"/>
      <c r="MIK141" s="91"/>
      <c r="MIN141" s="89"/>
      <c r="MIP141" s="91"/>
      <c r="MIS141" s="89"/>
      <c r="MIU141" s="91"/>
      <c r="MIX141" s="89"/>
      <c r="MIZ141" s="91"/>
      <c r="MJC141" s="89"/>
      <c r="MJE141" s="91"/>
      <c r="MJH141" s="89"/>
      <c r="MJJ141" s="91"/>
      <c r="MJM141" s="89"/>
      <c r="MJO141" s="91"/>
      <c r="MJR141" s="89"/>
      <c r="MJT141" s="91"/>
      <c r="MJW141" s="89"/>
      <c r="MJY141" s="91"/>
      <c r="MKB141" s="89"/>
      <c r="MKD141" s="91"/>
      <c r="MKG141" s="89"/>
      <c r="MKI141" s="91"/>
      <c r="MKL141" s="89"/>
      <c r="MKN141" s="91"/>
      <c r="MKQ141" s="89"/>
      <c r="MKS141" s="91"/>
      <c r="MKV141" s="89"/>
      <c r="MKX141" s="91"/>
      <c r="MLA141" s="89"/>
      <c r="MLC141" s="91"/>
      <c r="MLF141" s="89"/>
      <c r="MLH141" s="91"/>
      <c r="MLK141" s="89"/>
      <c r="MLM141" s="91"/>
      <c r="MLP141" s="89"/>
      <c r="MLR141" s="91"/>
      <c r="MLU141" s="89"/>
      <c r="MLW141" s="91"/>
      <c r="MLZ141" s="89"/>
      <c r="MMB141" s="91"/>
      <c r="MME141" s="89"/>
      <c r="MMG141" s="91"/>
      <c r="MMJ141" s="89"/>
      <c r="MML141" s="91"/>
      <c r="MMO141" s="89"/>
      <c r="MMQ141" s="91"/>
      <c r="MMT141" s="89"/>
      <c r="MMV141" s="91"/>
      <c r="MMY141" s="89"/>
      <c r="MNA141" s="91"/>
      <c r="MND141" s="89"/>
      <c r="MNF141" s="91"/>
      <c r="MNI141" s="89"/>
      <c r="MNK141" s="91"/>
      <c r="MNN141" s="89"/>
      <c r="MNP141" s="91"/>
      <c r="MNS141" s="89"/>
      <c r="MNU141" s="91"/>
      <c r="MNX141" s="89"/>
      <c r="MNZ141" s="91"/>
      <c r="MOC141" s="89"/>
      <c r="MOE141" s="91"/>
      <c r="MOH141" s="89"/>
      <c r="MOJ141" s="91"/>
      <c r="MOM141" s="89"/>
      <c r="MOO141" s="91"/>
      <c r="MOR141" s="89"/>
      <c r="MOT141" s="91"/>
      <c r="MOW141" s="89"/>
      <c r="MOY141" s="91"/>
      <c r="MPB141" s="89"/>
      <c r="MPD141" s="91"/>
      <c r="MPG141" s="89"/>
      <c r="MPI141" s="91"/>
      <c r="MPL141" s="89"/>
      <c r="MPN141" s="91"/>
      <c r="MPQ141" s="89"/>
      <c r="MPS141" s="91"/>
      <c r="MPV141" s="89"/>
      <c r="MPX141" s="91"/>
      <c r="MQA141" s="89"/>
      <c r="MQC141" s="91"/>
      <c r="MQF141" s="89"/>
      <c r="MQH141" s="91"/>
      <c r="MQK141" s="89"/>
      <c r="MQM141" s="91"/>
      <c r="MQP141" s="89"/>
      <c r="MQR141" s="91"/>
      <c r="MQU141" s="89"/>
      <c r="MQW141" s="91"/>
      <c r="MQZ141" s="89"/>
      <c r="MRB141" s="91"/>
      <c r="MRE141" s="89"/>
      <c r="MRG141" s="91"/>
      <c r="MRJ141" s="89"/>
      <c r="MRL141" s="91"/>
      <c r="MRO141" s="89"/>
      <c r="MRQ141" s="91"/>
      <c r="MRT141" s="89"/>
      <c r="MRV141" s="91"/>
      <c r="MRY141" s="89"/>
      <c r="MSA141" s="91"/>
      <c r="MSD141" s="89"/>
      <c r="MSF141" s="91"/>
      <c r="MSI141" s="89"/>
      <c r="MSK141" s="91"/>
      <c r="MSN141" s="89"/>
      <c r="MSP141" s="91"/>
      <c r="MSS141" s="89"/>
      <c r="MSU141" s="91"/>
      <c r="MSX141" s="89"/>
      <c r="MSZ141" s="91"/>
      <c r="MTC141" s="89"/>
      <c r="MTE141" s="91"/>
      <c r="MTH141" s="89"/>
      <c r="MTJ141" s="91"/>
      <c r="MTM141" s="89"/>
      <c r="MTO141" s="91"/>
      <c r="MTR141" s="89"/>
      <c r="MTT141" s="91"/>
      <c r="MTW141" s="89"/>
      <c r="MTY141" s="91"/>
      <c r="MUB141" s="89"/>
      <c r="MUD141" s="91"/>
      <c r="MUG141" s="89"/>
      <c r="MUI141" s="91"/>
      <c r="MUL141" s="89"/>
      <c r="MUN141" s="91"/>
      <c r="MUQ141" s="89"/>
      <c r="MUS141" s="91"/>
      <c r="MUV141" s="89"/>
      <c r="MUX141" s="91"/>
      <c r="MVA141" s="89"/>
      <c r="MVC141" s="91"/>
      <c r="MVF141" s="89"/>
      <c r="MVH141" s="91"/>
      <c r="MVK141" s="89"/>
      <c r="MVM141" s="91"/>
      <c r="MVP141" s="89"/>
      <c r="MVR141" s="91"/>
      <c r="MVU141" s="89"/>
      <c r="MVW141" s="91"/>
      <c r="MVZ141" s="89"/>
      <c r="MWB141" s="91"/>
      <c r="MWE141" s="89"/>
      <c r="MWG141" s="91"/>
      <c r="MWJ141" s="89"/>
      <c r="MWL141" s="91"/>
      <c r="MWO141" s="89"/>
      <c r="MWQ141" s="91"/>
      <c r="MWT141" s="89"/>
      <c r="MWV141" s="91"/>
      <c r="MWY141" s="89"/>
      <c r="MXA141" s="91"/>
      <c r="MXD141" s="89"/>
      <c r="MXF141" s="91"/>
      <c r="MXI141" s="89"/>
      <c r="MXK141" s="91"/>
      <c r="MXN141" s="89"/>
      <c r="MXP141" s="91"/>
      <c r="MXS141" s="89"/>
      <c r="MXU141" s="91"/>
      <c r="MXX141" s="89"/>
      <c r="MXZ141" s="91"/>
      <c r="MYC141" s="89"/>
      <c r="MYE141" s="91"/>
      <c r="MYH141" s="89"/>
      <c r="MYJ141" s="91"/>
      <c r="MYM141" s="89"/>
      <c r="MYO141" s="91"/>
      <c r="MYR141" s="89"/>
      <c r="MYT141" s="91"/>
      <c r="MYW141" s="89"/>
      <c r="MYY141" s="91"/>
      <c r="MZB141" s="89"/>
      <c r="MZD141" s="91"/>
      <c r="MZG141" s="89"/>
      <c r="MZI141" s="91"/>
      <c r="MZL141" s="89"/>
      <c r="MZN141" s="91"/>
      <c r="MZQ141" s="89"/>
      <c r="MZS141" s="91"/>
      <c r="MZV141" s="89"/>
      <c r="MZX141" s="91"/>
      <c r="NAA141" s="89"/>
      <c r="NAC141" s="91"/>
      <c r="NAF141" s="89"/>
      <c r="NAH141" s="91"/>
      <c r="NAK141" s="89"/>
      <c r="NAM141" s="91"/>
      <c r="NAP141" s="89"/>
      <c r="NAR141" s="91"/>
      <c r="NAU141" s="89"/>
      <c r="NAW141" s="91"/>
      <c r="NAZ141" s="89"/>
      <c r="NBB141" s="91"/>
      <c r="NBE141" s="89"/>
      <c r="NBG141" s="91"/>
      <c r="NBJ141" s="89"/>
      <c r="NBL141" s="91"/>
      <c r="NBO141" s="89"/>
      <c r="NBQ141" s="91"/>
      <c r="NBT141" s="89"/>
      <c r="NBV141" s="91"/>
      <c r="NBY141" s="89"/>
      <c r="NCA141" s="91"/>
      <c r="NCD141" s="89"/>
      <c r="NCF141" s="91"/>
      <c r="NCI141" s="89"/>
      <c r="NCK141" s="91"/>
      <c r="NCN141" s="89"/>
      <c r="NCP141" s="91"/>
      <c r="NCS141" s="89"/>
      <c r="NCU141" s="91"/>
      <c r="NCX141" s="89"/>
      <c r="NCZ141" s="91"/>
      <c r="NDC141" s="89"/>
      <c r="NDE141" s="91"/>
      <c r="NDH141" s="89"/>
      <c r="NDJ141" s="91"/>
      <c r="NDM141" s="89"/>
      <c r="NDO141" s="91"/>
      <c r="NDR141" s="89"/>
      <c r="NDT141" s="91"/>
      <c r="NDW141" s="89"/>
      <c r="NDY141" s="91"/>
      <c r="NEB141" s="89"/>
      <c r="NED141" s="91"/>
      <c r="NEG141" s="89"/>
      <c r="NEI141" s="91"/>
      <c r="NEL141" s="89"/>
      <c r="NEN141" s="91"/>
      <c r="NEQ141" s="89"/>
      <c r="NES141" s="91"/>
      <c r="NEV141" s="89"/>
      <c r="NEX141" s="91"/>
      <c r="NFA141" s="89"/>
      <c r="NFC141" s="91"/>
      <c r="NFF141" s="89"/>
      <c r="NFH141" s="91"/>
      <c r="NFK141" s="89"/>
      <c r="NFM141" s="91"/>
      <c r="NFP141" s="89"/>
      <c r="NFR141" s="91"/>
      <c r="NFU141" s="89"/>
      <c r="NFW141" s="91"/>
      <c r="NFZ141" s="89"/>
      <c r="NGB141" s="91"/>
      <c r="NGE141" s="89"/>
      <c r="NGG141" s="91"/>
      <c r="NGJ141" s="89"/>
      <c r="NGL141" s="91"/>
      <c r="NGO141" s="89"/>
      <c r="NGQ141" s="91"/>
      <c r="NGT141" s="89"/>
      <c r="NGV141" s="91"/>
      <c r="NGY141" s="89"/>
      <c r="NHA141" s="91"/>
      <c r="NHD141" s="89"/>
      <c r="NHF141" s="91"/>
      <c r="NHI141" s="89"/>
      <c r="NHK141" s="91"/>
      <c r="NHN141" s="89"/>
      <c r="NHP141" s="91"/>
      <c r="NHS141" s="89"/>
      <c r="NHU141" s="91"/>
      <c r="NHX141" s="89"/>
      <c r="NHZ141" s="91"/>
      <c r="NIC141" s="89"/>
      <c r="NIE141" s="91"/>
      <c r="NIH141" s="89"/>
      <c r="NIJ141" s="91"/>
      <c r="NIM141" s="89"/>
      <c r="NIO141" s="91"/>
      <c r="NIR141" s="89"/>
      <c r="NIT141" s="91"/>
      <c r="NIW141" s="89"/>
      <c r="NIY141" s="91"/>
      <c r="NJB141" s="89"/>
      <c r="NJD141" s="91"/>
      <c r="NJG141" s="89"/>
      <c r="NJI141" s="91"/>
      <c r="NJL141" s="89"/>
      <c r="NJN141" s="91"/>
      <c r="NJQ141" s="89"/>
      <c r="NJS141" s="91"/>
      <c r="NJV141" s="89"/>
      <c r="NJX141" s="91"/>
      <c r="NKA141" s="89"/>
      <c r="NKC141" s="91"/>
      <c r="NKF141" s="89"/>
      <c r="NKH141" s="91"/>
      <c r="NKK141" s="89"/>
      <c r="NKM141" s="91"/>
      <c r="NKP141" s="89"/>
      <c r="NKR141" s="91"/>
      <c r="NKU141" s="89"/>
      <c r="NKW141" s="91"/>
      <c r="NKZ141" s="89"/>
      <c r="NLB141" s="91"/>
      <c r="NLE141" s="89"/>
      <c r="NLG141" s="91"/>
      <c r="NLJ141" s="89"/>
      <c r="NLL141" s="91"/>
      <c r="NLO141" s="89"/>
      <c r="NLQ141" s="91"/>
      <c r="NLT141" s="89"/>
      <c r="NLV141" s="91"/>
      <c r="NLY141" s="89"/>
      <c r="NMA141" s="91"/>
      <c r="NMD141" s="89"/>
      <c r="NMF141" s="91"/>
      <c r="NMI141" s="89"/>
      <c r="NMK141" s="91"/>
      <c r="NMN141" s="89"/>
      <c r="NMP141" s="91"/>
      <c r="NMS141" s="89"/>
      <c r="NMU141" s="91"/>
      <c r="NMX141" s="89"/>
      <c r="NMZ141" s="91"/>
      <c r="NNC141" s="89"/>
      <c r="NNE141" s="91"/>
      <c r="NNH141" s="89"/>
      <c r="NNJ141" s="91"/>
      <c r="NNM141" s="89"/>
      <c r="NNO141" s="91"/>
      <c r="NNR141" s="89"/>
      <c r="NNT141" s="91"/>
      <c r="NNW141" s="89"/>
      <c r="NNY141" s="91"/>
      <c r="NOB141" s="89"/>
      <c r="NOD141" s="91"/>
      <c r="NOG141" s="89"/>
      <c r="NOI141" s="91"/>
      <c r="NOL141" s="89"/>
      <c r="NON141" s="91"/>
      <c r="NOQ141" s="89"/>
      <c r="NOS141" s="91"/>
      <c r="NOV141" s="89"/>
      <c r="NOX141" s="91"/>
      <c r="NPA141" s="89"/>
      <c r="NPC141" s="91"/>
      <c r="NPF141" s="89"/>
      <c r="NPH141" s="91"/>
      <c r="NPK141" s="89"/>
      <c r="NPM141" s="91"/>
      <c r="NPP141" s="89"/>
      <c r="NPR141" s="91"/>
      <c r="NPU141" s="89"/>
      <c r="NPW141" s="91"/>
      <c r="NPZ141" s="89"/>
      <c r="NQB141" s="91"/>
      <c r="NQE141" s="89"/>
      <c r="NQG141" s="91"/>
      <c r="NQJ141" s="89"/>
      <c r="NQL141" s="91"/>
      <c r="NQO141" s="89"/>
      <c r="NQQ141" s="91"/>
      <c r="NQT141" s="89"/>
      <c r="NQV141" s="91"/>
      <c r="NQY141" s="89"/>
      <c r="NRA141" s="91"/>
      <c r="NRD141" s="89"/>
      <c r="NRF141" s="91"/>
      <c r="NRI141" s="89"/>
      <c r="NRK141" s="91"/>
      <c r="NRN141" s="89"/>
      <c r="NRP141" s="91"/>
      <c r="NRS141" s="89"/>
      <c r="NRU141" s="91"/>
      <c r="NRX141" s="89"/>
      <c r="NRZ141" s="91"/>
      <c r="NSC141" s="89"/>
      <c r="NSE141" s="91"/>
      <c r="NSH141" s="89"/>
      <c r="NSJ141" s="91"/>
      <c r="NSM141" s="89"/>
      <c r="NSO141" s="91"/>
      <c r="NSR141" s="89"/>
      <c r="NST141" s="91"/>
      <c r="NSW141" s="89"/>
      <c r="NSY141" s="91"/>
      <c r="NTB141" s="89"/>
      <c r="NTD141" s="91"/>
      <c r="NTG141" s="89"/>
      <c r="NTI141" s="91"/>
      <c r="NTL141" s="89"/>
      <c r="NTN141" s="91"/>
      <c r="NTQ141" s="89"/>
      <c r="NTS141" s="91"/>
      <c r="NTV141" s="89"/>
      <c r="NTX141" s="91"/>
      <c r="NUA141" s="89"/>
      <c r="NUC141" s="91"/>
      <c r="NUF141" s="89"/>
      <c r="NUH141" s="91"/>
      <c r="NUK141" s="89"/>
      <c r="NUM141" s="91"/>
      <c r="NUP141" s="89"/>
      <c r="NUR141" s="91"/>
      <c r="NUU141" s="89"/>
      <c r="NUW141" s="91"/>
      <c r="NUZ141" s="89"/>
      <c r="NVB141" s="91"/>
      <c r="NVE141" s="89"/>
      <c r="NVG141" s="91"/>
      <c r="NVJ141" s="89"/>
      <c r="NVL141" s="91"/>
      <c r="NVO141" s="89"/>
      <c r="NVQ141" s="91"/>
      <c r="NVT141" s="89"/>
      <c r="NVV141" s="91"/>
      <c r="NVY141" s="89"/>
      <c r="NWA141" s="91"/>
      <c r="NWD141" s="89"/>
      <c r="NWF141" s="91"/>
      <c r="NWI141" s="89"/>
      <c r="NWK141" s="91"/>
      <c r="NWN141" s="89"/>
      <c r="NWP141" s="91"/>
      <c r="NWS141" s="89"/>
      <c r="NWU141" s="91"/>
      <c r="NWX141" s="89"/>
      <c r="NWZ141" s="91"/>
      <c r="NXC141" s="89"/>
      <c r="NXE141" s="91"/>
      <c r="NXH141" s="89"/>
      <c r="NXJ141" s="91"/>
      <c r="NXM141" s="89"/>
      <c r="NXO141" s="91"/>
      <c r="NXR141" s="89"/>
      <c r="NXT141" s="91"/>
      <c r="NXW141" s="89"/>
      <c r="NXY141" s="91"/>
      <c r="NYB141" s="89"/>
      <c r="NYD141" s="91"/>
      <c r="NYG141" s="89"/>
      <c r="NYI141" s="91"/>
      <c r="NYL141" s="89"/>
      <c r="NYN141" s="91"/>
      <c r="NYQ141" s="89"/>
      <c r="NYS141" s="91"/>
      <c r="NYV141" s="89"/>
      <c r="NYX141" s="91"/>
      <c r="NZA141" s="89"/>
      <c r="NZC141" s="91"/>
      <c r="NZF141" s="89"/>
      <c r="NZH141" s="91"/>
      <c r="NZK141" s="89"/>
      <c r="NZM141" s="91"/>
      <c r="NZP141" s="89"/>
      <c r="NZR141" s="91"/>
      <c r="NZU141" s="89"/>
      <c r="NZW141" s="91"/>
      <c r="NZZ141" s="89"/>
      <c r="OAB141" s="91"/>
      <c r="OAE141" s="89"/>
      <c r="OAG141" s="91"/>
      <c r="OAJ141" s="89"/>
      <c r="OAL141" s="91"/>
      <c r="OAO141" s="89"/>
      <c r="OAQ141" s="91"/>
      <c r="OAT141" s="89"/>
      <c r="OAV141" s="91"/>
      <c r="OAY141" s="89"/>
      <c r="OBA141" s="91"/>
      <c r="OBD141" s="89"/>
      <c r="OBF141" s="91"/>
      <c r="OBI141" s="89"/>
      <c r="OBK141" s="91"/>
      <c r="OBN141" s="89"/>
      <c r="OBP141" s="91"/>
      <c r="OBS141" s="89"/>
      <c r="OBU141" s="91"/>
      <c r="OBX141" s="89"/>
      <c r="OBZ141" s="91"/>
      <c r="OCC141" s="89"/>
      <c r="OCE141" s="91"/>
      <c r="OCH141" s="89"/>
      <c r="OCJ141" s="91"/>
      <c r="OCM141" s="89"/>
      <c r="OCO141" s="91"/>
      <c r="OCR141" s="89"/>
      <c r="OCT141" s="91"/>
      <c r="OCW141" s="89"/>
      <c r="OCY141" s="91"/>
      <c r="ODB141" s="89"/>
      <c r="ODD141" s="91"/>
      <c r="ODG141" s="89"/>
      <c r="ODI141" s="91"/>
      <c r="ODL141" s="89"/>
      <c r="ODN141" s="91"/>
      <c r="ODQ141" s="89"/>
      <c r="ODS141" s="91"/>
      <c r="ODV141" s="89"/>
      <c r="ODX141" s="91"/>
      <c r="OEA141" s="89"/>
      <c r="OEC141" s="91"/>
      <c r="OEF141" s="89"/>
      <c r="OEH141" s="91"/>
      <c r="OEK141" s="89"/>
      <c r="OEM141" s="91"/>
      <c r="OEP141" s="89"/>
      <c r="OER141" s="91"/>
      <c r="OEU141" s="89"/>
      <c r="OEW141" s="91"/>
      <c r="OEZ141" s="89"/>
      <c r="OFB141" s="91"/>
      <c r="OFE141" s="89"/>
      <c r="OFG141" s="91"/>
      <c r="OFJ141" s="89"/>
      <c r="OFL141" s="91"/>
      <c r="OFO141" s="89"/>
      <c r="OFQ141" s="91"/>
      <c r="OFT141" s="89"/>
      <c r="OFV141" s="91"/>
      <c r="OFY141" s="89"/>
      <c r="OGA141" s="91"/>
      <c r="OGD141" s="89"/>
      <c r="OGF141" s="91"/>
      <c r="OGI141" s="89"/>
      <c r="OGK141" s="91"/>
      <c r="OGN141" s="89"/>
      <c r="OGP141" s="91"/>
      <c r="OGS141" s="89"/>
      <c r="OGU141" s="91"/>
      <c r="OGX141" s="89"/>
      <c r="OGZ141" s="91"/>
      <c r="OHC141" s="89"/>
      <c r="OHE141" s="91"/>
      <c r="OHH141" s="89"/>
      <c r="OHJ141" s="91"/>
      <c r="OHM141" s="89"/>
      <c r="OHO141" s="91"/>
      <c r="OHR141" s="89"/>
      <c r="OHT141" s="91"/>
      <c r="OHW141" s="89"/>
      <c r="OHY141" s="91"/>
      <c r="OIB141" s="89"/>
      <c r="OID141" s="91"/>
      <c r="OIG141" s="89"/>
      <c r="OII141" s="91"/>
      <c r="OIL141" s="89"/>
      <c r="OIN141" s="91"/>
      <c r="OIQ141" s="89"/>
      <c r="OIS141" s="91"/>
      <c r="OIV141" s="89"/>
      <c r="OIX141" s="91"/>
      <c r="OJA141" s="89"/>
      <c r="OJC141" s="91"/>
      <c r="OJF141" s="89"/>
      <c r="OJH141" s="91"/>
      <c r="OJK141" s="89"/>
      <c r="OJM141" s="91"/>
      <c r="OJP141" s="89"/>
      <c r="OJR141" s="91"/>
      <c r="OJU141" s="89"/>
      <c r="OJW141" s="91"/>
      <c r="OJZ141" s="89"/>
      <c r="OKB141" s="91"/>
      <c r="OKE141" s="89"/>
      <c r="OKG141" s="91"/>
      <c r="OKJ141" s="89"/>
      <c r="OKL141" s="91"/>
      <c r="OKO141" s="89"/>
      <c r="OKQ141" s="91"/>
      <c r="OKT141" s="89"/>
      <c r="OKV141" s="91"/>
      <c r="OKY141" s="89"/>
      <c r="OLA141" s="91"/>
      <c r="OLD141" s="89"/>
      <c r="OLF141" s="91"/>
      <c r="OLI141" s="89"/>
      <c r="OLK141" s="91"/>
      <c r="OLN141" s="89"/>
      <c r="OLP141" s="91"/>
      <c r="OLS141" s="89"/>
      <c r="OLU141" s="91"/>
      <c r="OLX141" s="89"/>
      <c r="OLZ141" s="91"/>
      <c r="OMC141" s="89"/>
      <c r="OME141" s="91"/>
      <c r="OMH141" s="89"/>
      <c r="OMJ141" s="91"/>
      <c r="OMM141" s="89"/>
      <c r="OMO141" s="91"/>
      <c r="OMR141" s="89"/>
      <c r="OMT141" s="91"/>
      <c r="OMW141" s="89"/>
      <c r="OMY141" s="91"/>
      <c r="ONB141" s="89"/>
      <c r="OND141" s="91"/>
      <c r="ONG141" s="89"/>
      <c r="ONI141" s="91"/>
      <c r="ONL141" s="89"/>
      <c r="ONN141" s="91"/>
      <c r="ONQ141" s="89"/>
      <c r="ONS141" s="91"/>
      <c r="ONV141" s="89"/>
      <c r="ONX141" s="91"/>
      <c r="OOA141" s="89"/>
      <c r="OOC141" s="91"/>
      <c r="OOF141" s="89"/>
      <c r="OOH141" s="91"/>
      <c r="OOK141" s="89"/>
      <c r="OOM141" s="91"/>
      <c r="OOP141" s="89"/>
      <c r="OOR141" s="91"/>
      <c r="OOU141" s="89"/>
      <c r="OOW141" s="91"/>
      <c r="OOZ141" s="89"/>
      <c r="OPB141" s="91"/>
      <c r="OPE141" s="89"/>
      <c r="OPG141" s="91"/>
      <c r="OPJ141" s="89"/>
      <c r="OPL141" s="91"/>
      <c r="OPO141" s="89"/>
      <c r="OPQ141" s="91"/>
      <c r="OPT141" s="89"/>
      <c r="OPV141" s="91"/>
      <c r="OPY141" s="89"/>
      <c r="OQA141" s="91"/>
      <c r="OQD141" s="89"/>
      <c r="OQF141" s="91"/>
      <c r="OQI141" s="89"/>
      <c r="OQK141" s="91"/>
      <c r="OQN141" s="89"/>
      <c r="OQP141" s="91"/>
      <c r="OQS141" s="89"/>
      <c r="OQU141" s="91"/>
      <c r="OQX141" s="89"/>
      <c r="OQZ141" s="91"/>
      <c r="ORC141" s="89"/>
      <c r="ORE141" s="91"/>
      <c r="ORH141" s="89"/>
      <c r="ORJ141" s="91"/>
      <c r="ORM141" s="89"/>
      <c r="ORO141" s="91"/>
      <c r="ORR141" s="89"/>
      <c r="ORT141" s="91"/>
      <c r="ORW141" s="89"/>
      <c r="ORY141" s="91"/>
      <c r="OSB141" s="89"/>
      <c r="OSD141" s="91"/>
      <c r="OSG141" s="89"/>
      <c r="OSI141" s="91"/>
      <c r="OSL141" s="89"/>
      <c r="OSN141" s="91"/>
      <c r="OSQ141" s="89"/>
      <c r="OSS141" s="91"/>
      <c r="OSV141" s="89"/>
      <c r="OSX141" s="91"/>
      <c r="OTA141" s="89"/>
      <c r="OTC141" s="91"/>
      <c r="OTF141" s="89"/>
      <c r="OTH141" s="91"/>
      <c r="OTK141" s="89"/>
      <c r="OTM141" s="91"/>
      <c r="OTP141" s="89"/>
      <c r="OTR141" s="91"/>
      <c r="OTU141" s="89"/>
      <c r="OTW141" s="91"/>
      <c r="OTZ141" s="89"/>
      <c r="OUB141" s="91"/>
      <c r="OUE141" s="89"/>
      <c r="OUG141" s="91"/>
      <c r="OUJ141" s="89"/>
      <c r="OUL141" s="91"/>
      <c r="OUO141" s="89"/>
      <c r="OUQ141" s="91"/>
      <c r="OUT141" s="89"/>
      <c r="OUV141" s="91"/>
      <c r="OUY141" s="89"/>
      <c r="OVA141" s="91"/>
      <c r="OVD141" s="89"/>
      <c r="OVF141" s="91"/>
      <c r="OVI141" s="89"/>
      <c r="OVK141" s="91"/>
      <c r="OVN141" s="89"/>
      <c r="OVP141" s="91"/>
      <c r="OVS141" s="89"/>
      <c r="OVU141" s="91"/>
      <c r="OVX141" s="89"/>
      <c r="OVZ141" s="91"/>
      <c r="OWC141" s="89"/>
      <c r="OWE141" s="91"/>
      <c r="OWH141" s="89"/>
      <c r="OWJ141" s="91"/>
      <c r="OWM141" s="89"/>
      <c r="OWO141" s="91"/>
      <c r="OWR141" s="89"/>
      <c r="OWT141" s="91"/>
      <c r="OWW141" s="89"/>
      <c r="OWY141" s="91"/>
      <c r="OXB141" s="89"/>
      <c r="OXD141" s="91"/>
      <c r="OXG141" s="89"/>
      <c r="OXI141" s="91"/>
      <c r="OXL141" s="89"/>
      <c r="OXN141" s="91"/>
      <c r="OXQ141" s="89"/>
      <c r="OXS141" s="91"/>
      <c r="OXV141" s="89"/>
      <c r="OXX141" s="91"/>
      <c r="OYA141" s="89"/>
      <c r="OYC141" s="91"/>
      <c r="OYF141" s="89"/>
      <c r="OYH141" s="91"/>
      <c r="OYK141" s="89"/>
      <c r="OYM141" s="91"/>
      <c r="OYP141" s="89"/>
      <c r="OYR141" s="91"/>
      <c r="OYU141" s="89"/>
      <c r="OYW141" s="91"/>
      <c r="OYZ141" s="89"/>
      <c r="OZB141" s="91"/>
      <c r="OZE141" s="89"/>
      <c r="OZG141" s="91"/>
      <c r="OZJ141" s="89"/>
      <c r="OZL141" s="91"/>
      <c r="OZO141" s="89"/>
      <c r="OZQ141" s="91"/>
      <c r="OZT141" s="89"/>
      <c r="OZV141" s="91"/>
      <c r="OZY141" s="89"/>
      <c r="PAA141" s="91"/>
      <c r="PAD141" s="89"/>
      <c r="PAF141" s="91"/>
      <c r="PAI141" s="89"/>
      <c r="PAK141" s="91"/>
      <c r="PAN141" s="89"/>
      <c r="PAP141" s="91"/>
      <c r="PAS141" s="89"/>
      <c r="PAU141" s="91"/>
      <c r="PAX141" s="89"/>
      <c r="PAZ141" s="91"/>
      <c r="PBC141" s="89"/>
      <c r="PBE141" s="91"/>
      <c r="PBH141" s="89"/>
      <c r="PBJ141" s="91"/>
      <c r="PBM141" s="89"/>
      <c r="PBO141" s="91"/>
      <c r="PBR141" s="89"/>
      <c r="PBT141" s="91"/>
      <c r="PBW141" s="89"/>
      <c r="PBY141" s="91"/>
      <c r="PCB141" s="89"/>
      <c r="PCD141" s="91"/>
      <c r="PCG141" s="89"/>
      <c r="PCI141" s="91"/>
      <c r="PCL141" s="89"/>
      <c r="PCN141" s="91"/>
      <c r="PCQ141" s="89"/>
      <c r="PCS141" s="91"/>
      <c r="PCV141" s="89"/>
      <c r="PCX141" s="91"/>
      <c r="PDA141" s="89"/>
      <c r="PDC141" s="91"/>
      <c r="PDF141" s="89"/>
      <c r="PDH141" s="91"/>
      <c r="PDK141" s="89"/>
      <c r="PDM141" s="91"/>
      <c r="PDP141" s="89"/>
      <c r="PDR141" s="91"/>
      <c r="PDU141" s="89"/>
      <c r="PDW141" s="91"/>
      <c r="PDZ141" s="89"/>
      <c r="PEB141" s="91"/>
      <c r="PEE141" s="89"/>
      <c r="PEG141" s="91"/>
      <c r="PEJ141" s="89"/>
      <c r="PEL141" s="91"/>
      <c r="PEO141" s="89"/>
      <c r="PEQ141" s="91"/>
      <c r="PET141" s="89"/>
      <c r="PEV141" s="91"/>
      <c r="PEY141" s="89"/>
      <c r="PFA141" s="91"/>
      <c r="PFD141" s="89"/>
      <c r="PFF141" s="91"/>
      <c r="PFI141" s="89"/>
      <c r="PFK141" s="91"/>
      <c r="PFN141" s="89"/>
      <c r="PFP141" s="91"/>
      <c r="PFS141" s="89"/>
      <c r="PFU141" s="91"/>
      <c r="PFX141" s="89"/>
      <c r="PFZ141" s="91"/>
      <c r="PGC141" s="89"/>
      <c r="PGE141" s="91"/>
      <c r="PGH141" s="89"/>
      <c r="PGJ141" s="91"/>
      <c r="PGM141" s="89"/>
      <c r="PGO141" s="91"/>
      <c r="PGR141" s="89"/>
      <c r="PGT141" s="91"/>
      <c r="PGW141" s="89"/>
      <c r="PGY141" s="91"/>
      <c r="PHB141" s="89"/>
      <c r="PHD141" s="91"/>
      <c r="PHG141" s="89"/>
      <c r="PHI141" s="91"/>
      <c r="PHL141" s="89"/>
      <c r="PHN141" s="91"/>
      <c r="PHQ141" s="89"/>
      <c r="PHS141" s="91"/>
      <c r="PHV141" s="89"/>
      <c r="PHX141" s="91"/>
      <c r="PIA141" s="89"/>
      <c r="PIC141" s="91"/>
      <c r="PIF141" s="89"/>
      <c r="PIH141" s="91"/>
      <c r="PIK141" s="89"/>
      <c r="PIM141" s="91"/>
      <c r="PIP141" s="89"/>
      <c r="PIR141" s="91"/>
      <c r="PIU141" s="89"/>
      <c r="PIW141" s="91"/>
      <c r="PIZ141" s="89"/>
      <c r="PJB141" s="91"/>
      <c r="PJE141" s="89"/>
      <c r="PJG141" s="91"/>
      <c r="PJJ141" s="89"/>
      <c r="PJL141" s="91"/>
      <c r="PJO141" s="89"/>
      <c r="PJQ141" s="91"/>
      <c r="PJT141" s="89"/>
      <c r="PJV141" s="91"/>
      <c r="PJY141" s="89"/>
      <c r="PKA141" s="91"/>
      <c r="PKD141" s="89"/>
      <c r="PKF141" s="91"/>
      <c r="PKI141" s="89"/>
      <c r="PKK141" s="91"/>
      <c r="PKN141" s="89"/>
      <c r="PKP141" s="91"/>
      <c r="PKS141" s="89"/>
      <c r="PKU141" s="91"/>
      <c r="PKX141" s="89"/>
      <c r="PKZ141" s="91"/>
      <c r="PLC141" s="89"/>
      <c r="PLE141" s="91"/>
      <c r="PLH141" s="89"/>
      <c r="PLJ141" s="91"/>
      <c r="PLM141" s="89"/>
      <c r="PLO141" s="91"/>
      <c r="PLR141" s="89"/>
      <c r="PLT141" s="91"/>
      <c r="PLW141" s="89"/>
      <c r="PLY141" s="91"/>
      <c r="PMB141" s="89"/>
      <c r="PMD141" s="91"/>
      <c r="PMG141" s="89"/>
      <c r="PMI141" s="91"/>
      <c r="PML141" s="89"/>
      <c r="PMN141" s="91"/>
      <c r="PMQ141" s="89"/>
      <c r="PMS141" s="91"/>
      <c r="PMV141" s="89"/>
      <c r="PMX141" s="91"/>
      <c r="PNA141" s="89"/>
      <c r="PNC141" s="91"/>
      <c r="PNF141" s="89"/>
      <c r="PNH141" s="91"/>
      <c r="PNK141" s="89"/>
      <c r="PNM141" s="91"/>
      <c r="PNP141" s="89"/>
      <c r="PNR141" s="91"/>
      <c r="PNU141" s="89"/>
      <c r="PNW141" s="91"/>
      <c r="PNZ141" s="89"/>
      <c r="POB141" s="91"/>
      <c r="POE141" s="89"/>
      <c r="POG141" s="91"/>
      <c r="POJ141" s="89"/>
      <c r="POL141" s="91"/>
      <c r="POO141" s="89"/>
      <c r="POQ141" s="91"/>
      <c r="POT141" s="89"/>
      <c r="POV141" s="91"/>
      <c r="POY141" s="89"/>
      <c r="PPA141" s="91"/>
      <c r="PPD141" s="89"/>
      <c r="PPF141" s="91"/>
      <c r="PPI141" s="89"/>
      <c r="PPK141" s="91"/>
      <c r="PPN141" s="89"/>
      <c r="PPP141" s="91"/>
      <c r="PPS141" s="89"/>
      <c r="PPU141" s="91"/>
      <c r="PPX141" s="89"/>
      <c r="PPZ141" s="91"/>
      <c r="PQC141" s="89"/>
      <c r="PQE141" s="91"/>
      <c r="PQH141" s="89"/>
      <c r="PQJ141" s="91"/>
      <c r="PQM141" s="89"/>
      <c r="PQO141" s="91"/>
      <c r="PQR141" s="89"/>
      <c r="PQT141" s="91"/>
      <c r="PQW141" s="89"/>
      <c r="PQY141" s="91"/>
      <c r="PRB141" s="89"/>
      <c r="PRD141" s="91"/>
      <c r="PRG141" s="89"/>
      <c r="PRI141" s="91"/>
      <c r="PRL141" s="89"/>
      <c r="PRN141" s="91"/>
      <c r="PRQ141" s="89"/>
      <c r="PRS141" s="91"/>
      <c r="PRV141" s="89"/>
      <c r="PRX141" s="91"/>
      <c r="PSA141" s="89"/>
      <c r="PSC141" s="91"/>
      <c r="PSF141" s="89"/>
      <c r="PSH141" s="91"/>
      <c r="PSK141" s="89"/>
      <c r="PSM141" s="91"/>
      <c r="PSP141" s="89"/>
      <c r="PSR141" s="91"/>
      <c r="PSU141" s="89"/>
      <c r="PSW141" s="91"/>
      <c r="PSZ141" s="89"/>
      <c r="PTB141" s="91"/>
      <c r="PTE141" s="89"/>
      <c r="PTG141" s="91"/>
      <c r="PTJ141" s="89"/>
      <c r="PTL141" s="91"/>
      <c r="PTO141" s="89"/>
      <c r="PTQ141" s="91"/>
      <c r="PTT141" s="89"/>
      <c r="PTV141" s="91"/>
      <c r="PTY141" s="89"/>
      <c r="PUA141" s="91"/>
      <c r="PUD141" s="89"/>
      <c r="PUF141" s="91"/>
      <c r="PUI141" s="89"/>
      <c r="PUK141" s="91"/>
      <c r="PUN141" s="89"/>
      <c r="PUP141" s="91"/>
      <c r="PUS141" s="89"/>
      <c r="PUU141" s="91"/>
      <c r="PUX141" s="89"/>
      <c r="PUZ141" s="91"/>
      <c r="PVC141" s="89"/>
      <c r="PVE141" s="91"/>
      <c r="PVH141" s="89"/>
      <c r="PVJ141" s="91"/>
      <c r="PVM141" s="89"/>
      <c r="PVO141" s="91"/>
      <c r="PVR141" s="89"/>
      <c r="PVT141" s="91"/>
      <c r="PVW141" s="89"/>
      <c r="PVY141" s="91"/>
      <c r="PWB141" s="89"/>
      <c r="PWD141" s="91"/>
      <c r="PWG141" s="89"/>
      <c r="PWI141" s="91"/>
      <c r="PWL141" s="89"/>
      <c r="PWN141" s="91"/>
      <c r="PWQ141" s="89"/>
      <c r="PWS141" s="91"/>
      <c r="PWV141" s="89"/>
      <c r="PWX141" s="91"/>
      <c r="PXA141" s="89"/>
      <c r="PXC141" s="91"/>
      <c r="PXF141" s="89"/>
      <c r="PXH141" s="91"/>
      <c r="PXK141" s="89"/>
      <c r="PXM141" s="91"/>
      <c r="PXP141" s="89"/>
      <c r="PXR141" s="91"/>
      <c r="PXU141" s="89"/>
      <c r="PXW141" s="91"/>
      <c r="PXZ141" s="89"/>
      <c r="PYB141" s="91"/>
      <c r="PYE141" s="89"/>
      <c r="PYG141" s="91"/>
      <c r="PYJ141" s="89"/>
      <c r="PYL141" s="91"/>
      <c r="PYO141" s="89"/>
      <c r="PYQ141" s="91"/>
      <c r="PYT141" s="89"/>
      <c r="PYV141" s="91"/>
      <c r="PYY141" s="89"/>
      <c r="PZA141" s="91"/>
      <c r="PZD141" s="89"/>
      <c r="PZF141" s="91"/>
      <c r="PZI141" s="89"/>
      <c r="PZK141" s="91"/>
      <c r="PZN141" s="89"/>
      <c r="PZP141" s="91"/>
      <c r="PZS141" s="89"/>
      <c r="PZU141" s="91"/>
      <c r="PZX141" s="89"/>
      <c r="PZZ141" s="91"/>
      <c r="QAC141" s="89"/>
      <c r="QAE141" s="91"/>
      <c r="QAH141" s="89"/>
      <c r="QAJ141" s="91"/>
      <c r="QAM141" s="89"/>
      <c r="QAO141" s="91"/>
      <c r="QAR141" s="89"/>
      <c r="QAT141" s="91"/>
      <c r="QAW141" s="89"/>
      <c r="QAY141" s="91"/>
      <c r="QBB141" s="89"/>
      <c r="QBD141" s="91"/>
      <c r="QBG141" s="89"/>
      <c r="QBI141" s="91"/>
      <c r="QBL141" s="89"/>
      <c r="QBN141" s="91"/>
      <c r="QBQ141" s="89"/>
      <c r="QBS141" s="91"/>
      <c r="QBV141" s="89"/>
      <c r="QBX141" s="91"/>
      <c r="QCA141" s="89"/>
      <c r="QCC141" s="91"/>
      <c r="QCF141" s="89"/>
      <c r="QCH141" s="91"/>
      <c r="QCK141" s="89"/>
      <c r="QCM141" s="91"/>
      <c r="QCP141" s="89"/>
      <c r="QCR141" s="91"/>
      <c r="QCU141" s="89"/>
      <c r="QCW141" s="91"/>
      <c r="QCZ141" s="89"/>
      <c r="QDB141" s="91"/>
      <c r="QDE141" s="89"/>
      <c r="QDG141" s="91"/>
      <c r="QDJ141" s="89"/>
      <c r="QDL141" s="91"/>
      <c r="QDO141" s="89"/>
      <c r="QDQ141" s="91"/>
      <c r="QDT141" s="89"/>
      <c r="QDV141" s="91"/>
      <c r="QDY141" s="89"/>
      <c r="QEA141" s="91"/>
      <c r="QED141" s="89"/>
      <c r="QEF141" s="91"/>
      <c r="QEI141" s="89"/>
      <c r="QEK141" s="91"/>
      <c r="QEN141" s="89"/>
      <c r="QEP141" s="91"/>
      <c r="QES141" s="89"/>
      <c r="QEU141" s="91"/>
      <c r="QEX141" s="89"/>
      <c r="QEZ141" s="91"/>
      <c r="QFC141" s="89"/>
      <c r="QFE141" s="91"/>
      <c r="QFH141" s="89"/>
      <c r="QFJ141" s="91"/>
      <c r="QFM141" s="89"/>
      <c r="QFO141" s="91"/>
      <c r="QFR141" s="89"/>
      <c r="QFT141" s="91"/>
      <c r="QFW141" s="89"/>
      <c r="QFY141" s="91"/>
      <c r="QGB141" s="89"/>
      <c r="QGD141" s="91"/>
      <c r="QGG141" s="89"/>
      <c r="QGI141" s="91"/>
      <c r="QGL141" s="89"/>
      <c r="QGN141" s="91"/>
      <c r="QGQ141" s="89"/>
      <c r="QGS141" s="91"/>
      <c r="QGV141" s="89"/>
      <c r="QGX141" s="91"/>
      <c r="QHA141" s="89"/>
      <c r="QHC141" s="91"/>
      <c r="QHF141" s="89"/>
      <c r="QHH141" s="91"/>
      <c r="QHK141" s="89"/>
      <c r="QHM141" s="91"/>
      <c r="QHP141" s="89"/>
      <c r="QHR141" s="91"/>
      <c r="QHU141" s="89"/>
      <c r="QHW141" s="91"/>
      <c r="QHZ141" s="89"/>
      <c r="QIB141" s="91"/>
      <c r="QIE141" s="89"/>
      <c r="QIG141" s="91"/>
      <c r="QIJ141" s="89"/>
      <c r="QIL141" s="91"/>
      <c r="QIO141" s="89"/>
      <c r="QIQ141" s="91"/>
      <c r="QIT141" s="89"/>
      <c r="QIV141" s="91"/>
      <c r="QIY141" s="89"/>
      <c r="QJA141" s="91"/>
      <c r="QJD141" s="89"/>
      <c r="QJF141" s="91"/>
      <c r="QJI141" s="89"/>
      <c r="QJK141" s="91"/>
      <c r="QJN141" s="89"/>
      <c r="QJP141" s="91"/>
      <c r="QJS141" s="89"/>
      <c r="QJU141" s="91"/>
      <c r="QJX141" s="89"/>
      <c r="QJZ141" s="91"/>
      <c r="QKC141" s="89"/>
      <c r="QKE141" s="91"/>
      <c r="QKH141" s="89"/>
      <c r="QKJ141" s="91"/>
      <c r="QKM141" s="89"/>
      <c r="QKO141" s="91"/>
      <c r="QKR141" s="89"/>
      <c r="QKT141" s="91"/>
      <c r="QKW141" s="89"/>
      <c r="QKY141" s="91"/>
      <c r="QLB141" s="89"/>
      <c r="QLD141" s="91"/>
      <c r="QLG141" s="89"/>
      <c r="QLI141" s="91"/>
      <c r="QLL141" s="89"/>
      <c r="QLN141" s="91"/>
      <c r="QLQ141" s="89"/>
      <c r="QLS141" s="91"/>
      <c r="QLV141" s="89"/>
      <c r="QLX141" s="91"/>
      <c r="QMA141" s="89"/>
      <c r="QMC141" s="91"/>
      <c r="QMF141" s="89"/>
      <c r="QMH141" s="91"/>
      <c r="QMK141" s="89"/>
      <c r="QMM141" s="91"/>
      <c r="QMP141" s="89"/>
      <c r="QMR141" s="91"/>
      <c r="QMU141" s="89"/>
      <c r="QMW141" s="91"/>
      <c r="QMZ141" s="89"/>
      <c r="QNB141" s="91"/>
      <c r="QNE141" s="89"/>
      <c r="QNG141" s="91"/>
      <c r="QNJ141" s="89"/>
      <c r="QNL141" s="91"/>
      <c r="QNO141" s="89"/>
      <c r="QNQ141" s="91"/>
      <c r="QNT141" s="89"/>
      <c r="QNV141" s="91"/>
      <c r="QNY141" s="89"/>
      <c r="QOA141" s="91"/>
      <c r="QOD141" s="89"/>
      <c r="QOF141" s="91"/>
      <c r="QOI141" s="89"/>
      <c r="QOK141" s="91"/>
      <c r="QON141" s="89"/>
      <c r="QOP141" s="91"/>
      <c r="QOS141" s="89"/>
      <c r="QOU141" s="91"/>
      <c r="QOX141" s="89"/>
      <c r="QOZ141" s="91"/>
      <c r="QPC141" s="89"/>
      <c r="QPE141" s="91"/>
      <c r="QPH141" s="89"/>
      <c r="QPJ141" s="91"/>
      <c r="QPM141" s="89"/>
      <c r="QPO141" s="91"/>
      <c r="QPR141" s="89"/>
      <c r="QPT141" s="91"/>
      <c r="QPW141" s="89"/>
      <c r="QPY141" s="91"/>
      <c r="QQB141" s="89"/>
      <c r="QQD141" s="91"/>
      <c r="QQG141" s="89"/>
      <c r="QQI141" s="91"/>
      <c r="QQL141" s="89"/>
      <c r="QQN141" s="91"/>
      <c r="QQQ141" s="89"/>
      <c r="QQS141" s="91"/>
      <c r="QQV141" s="89"/>
      <c r="QQX141" s="91"/>
      <c r="QRA141" s="89"/>
      <c r="QRC141" s="91"/>
      <c r="QRF141" s="89"/>
      <c r="QRH141" s="91"/>
      <c r="QRK141" s="89"/>
      <c r="QRM141" s="91"/>
      <c r="QRP141" s="89"/>
      <c r="QRR141" s="91"/>
      <c r="QRU141" s="89"/>
      <c r="QRW141" s="91"/>
      <c r="QRZ141" s="89"/>
      <c r="QSB141" s="91"/>
      <c r="QSE141" s="89"/>
      <c r="QSG141" s="91"/>
      <c r="QSJ141" s="89"/>
      <c r="QSL141" s="91"/>
      <c r="QSO141" s="89"/>
      <c r="QSQ141" s="91"/>
      <c r="QST141" s="89"/>
      <c r="QSV141" s="91"/>
      <c r="QSY141" s="89"/>
      <c r="QTA141" s="91"/>
      <c r="QTD141" s="89"/>
      <c r="QTF141" s="91"/>
      <c r="QTI141" s="89"/>
      <c r="QTK141" s="91"/>
      <c r="QTN141" s="89"/>
      <c r="QTP141" s="91"/>
      <c r="QTS141" s="89"/>
      <c r="QTU141" s="91"/>
      <c r="QTX141" s="89"/>
      <c r="QTZ141" s="91"/>
      <c r="QUC141" s="89"/>
      <c r="QUE141" s="91"/>
      <c r="QUH141" s="89"/>
      <c r="QUJ141" s="91"/>
      <c r="QUM141" s="89"/>
      <c r="QUO141" s="91"/>
      <c r="QUR141" s="89"/>
      <c r="QUT141" s="91"/>
      <c r="QUW141" s="89"/>
      <c r="QUY141" s="91"/>
      <c r="QVB141" s="89"/>
      <c r="QVD141" s="91"/>
      <c r="QVG141" s="89"/>
      <c r="QVI141" s="91"/>
      <c r="QVL141" s="89"/>
      <c r="QVN141" s="91"/>
      <c r="QVQ141" s="89"/>
      <c r="QVS141" s="91"/>
      <c r="QVV141" s="89"/>
      <c r="QVX141" s="91"/>
      <c r="QWA141" s="89"/>
      <c r="QWC141" s="91"/>
      <c r="QWF141" s="89"/>
      <c r="QWH141" s="91"/>
      <c r="QWK141" s="89"/>
      <c r="QWM141" s="91"/>
      <c r="QWP141" s="89"/>
      <c r="QWR141" s="91"/>
      <c r="QWU141" s="89"/>
      <c r="QWW141" s="91"/>
      <c r="QWZ141" s="89"/>
      <c r="QXB141" s="91"/>
      <c r="QXE141" s="89"/>
      <c r="QXG141" s="91"/>
      <c r="QXJ141" s="89"/>
      <c r="QXL141" s="91"/>
      <c r="QXO141" s="89"/>
      <c r="QXQ141" s="91"/>
      <c r="QXT141" s="89"/>
      <c r="QXV141" s="91"/>
      <c r="QXY141" s="89"/>
      <c r="QYA141" s="91"/>
      <c r="QYD141" s="89"/>
      <c r="QYF141" s="91"/>
      <c r="QYI141" s="89"/>
      <c r="QYK141" s="91"/>
      <c r="QYN141" s="89"/>
      <c r="QYP141" s="91"/>
      <c r="QYS141" s="89"/>
      <c r="QYU141" s="91"/>
      <c r="QYX141" s="89"/>
      <c r="QYZ141" s="91"/>
      <c r="QZC141" s="89"/>
      <c r="QZE141" s="91"/>
      <c r="QZH141" s="89"/>
      <c r="QZJ141" s="91"/>
      <c r="QZM141" s="89"/>
      <c r="QZO141" s="91"/>
      <c r="QZR141" s="89"/>
      <c r="QZT141" s="91"/>
      <c r="QZW141" s="89"/>
      <c r="QZY141" s="91"/>
      <c r="RAB141" s="89"/>
      <c r="RAD141" s="91"/>
      <c r="RAG141" s="89"/>
      <c r="RAI141" s="91"/>
      <c r="RAL141" s="89"/>
      <c r="RAN141" s="91"/>
      <c r="RAQ141" s="89"/>
      <c r="RAS141" s="91"/>
      <c r="RAV141" s="89"/>
      <c r="RAX141" s="91"/>
      <c r="RBA141" s="89"/>
      <c r="RBC141" s="91"/>
      <c r="RBF141" s="89"/>
      <c r="RBH141" s="91"/>
      <c r="RBK141" s="89"/>
      <c r="RBM141" s="91"/>
      <c r="RBP141" s="89"/>
      <c r="RBR141" s="91"/>
      <c r="RBU141" s="89"/>
      <c r="RBW141" s="91"/>
      <c r="RBZ141" s="89"/>
      <c r="RCB141" s="91"/>
      <c r="RCE141" s="89"/>
      <c r="RCG141" s="91"/>
      <c r="RCJ141" s="89"/>
      <c r="RCL141" s="91"/>
      <c r="RCO141" s="89"/>
      <c r="RCQ141" s="91"/>
      <c r="RCT141" s="89"/>
      <c r="RCV141" s="91"/>
      <c r="RCY141" s="89"/>
      <c r="RDA141" s="91"/>
      <c r="RDD141" s="89"/>
      <c r="RDF141" s="91"/>
      <c r="RDI141" s="89"/>
      <c r="RDK141" s="91"/>
      <c r="RDN141" s="89"/>
      <c r="RDP141" s="91"/>
      <c r="RDS141" s="89"/>
      <c r="RDU141" s="91"/>
      <c r="RDX141" s="89"/>
      <c r="RDZ141" s="91"/>
      <c r="REC141" s="89"/>
      <c r="REE141" s="91"/>
      <c r="REH141" s="89"/>
      <c r="REJ141" s="91"/>
      <c r="REM141" s="89"/>
      <c r="REO141" s="91"/>
      <c r="RER141" s="89"/>
      <c r="RET141" s="91"/>
      <c r="REW141" s="89"/>
      <c r="REY141" s="91"/>
      <c r="RFB141" s="89"/>
      <c r="RFD141" s="91"/>
      <c r="RFG141" s="89"/>
      <c r="RFI141" s="91"/>
      <c r="RFL141" s="89"/>
      <c r="RFN141" s="91"/>
      <c r="RFQ141" s="89"/>
      <c r="RFS141" s="91"/>
      <c r="RFV141" s="89"/>
      <c r="RFX141" s="91"/>
      <c r="RGA141" s="89"/>
      <c r="RGC141" s="91"/>
      <c r="RGF141" s="89"/>
      <c r="RGH141" s="91"/>
      <c r="RGK141" s="89"/>
      <c r="RGM141" s="91"/>
      <c r="RGP141" s="89"/>
      <c r="RGR141" s="91"/>
      <c r="RGU141" s="89"/>
      <c r="RGW141" s="91"/>
      <c r="RGZ141" s="89"/>
      <c r="RHB141" s="91"/>
      <c r="RHE141" s="89"/>
      <c r="RHG141" s="91"/>
      <c r="RHJ141" s="89"/>
      <c r="RHL141" s="91"/>
      <c r="RHO141" s="89"/>
      <c r="RHQ141" s="91"/>
      <c r="RHT141" s="89"/>
      <c r="RHV141" s="91"/>
      <c r="RHY141" s="89"/>
      <c r="RIA141" s="91"/>
      <c r="RID141" s="89"/>
      <c r="RIF141" s="91"/>
      <c r="RII141" s="89"/>
      <c r="RIK141" s="91"/>
      <c r="RIN141" s="89"/>
      <c r="RIP141" s="91"/>
      <c r="RIS141" s="89"/>
      <c r="RIU141" s="91"/>
      <c r="RIX141" s="89"/>
      <c r="RIZ141" s="91"/>
      <c r="RJC141" s="89"/>
      <c r="RJE141" s="91"/>
      <c r="RJH141" s="89"/>
      <c r="RJJ141" s="91"/>
      <c r="RJM141" s="89"/>
      <c r="RJO141" s="91"/>
      <c r="RJR141" s="89"/>
      <c r="RJT141" s="91"/>
      <c r="RJW141" s="89"/>
      <c r="RJY141" s="91"/>
      <c r="RKB141" s="89"/>
      <c r="RKD141" s="91"/>
      <c r="RKG141" s="89"/>
      <c r="RKI141" s="91"/>
      <c r="RKL141" s="89"/>
      <c r="RKN141" s="91"/>
      <c r="RKQ141" s="89"/>
      <c r="RKS141" s="91"/>
      <c r="RKV141" s="89"/>
      <c r="RKX141" s="91"/>
      <c r="RLA141" s="89"/>
      <c r="RLC141" s="91"/>
      <c r="RLF141" s="89"/>
      <c r="RLH141" s="91"/>
      <c r="RLK141" s="89"/>
      <c r="RLM141" s="91"/>
      <c r="RLP141" s="89"/>
      <c r="RLR141" s="91"/>
      <c r="RLU141" s="89"/>
      <c r="RLW141" s="91"/>
      <c r="RLZ141" s="89"/>
      <c r="RMB141" s="91"/>
      <c r="RME141" s="89"/>
      <c r="RMG141" s="91"/>
      <c r="RMJ141" s="89"/>
      <c r="RML141" s="91"/>
      <c r="RMO141" s="89"/>
      <c r="RMQ141" s="91"/>
      <c r="RMT141" s="89"/>
      <c r="RMV141" s="91"/>
      <c r="RMY141" s="89"/>
      <c r="RNA141" s="91"/>
      <c r="RND141" s="89"/>
      <c r="RNF141" s="91"/>
      <c r="RNI141" s="89"/>
      <c r="RNK141" s="91"/>
      <c r="RNN141" s="89"/>
      <c r="RNP141" s="91"/>
      <c r="RNS141" s="89"/>
      <c r="RNU141" s="91"/>
      <c r="RNX141" s="89"/>
      <c r="RNZ141" s="91"/>
      <c r="ROC141" s="89"/>
      <c r="ROE141" s="91"/>
      <c r="ROH141" s="89"/>
      <c r="ROJ141" s="91"/>
      <c r="ROM141" s="89"/>
      <c r="ROO141" s="91"/>
      <c r="ROR141" s="89"/>
      <c r="ROT141" s="91"/>
      <c r="ROW141" s="89"/>
      <c r="ROY141" s="91"/>
      <c r="RPB141" s="89"/>
      <c r="RPD141" s="91"/>
      <c r="RPG141" s="89"/>
      <c r="RPI141" s="91"/>
      <c r="RPL141" s="89"/>
      <c r="RPN141" s="91"/>
      <c r="RPQ141" s="89"/>
      <c r="RPS141" s="91"/>
      <c r="RPV141" s="89"/>
      <c r="RPX141" s="91"/>
      <c r="RQA141" s="89"/>
      <c r="RQC141" s="91"/>
      <c r="RQF141" s="89"/>
      <c r="RQH141" s="91"/>
      <c r="RQK141" s="89"/>
      <c r="RQM141" s="91"/>
      <c r="RQP141" s="89"/>
      <c r="RQR141" s="91"/>
      <c r="RQU141" s="89"/>
      <c r="RQW141" s="91"/>
      <c r="RQZ141" s="89"/>
      <c r="RRB141" s="91"/>
      <c r="RRE141" s="89"/>
      <c r="RRG141" s="91"/>
      <c r="RRJ141" s="89"/>
      <c r="RRL141" s="91"/>
      <c r="RRO141" s="89"/>
      <c r="RRQ141" s="91"/>
      <c r="RRT141" s="89"/>
      <c r="RRV141" s="91"/>
      <c r="RRY141" s="89"/>
      <c r="RSA141" s="91"/>
      <c r="RSD141" s="89"/>
      <c r="RSF141" s="91"/>
      <c r="RSI141" s="89"/>
      <c r="RSK141" s="91"/>
      <c r="RSN141" s="89"/>
      <c r="RSP141" s="91"/>
      <c r="RSS141" s="89"/>
      <c r="RSU141" s="91"/>
      <c r="RSX141" s="89"/>
      <c r="RSZ141" s="91"/>
      <c r="RTC141" s="89"/>
      <c r="RTE141" s="91"/>
      <c r="RTH141" s="89"/>
      <c r="RTJ141" s="91"/>
      <c r="RTM141" s="89"/>
      <c r="RTO141" s="91"/>
      <c r="RTR141" s="89"/>
      <c r="RTT141" s="91"/>
      <c r="RTW141" s="89"/>
      <c r="RTY141" s="91"/>
      <c r="RUB141" s="89"/>
      <c r="RUD141" s="91"/>
      <c r="RUG141" s="89"/>
      <c r="RUI141" s="91"/>
      <c r="RUL141" s="89"/>
      <c r="RUN141" s="91"/>
      <c r="RUQ141" s="89"/>
      <c r="RUS141" s="91"/>
      <c r="RUV141" s="89"/>
      <c r="RUX141" s="91"/>
      <c r="RVA141" s="89"/>
      <c r="RVC141" s="91"/>
      <c r="RVF141" s="89"/>
      <c r="RVH141" s="91"/>
      <c r="RVK141" s="89"/>
      <c r="RVM141" s="91"/>
      <c r="RVP141" s="89"/>
      <c r="RVR141" s="91"/>
      <c r="RVU141" s="89"/>
      <c r="RVW141" s="91"/>
      <c r="RVZ141" s="89"/>
      <c r="RWB141" s="91"/>
      <c r="RWE141" s="89"/>
      <c r="RWG141" s="91"/>
      <c r="RWJ141" s="89"/>
      <c r="RWL141" s="91"/>
      <c r="RWO141" s="89"/>
      <c r="RWQ141" s="91"/>
      <c r="RWT141" s="89"/>
      <c r="RWV141" s="91"/>
      <c r="RWY141" s="89"/>
      <c r="RXA141" s="91"/>
      <c r="RXD141" s="89"/>
      <c r="RXF141" s="91"/>
      <c r="RXI141" s="89"/>
      <c r="RXK141" s="91"/>
      <c r="RXN141" s="89"/>
      <c r="RXP141" s="91"/>
      <c r="RXS141" s="89"/>
      <c r="RXU141" s="91"/>
      <c r="RXX141" s="89"/>
      <c r="RXZ141" s="91"/>
      <c r="RYC141" s="89"/>
      <c r="RYE141" s="91"/>
      <c r="RYH141" s="89"/>
      <c r="RYJ141" s="91"/>
      <c r="RYM141" s="89"/>
      <c r="RYO141" s="91"/>
      <c r="RYR141" s="89"/>
      <c r="RYT141" s="91"/>
      <c r="RYW141" s="89"/>
      <c r="RYY141" s="91"/>
      <c r="RZB141" s="89"/>
      <c r="RZD141" s="91"/>
      <c r="RZG141" s="89"/>
      <c r="RZI141" s="91"/>
      <c r="RZL141" s="89"/>
      <c r="RZN141" s="91"/>
      <c r="RZQ141" s="89"/>
      <c r="RZS141" s="91"/>
      <c r="RZV141" s="89"/>
      <c r="RZX141" s="91"/>
      <c r="SAA141" s="89"/>
      <c r="SAC141" s="91"/>
      <c r="SAF141" s="89"/>
      <c r="SAH141" s="91"/>
      <c r="SAK141" s="89"/>
      <c r="SAM141" s="91"/>
      <c r="SAP141" s="89"/>
      <c r="SAR141" s="91"/>
      <c r="SAU141" s="89"/>
      <c r="SAW141" s="91"/>
      <c r="SAZ141" s="89"/>
      <c r="SBB141" s="91"/>
      <c r="SBE141" s="89"/>
      <c r="SBG141" s="91"/>
      <c r="SBJ141" s="89"/>
      <c r="SBL141" s="91"/>
      <c r="SBO141" s="89"/>
      <c r="SBQ141" s="91"/>
      <c r="SBT141" s="89"/>
      <c r="SBV141" s="91"/>
      <c r="SBY141" s="89"/>
      <c r="SCA141" s="91"/>
      <c r="SCD141" s="89"/>
      <c r="SCF141" s="91"/>
      <c r="SCI141" s="89"/>
      <c r="SCK141" s="91"/>
      <c r="SCN141" s="89"/>
      <c r="SCP141" s="91"/>
      <c r="SCS141" s="89"/>
      <c r="SCU141" s="91"/>
      <c r="SCX141" s="89"/>
      <c r="SCZ141" s="91"/>
      <c r="SDC141" s="89"/>
      <c r="SDE141" s="91"/>
      <c r="SDH141" s="89"/>
      <c r="SDJ141" s="91"/>
      <c r="SDM141" s="89"/>
      <c r="SDO141" s="91"/>
      <c r="SDR141" s="89"/>
      <c r="SDT141" s="91"/>
      <c r="SDW141" s="89"/>
      <c r="SDY141" s="91"/>
      <c r="SEB141" s="89"/>
      <c r="SED141" s="91"/>
      <c r="SEG141" s="89"/>
      <c r="SEI141" s="91"/>
      <c r="SEL141" s="89"/>
      <c r="SEN141" s="91"/>
      <c r="SEQ141" s="89"/>
      <c r="SES141" s="91"/>
      <c r="SEV141" s="89"/>
      <c r="SEX141" s="91"/>
      <c r="SFA141" s="89"/>
      <c r="SFC141" s="91"/>
      <c r="SFF141" s="89"/>
      <c r="SFH141" s="91"/>
      <c r="SFK141" s="89"/>
      <c r="SFM141" s="91"/>
      <c r="SFP141" s="89"/>
      <c r="SFR141" s="91"/>
      <c r="SFU141" s="89"/>
      <c r="SFW141" s="91"/>
      <c r="SFZ141" s="89"/>
      <c r="SGB141" s="91"/>
      <c r="SGE141" s="89"/>
      <c r="SGG141" s="91"/>
      <c r="SGJ141" s="89"/>
      <c r="SGL141" s="91"/>
      <c r="SGO141" s="89"/>
      <c r="SGQ141" s="91"/>
      <c r="SGT141" s="89"/>
      <c r="SGV141" s="91"/>
      <c r="SGY141" s="89"/>
      <c r="SHA141" s="91"/>
      <c r="SHD141" s="89"/>
      <c r="SHF141" s="91"/>
      <c r="SHI141" s="89"/>
      <c r="SHK141" s="91"/>
      <c r="SHN141" s="89"/>
      <c r="SHP141" s="91"/>
      <c r="SHS141" s="89"/>
      <c r="SHU141" s="91"/>
      <c r="SHX141" s="89"/>
      <c r="SHZ141" s="91"/>
      <c r="SIC141" s="89"/>
      <c r="SIE141" s="91"/>
      <c r="SIH141" s="89"/>
      <c r="SIJ141" s="91"/>
      <c r="SIM141" s="89"/>
      <c r="SIO141" s="91"/>
      <c r="SIR141" s="89"/>
      <c r="SIT141" s="91"/>
      <c r="SIW141" s="89"/>
      <c r="SIY141" s="91"/>
      <c r="SJB141" s="89"/>
      <c r="SJD141" s="91"/>
      <c r="SJG141" s="89"/>
      <c r="SJI141" s="91"/>
      <c r="SJL141" s="89"/>
      <c r="SJN141" s="91"/>
      <c r="SJQ141" s="89"/>
      <c r="SJS141" s="91"/>
      <c r="SJV141" s="89"/>
      <c r="SJX141" s="91"/>
      <c r="SKA141" s="89"/>
      <c r="SKC141" s="91"/>
      <c r="SKF141" s="89"/>
      <c r="SKH141" s="91"/>
      <c r="SKK141" s="89"/>
      <c r="SKM141" s="91"/>
      <c r="SKP141" s="89"/>
      <c r="SKR141" s="91"/>
      <c r="SKU141" s="89"/>
      <c r="SKW141" s="91"/>
      <c r="SKZ141" s="89"/>
      <c r="SLB141" s="91"/>
      <c r="SLE141" s="89"/>
      <c r="SLG141" s="91"/>
      <c r="SLJ141" s="89"/>
      <c r="SLL141" s="91"/>
      <c r="SLO141" s="89"/>
      <c r="SLQ141" s="91"/>
      <c r="SLT141" s="89"/>
      <c r="SLV141" s="91"/>
      <c r="SLY141" s="89"/>
      <c r="SMA141" s="91"/>
      <c r="SMD141" s="89"/>
      <c r="SMF141" s="91"/>
      <c r="SMI141" s="89"/>
      <c r="SMK141" s="91"/>
      <c r="SMN141" s="89"/>
      <c r="SMP141" s="91"/>
      <c r="SMS141" s="89"/>
      <c r="SMU141" s="91"/>
      <c r="SMX141" s="89"/>
      <c r="SMZ141" s="91"/>
      <c r="SNC141" s="89"/>
      <c r="SNE141" s="91"/>
      <c r="SNH141" s="89"/>
      <c r="SNJ141" s="91"/>
      <c r="SNM141" s="89"/>
      <c r="SNO141" s="91"/>
      <c r="SNR141" s="89"/>
      <c r="SNT141" s="91"/>
      <c r="SNW141" s="89"/>
      <c r="SNY141" s="91"/>
      <c r="SOB141" s="89"/>
      <c r="SOD141" s="91"/>
      <c r="SOG141" s="89"/>
      <c r="SOI141" s="91"/>
      <c r="SOL141" s="89"/>
      <c r="SON141" s="91"/>
      <c r="SOQ141" s="89"/>
      <c r="SOS141" s="91"/>
      <c r="SOV141" s="89"/>
      <c r="SOX141" s="91"/>
      <c r="SPA141" s="89"/>
      <c r="SPC141" s="91"/>
      <c r="SPF141" s="89"/>
      <c r="SPH141" s="91"/>
      <c r="SPK141" s="89"/>
      <c r="SPM141" s="91"/>
      <c r="SPP141" s="89"/>
      <c r="SPR141" s="91"/>
      <c r="SPU141" s="89"/>
      <c r="SPW141" s="91"/>
      <c r="SPZ141" s="89"/>
      <c r="SQB141" s="91"/>
      <c r="SQE141" s="89"/>
      <c r="SQG141" s="91"/>
      <c r="SQJ141" s="89"/>
      <c r="SQL141" s="91"/>
      <c r="SQO141" s="89"/>
      <c r="SQQ141" s="91"/>
      <c r="SQT141" s="89"/>
      <c r="SQV141" s="91"/>
      <c r="SQY141" s="89"/>
      <c r="SRA141" s="91"/>
      <c r="SRD141" s="89"/>
      <c r="SRF141" s="91"/>
      <c r="SRI141" s="89"/>
      <c r="SRK141" s="91"/>
      <c r="SRN141" s="89"/>
      <c r="SRP141" s="91"/>
      <c r="SRS141" s="89"/>
      <c r="SRU141" s="91"/>
      <c r="SRX141" s="89"/>
      <c r="SRZ141" s="91"/>
      <c r="SSC141" s="89"/>
      <c r="SSE141" s="91"/>
      <c r="SSH141" s="89"/>
      <c r="SSJ141" s="91"/>
      <c r="SSM141" s="89"/>
      <c r="SSO141" s="91"/>
      <c r="SSR141" s="89"/>
      <c r="SST141" s="91"/>
      <c r="SSW141" s="89"/>
      <c r="SSY141" s="91"/>
      <c r="STB141" s="89"/>
      <c r="STD141" s="91"/>
      <c r="STG141" s="89"/>
      <c r="STI141" s="91"/>
      <c r="STL141" s="89"/>
      <c r="STN141" s="91"/>
      <c r="STQ141" s="89"/>
      <c r="STS141" s="91"/>
      <c r="STV141" s="89"/>
      <c r="STX141" s="91"/>
      <c r="SUA141" s="89"/>
      <c r="SUC141" s="91"/>
      <c r="SUF141" s="89"/>
      <c r="SUH141" s="91"/>
      <c r="SUK141" s="89"/>
      <c r="SUM141" s="91"/>
      <c r="SUP141" s="89"/>
      <c r="SUR141" s="91"/>
      <c r="SUU141" s="89"/>
      <c r="SUW141" s="91"/>
      <c r="SUZ141" s="89"/>
      <c r="SVB141" s="91"/>
      <c r="SVE141" s="89"/>
      <c r="SVG141" s="91"/>
      <c r="SVJ141" s="89"/>
      <c r="SVL141" s="91"/>
      <c r="SVO141" s="89"/>
      <c r="SVQ141" s="91"/>
      <c r="SVT141" s="89"/>
      <c r="SVV141" s="91"/>
      <c r="SVY141" s="89"/>
      <c r="SWA141" s="91"/>
      <c r="SWD141" s="89"/>
      <c r="SWF141" s="91"/>
      <c r="SWI141" s="89"/>
      <c r="SWK141" s="91"/>
      <c r="SWN141" s="89"/>
      <c r="SWP141" s="91"/>
      <c r="SWS141" s="89"/>
      <c r="SWU141" s="91"/>
      <c r="SWX141" s="89"/>
      <c r="SWZ141" s="91"/>
      <c r="SXC141" s="89"/>
      <c r="SXE141" s="91"/>
      <c r="SXH141" s="89"/>
      <c r="SXJ141" s="91"/>
      <c r="SXM141" s="89"/>
      <c r="SXO141" s="91"/>
      <c r="SXR141" s="89"/>
      <c r="SXT141" s="91"/>
      <c r="SXW141" s="89"/>
      <c r="SXY141" s="91"/>
      <c r="SYB141" s="89"/>
      <c r="SYD141" s="91"/>
      <c r="SYG141" s="89"/>
      <c r="SYI141" s="91"/>
      <c r="SYL141" s="89"/>
      <c r="SYN141" s="91"/>
      <c r="SYQ141" s="89"/>
      <c r="SYS141" s="91"/>
      <c r="SYV141" s="89"/>
      <c r="SYX141" s="91"/>
      <c r="SZA141" s="89"/>
      <c r="SZC141" s="91"/>
      <c r="SZF141" s="89"/>
      <c r="SZH141" s="91"/>
      <c r="SZK141" s="89"/>
      <c r="SZM141" s="91"/>
      <c r="SZP141" s="89"/>
      <c r="SZR141" s="91"/>
      <c r="SZU141" s="89"/>
      <c r="SZW141" s="91"/>
      <c r="SZZ141" s="89"/>
      <c r="TAB141" s="91"/>
      <c r="TAE141" s="89"/>
      <c r="TAG141" s="91"/>
      <c r="TAJ141" s="89"/>
      <c r="TAL141" s="91"/>
      <c r="TAO141" s="89"/>
      <c r="TAQ141" s="91"/>
      <c r="TAT141" s="89"/>
      <c r="TAV141" s="91"/>
      <c r="TAY141" s="89"/>
      <c r="TBA141" s="91"/>
      <c r="TBD141" s="89"/>
      <c r="TBF141" s="91"/>
      <c r="TBI141" s="89"/>
      <c r="TBK141" s="91"/>
      <c r="TBN141" s="89"/>
      <c r="TBP141" s="91"/>
      <c r="TBS141" s="89"/>
      <c r="TBU141" s="91"/>
      <c r="TBX141" s="89"/>
      <c r="TBZ141" s="91"/>
      <c r="TCC141" s="89"/>
      <c r="TCE141" s="91"/>
      <c r="TCH141" s="89"/>
      <c r="TCJ141" s="91"/>
      <c r="TCM141" s="89"/>
      <c r="TCO141" s="91"/>
      <c r="TCR141" s="89"/>
      <c r="TCT141" s="91"/>
      <c r="TCW141" s="89"/>
      <c r="TCY141" s="91"/>
      <c r="TDB141" s="89"/>
      <c r="TDD141" s="91"/>
      <c r="TDG141" s="89"/>
      <c r="TDI141" s="91"/>
      <c r="TDL141" s="89"/>
      <c r="TDN141" s="91"/>
      <c r="TDQ141" s="89"/>
      <c r="TDS141" s="91"/>
      <c r="TDV141" s="89"/>
      <c r="TDX141" s="91"/>
      <c r="TEA141" s="89"/>
      <c r="TEC141" s="91"/>
      <c r="TEF141" s="89"/>
      <c r="TEH141" s="91"/>
      <c r="TEK141" s="89"/>
      <c r="TEM141" s="91"/>
      <c r="TEP141" s="89"/>
      <c r="TER141" s="91"/>
      <c r="TEU141" s="89"/>
      <c r="TEW141" s="91"/>
      <c r="TEZ141" s="89"/>
      <c r="TFB141" s="91"/>
      <c r="TFE141" s="89"/>
      <c r="TFG141" s="91"/>
      <c r="TFJ141" s="89"/>
      <c r="TFL141" s="91"/>
      <c r="TFO141" s="89"/>
      <c r="TFQ141" s="91"/>
      <c r="TFT141" s="89"/>
      <c r="TFV141" s="91"/>
      <c r="TFY141" s="89"/>
      <c r="TGA141" s="91"/>
      <c r="TGD141" s="89"/>
      <c r="TGF141" s="91"/>
      <c r="TGI141" s="89"/>
      <c r="TGK141" s="91"/>
      <c r="TGN141" s="89"/>
      <c r="TGP141" s="91"/>
      <c r="TGS141" s="89"/>
      <c r="TGU141" s="91"/>
      <c r="TGX141" s="89"/>
      <c r="TGZ141" s="91"/>
      <c r="THC141" s="89"/>
      <c r="THE141" s="91"/>
      <c r="THH141" s="89"/>
      <c r="THJ141" s="91"/>
      <c r="THM141" s="89"/>
      <c r="THO141" s="91"/>
      <c r="THR141" s="89"/>
      <c r="THT141" s="91"/>
      <c r="THW141" s="89"/>
      <c r="THY141" s="91"/>
      <c r="TIB141" s="89"/>
      <c r="TID141" s="91"/>
      <c r="TIG141" s="89"/>
      <c r="TII141" s="91"/>
      <c r="TIL141" s="89"/>
      <c r="TIN141" s="91"/>
      <c r="TIQ141" s="89"/>
      <c r="TIS141" s="91"/>
      <c r="TIV141" s="89"/>
      <c r="TIX141" s="91"/>
      <c r="TJA141" s="89"/>
      <c r="TJC141" s="91"/>
      <c r="TJF141" s="89"/>
      <c r="TJH141" s="91"/>
      <c r="TJK141" s="89"/>
      <c r="TJM141" s="91"/>
      <c r="TJP141" s="89"/>
      <c r="TJR141" s="91"/>
      <c r="TJU141" s="89"/>
      <c r="TJW141" s="91"/>
      <c r="TJZ141" s="89"/>
      <c r="TKB141" s="91"/>
      <c r="TKE141" s="89"/>
      <c r="TKG141" s="91"/>
      <c r="TKJ141" s="89"/>
      <c r="TKL141" s="91"/>
      <c r="TKO141" s="89"/>
      <c r="TKQ141" s="91"/>
      <c r="TKT141" s="89"/>
      <c r="TKV141" s="91"/>
      <c r="TKY141" s="89"/>
      <c r="TLA141" s="91"/>
      <c r="TLD141" s="89"/>
      <c r="TLF141" s="91"/>
      <c r="TLI141" s="89"/>
      <c r="TLK141" s="91"/>
      <c r="TLN141" s="89"/>
      <c r="TLP141" s="91"/>
      <c r="TLS141" s="89"/>
      <c r="TLU141" s="91"/>
      <c r="TLX141" s="89"/>
      <c r="TLZ141" s="91"/>
      <c r="TMC141" s="89"/>
      <c r="TME141" s="91"/>
      <c r="TMH141" s="89"/>
      <c r="TMJ141" s="91"/>
      <c r="TMM141" s="89"/>
      <c r="TMO141" s="91"/>
      <c r="TMR141" s="89"/>
      <c r="TMT141" s="91"/>
      <c r="TMW141" s="89"/>
      <c r="TMY141" s="91"/>
      <c r="TNB141" s="89"/>
      <c r="TND141" s="91"/>
      <c r="TNG141" s="89"/>
      <c r="TNI141" s="91"/>
      <c r="TNL141" s="89"/>
      <c r="TNN141" s="91"/>
      <c r="TNQ141" s="89"/>
      <c r="TNS141" s="91"/>
      <c r="TNV141" s="89"/>
      <c r="TNX141" s="91"/>
      <c r="TOA141" s="89"/>
      <c r="TOC141" s="91"/>
      <c r="TOF141" s="89"/>
      <c r="TOH141" s="91"/>
      <c r="TOK141" s="89"/>
      <c r="TOM141" s="91"/>
      <c r="TOP141" s="89"/>
      <c r="TOR141" s="91"/>
      <c r="TOU141" s="89"/>
      <c r="TOW141" s="91"/>
      <c r="TOZ141" s="89"/>
      <c r="TPB141" s="91"/>
      <c r="TPE141" s="89"/>
      <c r="TPG141" s="91"/>
      <c r="TPJ141" s="89"/>
      <c r="TPL141" s="91"/>
      <c r="TPO141" s="89"/>
      <c r="TPQ141" s="91"/>
      <c r="TPT141" s="89"/>
      <c r="TPV141" s="91"/>
      <c r="TPY141" s="89"/>
      <c r="TQA141" s="91"/>
      <c r="TQD141" s="89"/>
      <c r="TQF141" s="91"/>
      <c r="TQI141" s="89"/>
      <c r="TQK141" s="91"/>
      <c r="TQN141" s="89"/>
      <c r="TQP141" s="91"/>
      <c r="TQS141" s="89"/>
      <c r="TQU141" s="91"/>
      <c r="TQX141" s="89"/>
      <c r="TQZ141" s="91"/>
      <c r="TRC141" s="89"/>
      <c r="TRE141" s="91"/>
      <c r="TRH141" s="89"/>
      <c r="TRJ141" s="91"/>
      <c r="TRM141" s="89"/>
      <c r="TRO141" s="91"/>
      <c r="TRR141" s="89"/>
      <c r="TRT141" s="91"/>
      <c r="TRW141" s="89"/>
      <c r="TRY141" s="91"/>
      <c r="TSB141" s="89"/>
      <c r="TSD141" s="91"/>
      <c r="TSG141" s="89"/>
      <c r="TSI141" s="91"/>
      <c r="TSL141" s="89"/>
      <c r="TSN141" s="91"/>
      <c r="TSQ141" s="89"/>
      <c r="TSS141" s="91"/>
      <c r="TSV141" s="89"/>
      <c r="TSX141" s="91"/>
      <c r="TTA141" s="89"/>
      <c r="TTC141" s="91"/>
      <c r="TTF141" s="89"/>
      <c r="TTH141" s="91"/>
      <c r="TTK141" s="89"/>
      <c r="TTM141" s="91"/>
      <c r="TTP141" s="89"/>
      <c r="TTR141" s="91"/>
      <c r="TTU141" s="89"/>
      <c r="TTW141" s="91"/>
      <c r="TTZ141" s="89"/>
      <c r="TUB141" s="91"/>
      <c r="TUE141" s="89"/>
      <c r="TUG141" s="91"/>
      <c r="TUJ141" s="89"/>
      <c r="TUL141" s="91"/>
      <c r="TUO141" s="89"/>
      <c r="TUQ141" s="91"/>
      <c r="TUT141" s="89"/>
      <c r="TUV141" s="91"/>
      <c r="TUY141" s="89"/>
      <c r="TVA141" s="91"/>
      <c r="TVD141" s="89"/>
      <c r="TVF141" s="91"/>
      <c r="TVI141" s="89"/>
      <c r="TVK141" s="91"/>
      <c r="TVN141" s="89"/>
      <c r="TVP141" s="91"/>
      <c r="TVS141" s="89"/>
      <c r="TVU141" s="91"/>
      <c r="TVX141" s="89"/>
      <c r="TVZ141" s="91"/>
      <c r="TWC141" s="89"/>
      <c r="TWE141" s="91"/>
      <c r="TWH141" s="89"/>
      <c r="TWJ141" s="91"/>
      <c r="TWM141" s="89"/>
      <c r="TWO141" s="91"/>
      <c r="TWR141" s="89"/>
      <c r="TWT141" s="91"/>
      <c r="TWW141" s="89"/>
      <c r="TWY141" s="91"/>
      <c r="TXB141" s="89"/>
      <c r="TXD141" s="91"/>
      <c r="TXG141" s="89"/>
      <c r="TXI141" s="91"/>
      <c r="TXL141" s="89"/>
      <c r="TXN141" s="91"/>
      <c r="TXQ141" s="89"/>
      <c r="TXS141" s="91"/>
      <c r="TXV141" s="89"/>
      <c r="TXX141" s="91"/>
      <c r="TYA141" s="89"/>
      <c r="TYC141" s="91"/>
      <c r="TYF141" s="89"/>
      <c r="TYH141" s="91"/>
      <c r="TYK141" s="89"/>
      <c r="TYM141" s="91"/>
      <c r="TYP141" s="89"/>
      <c r="TYR141" s="91"/>
      <c r="TYU141" s="89"/>
      <c r="TYW141" s="91"/>
      <c r="TYZ141" s="89"/>
      <c r="TZB141" s="91"/>
      <c r="TZE141" s="89"/>
      <c r="TZG141" s="91"/>
      <c r="TZJ141" s="89"/>
      <c r="TZL141" s="91"/>
      <c r="TZO141" s="89"/>
      <c r="TZQ141" s="91"/>
      <c r="TZT141" s="89"/>
      <c r="TZV141" s="91"/>
      <c r="TZY141" s="89"/>
      <c r="UAA141" s="91"/>
      <c r="UAD141" s="89"/>
      <c r="UAF141" s="91"/>
      <c r="UAI141" s="89"/>
      <c r="UAK141" s="91"/>
      <c r="UAN141" s="89"/>
      <c r="UAP141" s="91"/>
      <c r="UAS141" s="89"/>
      <c r="UAU141" s="91"/>
      <c r="UAX141" s="89"/>
      <c r="UAZ141" s="91"/>
      <c r="UBC141" s="89"/>
      <c r="UBE141" s="91"/>
      <c r="UBH141" s="89"/>
      <c r="UBJ141" s="91"/>
      <c r="UBM141" s="89"/>
      <c r="UBO141" s="91"/>
      <c r="UBR141" s="89"/>
      <c r="UBT141" s="91"/>
      <c r="UBW141" s="89"/>
      <c r="UBY141" s="91"/>
      <c r="UCB141" s="89"/>
      <c r="UCD141" s="91"/>
      <c r="UCG141" s="89"/>
      <c r="UCI141" s="91"/>
      <c r="UCL141" s="89"/>
      <c r="UCN141" s="91"/>
      <c r="UCQ141" s="89"/>
      <c r="UCS141" s="91"/>
      <c r="UCV141" s="89"/>
      <c r="UCX141" s="91"/>
      <c r="UDA141" s="89"/>
      <c r="UDC141" s="91"/>
      <c r="UDF141" s="89"/>
      <c r="UDH141" s="91"/>
      <c r="UDK141" s="89"/>
      <c r="UDM141" s="91"/>
      <c r="UDP141" s="89"/>
      <c r="UDR141" s="91"/>
      <c r="UDU141" s="89"/>
      <c r="UDW141" s="91"/>
      <c r="UDZ141" s="89"/>
      <c r="UEB141" s="91"/>
      <c r="UEE141" s="89"/>
      <c r="UEG141" s="91"/>
      <c r="UEJ141" s="89"/>
      <c r="UEL141" s="91"/>
      <c r="UEO141" s="89"/>
      <c r="UEQ141" s="91"/>
      <c r="UET141" s="89"/>
      <c r="UEV141" s="91"/>
      <c r="UEY141" s="89"/>
      <c r="UFA141" s="91"/>
      <c r="UFD141" s="89"/>
      <c r="UFF141" s="91"/>
      <c r="UFI141" s="89"/>
      <c r="UFK141" s="91"/>
      <c r="UFN141" s="89"/>
      <c r="UFP141" s="91"/>
      <c r="UFS141" s="89"/>
      <c r="UFU141" s="91"/>
      <c r="UFX141" s="89"/>
      <c r="UFZ141" s="91"/>
      <c r="UGC141" s="89"/>
      <c r="UGE141" s="91"/>
      <c r="UGH141" s="89"/>
      <c r="UGJ141" s="91"/>
      <c r="UGM141" s="89"/>
      <c r="UGO141" s="91"/>
      <c r="UGR141" s="89"/>
      <c r="UGT141" s="91"/>
      <c r="UGW141" s="89"/>
      <c r="UGY141" s="91"/>
      <c r="UHB141" s="89"/>
      <c r="UHD141" s="91"/>
      <c r="UHG141" s="89"/>
      <c r="UHI141" s="91"/>
      <c r="UHL141" s="89"/>
      <c r="UHN141" s="91"/>
      <c r="UHQ141" s="89"/>
      <c r="UHS141" s="91"/>
      <c r="UHV141" s="89"/>
      <c r="UHX141" s="91"/>
      <c r="UIA141" s="89"/>
      <c r="UIC141" s="91"/>
      <c r="UIF141" s="89"/>
      <c r="UIH141" s="91"/>
      <c r="UIK141" s="89"/>
      <c r="UIM141" s="91"/>
      <c r="UIP141" s="89"/>
      <c r="UIR141" s="91"/>
      <c r="UIU141" s="89"/>
      <c r="UIW141" s="91"/>
      <c r="UIZ141" s="89"/>
      <c r="UJB141" s="91"/>
      <c r="UJE141" s="89"/>
      <c r="UJG141" s="91"/>
      <c r="UJJ141" s="89"/>
      <c r="UJL141" s="91"/>
      <c r="UJO141" s="89"/>
      <c r="UJQ141" s="91"/>
      <c r="UJT141" s="89"/>
      <c r="UJV141" s="91"/>
      <c r="UJY141" s="89"/>
      <c r="UKA141" s="91"/>
      <c r="UKD141" s="89"/>
      <c r="UKF141" s="91"/>
      <c r="UKI141" s="89"/>
      <c r="UKK141" s="91"/>
      <c r="UKN141" s="89"/>
      <c r="UKP141" s="91"/>
      <c r="UKS141" s="89"/>
      <c r="UKU141" s="91"/>
      <c r="UKX141" s="89"/>
      <c r="UKZ141" s="91"/>
      <c r="ULC141" s="89"/>
      <c r="ULE141" s="91"/>
      <c r="ULH141" s="89"/>
      <c r="ULJ141" s="91"/>
      <c r="ULM141" s="89"/>
      <c r="ULO141" s="91"/>
      <c r="ULR141" s="89"/>
      <c r="ULT141" s="91"/>
      <c r="ULW141" s="89"/>
      <c r="ULY141" s="91"/>
      <c r="UMB141" s="89"/>
      <c r="UMD141" s="91"/>
      <c r="UMG141" s="89"/>
      <c r="UMI141" s="91"/>
      <c r="UML141" s="89"/>
      <c r="UMN141" s="91"/>
      <c r="UMQ141" s="89"/>
      <c r="UMS141" s="91"/>
      <c r="UMV141" s="89"/>
      <c r="UMX141" s="91"/>
      <c r="UNA141" s="89"/>
      <c r="UNC141" s="91"/>
      <c r="UNF141" s="89"/>
      <c r="UNH141" s="91"/>
      <c r="UNK141" s="89"/>
      <c r="UNM141" s="91"/>
      <c r="UNP141" s="89"/>
      <c r="UNR141" s="91"/>
      <c r="UNU141" s="89"/>
      <c r="UNW141" s="91"/>
      <c r="UNZ141" s="89"/>
      <c r="UOB141" s="91"/>
      <c r="UOE141" s="89"/>
      <c r="UOG141" s="91"/>
      <c r="UOJ141" s="89"/>
      <c r="UOL141" s="91"/>
      <c r="UOO141" s="89"/>
      <c r="UOQ141" s="91"/>
      <c r="UOT141" s="89"/>
      <c r="UOV141" s="91"/>
      <c r="UOY141" s="89"/>
      <c r="UPA141" s="91"/>
      <c r="UPD141" s="89"/>
      <c r="UPF141" s="91"/>
      <c r="UPI141" s="89"/>
      <c r="UPK141" s="91"/>
      <c r="UPN141" s="89"/>
      <c r="UPP141" s="91"/>
      <c r="UPS141" s="89"/>
      <c r="UPU141" s="91"/>
      <c r="UPX141" s="89"/>
      <c r="UPZ141" s="91"/>
      <c r="UQC141" s="89"/>
      <c r="UQE141" s="91"/>
      <c r="UQH141" s="89"/>
      <c r="UQJ141" s="91"/>
      <c r="UQM141" s="89"/>
      <c r="UQO141" s="91"/>
      <c r="UQR141" s="89"/>
      <c r="UQT141" s="91"/>
      <c r="UQW141" s="89"/>
      <c r="UQY141" s="91"/>
      <c r="URB141" s="89"/>
      <c r="URD141" s="91"/>
      <c r="URG141" s="89"/>
      <c r="URI141" s="91"/>
      <c r="URL141" s="89"/>
      <c r="URN141" s="91"/>
      <c r="URQ141" s="89"/>
      <c r="URS141" s="91"/>
      <c r="URV141" s="89"/>
      <c r="URX141" s="91"/>
      <c r="USA141" s="89"/>
      <c r="USC141" s="91"/>
      <c r="USF141" s="89"/>
      <c r="USH141" s="91"/>
      <c r="USK141" s="89"/>
      <c r="USM141" s="91"/>
      <c r="USP141" s="89"/>
      <c r="USR141" s="91"/>
      <c r="USU141" s="89"/>
      <c r="USW141" s="91"/>
      <c r="USZ141" s="89"/>
      <c r="UTB141" s="91"/>
      <c r="UTE141" s="89"/>
      <c r="UTG141" s="91"/>
      <c r="UTJ141" s="89"/>
      <c r="UTL141" s="91"/>
      <c r="UTO141" s="89"/>
      <c r="UTQ141" s="91"/>
      <c r="UTT141" s="89"/>
      <c r="UTV141" s="91"/>
      <c r="UTY141" s="89"/>
      <c r="UUA141" s="91"/>
      <c r="UUD141" s="89"/>
      <c r="UUF141" s="91"/>
      <c r="UUI141" s="89"/>
      <c r="UUK141" s="91"/>
      <c r="UUN141" s="89"/>
      <c r="UUP141" s="91"/>
      <c r="UUS141" s="89"/>
      <c r="UUU141" s="91"/>
      <c r="UUX141" s="89"/>
      <c r="UUZ141" s="91"/>
      <c r="UVC141" s="89"/>
      <c r="UVE141" s="91"/>
      <c r="UVH141" s="89"/>
      <c r="UVJ141" s="91"/>
      <c r="UVM141" s="89"/>
      <c r="UVO141" s="91"/>
      <c r="UVR141" s="89"/>
      <c r="UVT141" s="91"/>
      <c r="UVW141" s="89"/>
      <c r="UVY141" s="91"/>
      <c r="UWB141" s="89"/>
      <c r="UWD141" s="91"/>
      <c r="UWG141" s="89"/>
      <c r="UWI141" s="91"/>
      <c r="UWL141" s="89"/>
      <c r="UWN141" s="91"/>
      <c r="UWQ141" s="89"/>
      <c r="UWS141" s="91"/>
      <c r="UWV141" s="89"/>
      <c r="UWX141" s="91"/>
      <c r="UXA141" s="89"/>
      <c r="UXC141" s="91"/>
      <c r="UXF141" s="89"/>
      <c r="UXH141" s="91"/>
      <c r="UXK141" s="89"/>
      <c r="UXM141" s="91"/>
      <c r="UXP141" s="89"/>
      <c r="UXR141" s="91"/>
      <c r="UXU141" s="89"/>
      <c r="UXW141" s="91"/>
      <c r="UXZ141" s="89"/>
      <c r="UYB141" s="91"/>
      <c r="UYE141" s="89"/>
      <c r="UYG141" s="91"/>
      <c r="UYJ141" s="89"/>
      <c r="UYL141" s="91"/>
      <c r="UYO141" s="89"/>
      <c r="UYQ141" s="91"/>
      <c r="UYT141" s="89"/>
      <c r="UYV141" s="91"/>
      <c r="UYY141" s="89"/>
      <c r="UZA141" s="91"/>
      <c r="UZD141" s="89"/>
      <c r="UZF141" s="91"/>
      <c r="UZI141" s="89"/>
      <c r="UZK141" s="91"/>
      <c r="UZN141" s="89"/>
      <c r="UZP141" s="91"/>
      <c r="UZS141" s="89"/>
      <c r="UZU141" s="91"/>
      <c r="UZX141" s="89"/>
      <c r="UZZ141" s="91"/>
      <c r="VAC141" s="89"/>
      <c r="VAE141" s="91"/>
      <c r="VAH141" s="89"/>
      <c r="VAJ141" s="91"/>
      <c r="VAM141" s="89"/>
      <c r="VAO141" s="91"/>
      <c r="VAR141" s="89"/>
      <c r="VAT141" s="91"/>
      <c r="VAW141" s="89"/>
      <c r="VAY141" s="91"/>
      <c r="VBB141" s="89"/>
      <c r="VBD141" s="91"/>
      <c r="VBG141" s="89"/>
      <c r="VBI141" s="91"/>
      <c r="VBL141" s="89"/>
      <c r="VBN141" s="91"/>
      <c r="VBQ141" s="89"/>
      <c r="VBS141" s="91"/>
      <c r="VBV141" s="89"/>
      <c r="VBX141" s="91"/>
      <c r="VCA141" s="89"/>
      <c r="VCC141" s="91"/>
      <c r="VCF141" s="89"/>
      <c r="VCH141" s="91"/>
      <c r="VCK141" s="89"/>
      <c r="VCM141" s="91"/>
      <c r="VCP141" s="89"/>
      <c r="VCR141" s="91"/>
      <c r="VCU141" s="89"/>
      <c r="VCW141" s="91"/>
      <c r="VCZ141" s="89"/>
      <c r="VDB141" s="91"/>
      <c r="VDE141" s="89"/>
      <c r="VDG141" s="91"/>
      <c r="VDJ141" s="89"/>
      <c r="VDL141" s="91"/>
      <c r="VDO141" s="89"/>
      <c r="VDQ141" s="91"/>
      <c r="VDT141" s="89"/>
      <c r="VDV141" s="91"/>
      <c r="VDY141" s="89"/>
      <c r="VEA141" s="91"/>
      <c r="VED141" s="89"/>
      <c r="VEF141" s="91"/>
      <c r="VEI141" s="89"/>
      <c r="VEK141" s="91"/>
      <c r="VEN141" s="89"/>
      <c r="VEP141" s="91"/>
      <c r="VES141" s="89"/>
      <c r="VEU141" s="91"/>
      <c r="VEX141" s="89"/>
      <c r="VEZ141" s="91"/>
      <c r="VFC141" s="89"/>
      <c r="VFE141" s="91"/>
      <c r="VFH141" s="89"/>
      <c r="VFJ141" s="91"/>
      <c r="VFM141" s="89"/>
      <c r="VFO141" s="91"/>
      <c r="VFR141" s="89"/>
      <c r="VFT141" s="91"/>
      <c r="VFW141" s="89"/>
      <c r="VFY141" s="91"/>
      <c r="VGB141" s="89"/>
      <c r="VGD141" s="91"/>
      <c r="VGG141" s="89"/>
      <c r="VGI141" s="91"/>
      <c r="VGL141" s="89"/>
      <c r="VGN141" s="91"/>
      <c r="VGQ141" s="89"/>
      <c r="VGS141" s="91"/>
      <c r="VGV141" s="89"/>
      <c r="VGX141" s="91"/>
      <c r="VHA141" s="89"/>
      <c r="VHC141" s="91"/>
      <c r="VHF141" s="89"/>
      <c r="VHH141" s="91"/>
      <c r="VHK141" s="89"/>
      <c r="VHM141" s="91"/>
      <c r="VHP141" s="89"/>
      <c r="VHR141" s="91"/>
      <c r="VHU141" s="89"/>
      <c r="VHW141" s="91"/>
      <c r="VHZ141" s="89"/>
      <c r="VIB141" s="91"/>
      <c r="VIE141" s="89"/>
      <c r="VIG141" s="91"/>
      <c r="VIJ141" s="89"/>
      <c r="VIL141" s="91"/>
      <c r="VIO141" s="89"/>
      <c r="VIQ141" s="91"/>
      <c r="VIT141" s="89"/>
      <c r="VIV141" s="91"/>
      <c r="VIY141" s="89"/>
      <c r="VJA141" s="91"/>
      <c r="VJD141" s="89"/>
      <c r="VJF141" s="91"/>
      <c r="VJI141" s="89"/>
      <c r="VJK141" s="91"/>
      <c r="VJN141" s="89"/>
      <c r="VJP141" s="91"/>
      <c r="VJS141" s="89"/>
      <c r="VJU141" s="91"/>
      <c r="VJX141" s="89"/>
      <c r="VJZ141" s="91"/>
      <c r="VKC141" s="89"/>
      <c r="VKE141" s="91"/>
      <c r="VKH141" s="89"/>
      <c r="VKJ141" s="91"/>
      <c r="VKM141" s="89"/>
      <c r="VKO141" s="91"/>
      <c r="VKR141" s="89"/>
      <c r="VKT141" s="91"/>
      <c r="VKW141" s="89"/>
      <c r="VKY141" s="91"/>
      <c r="VLB141" s="89"/>
      <c r="VLD141" s="91"/>
      <c r="VLG141" s="89"/>
      <c r="VLI141" s="91"/>
      <c r="VLL141" s="89"/>
      <c r="VLN141" s="91"/>
      <c r="VLQ141" s="89"/>
      <c r="VLS141" s="91"/>
      <c r="VLV141" s="89"/>
      <c r="VLX141" s="91"/>
      <c r="VMA141" s="89"/>
      <c r="VMC141" s="91"/>
      <c r="VMF141" s="89"/>
      <c r="VMH141" s="91"/>
      <c r="VMK141" s="89"/>
      <c r="VMM141" s="91"/>
      <c r="VMP141" s="89"/>
      <c r="VMR141" s="91"/>
      <c r="VMU141" s="89"/>
      <c r="VMW141" s="91"/>
      <c r="VMZ141" s="89"/>
      <c r="VNB141" s="91"/>
      <c r="VNE141" s="89"/>
      <c r="VNG141" s="91"/>
      <c r="VNJ141" s="89"/>
      <c r="VNL141" s="91"/>
      <c r="VNO141" s="89"/>
      <c r="VNQ141" s="91"/>
      <c r="VNT141" s="89"/>
      <c r="VNV141" s="91"/>
      <c r="VNY141" s="89"/>
      <c r="VOA141" s="91"/>
      <c r="VOD141" s="89"/>
      <c r="VOF141" s="91"/>
      <c r="VOI141" s="89"/>
      <c r="VOK141" s="91"/>
      <c r="VON141" s="89"/>
      <c r="VOP141" s="91"/>
      <c r="VOS141" s="89"/>
      <c r="VOU141" s="91"/>
      <c r="VOX141" s="89"/>
      <c r="VOZ141" s="91"/>
      <c r="VPC141" s="89"/>
      <c r="VPE141" s="91"/>
      <c r="VPH141" s="89"/>
      <c r="VPJ141" s="91"/>
      <c r="VPM141" s="89"/>
      <c r="VPO141" s="91"/>
      <c r="VPR141" s="89"/>
      <c r="VPT141" s="91"/>
      <c r="VPW141" s="89"/>
      <c r="VPY141" s="91"/>
      <c r="VQB141" s="89"/>
      <c r="VQD141" s="91"/>
      <c r="VQG141" s="89"/>
      <c r="VQI141" s="91"/>
      <c r="VQL141" s="89"/>
      <c r="VQN141" s="91"/>
      <c r="VQQ141" s="89"/>
      <c r="VQS141" s="91"/>
      <c r="VQV141" s="89"/>
      <c r="VQX141" s="91"/>
      <c r="VRA141" s="89"/>
      <c r="VRC141" s="91"/>
      <c r="VRF141" s="89"/>
      <c r="VRH141" s="91"/>
      <c r="VRK141" s="89"/>
      <c r="VRM141" s="91"/>
      <c r="VRP141" s="89"/>
      <c r="VRR141" s="91"/>
      <c r="VRU141" s="89"/>
      <c r="VRW141" s="91"/>
      <c r="VRZ141" s="89"/>
      <c r="VSB141" s="91"/>
      <c r="VSE141" s="89"/>
      <c r="VSG141" s="91"/>
      <c r="VSJ141" s="89"/>
      <c r="VSL141" s="91"/>
      <c r="VSO141" s="89"/>
      <c r="VSQ141" s="91"/>
      <c r="VST141" s="89"/>
      <c r="VSV141" s="91"/>
      <c r="VSY141" s="89"/>
      <c r="VTA141" s="91"/>
      <c r="VTD141" s="89"/>
      <c r="VTF141" s="91"/>
      <c r="VTI141" s="89"/>
      <c r="VTK141" s="91"/>
      <c r="VTN141" s="89"/>
      <c r="VTP141" s="91"/>
      <c r="VTS141" s="89"/>
      <c r="VTU141" s="91"/>
      <c r="VTX141" s="89"/>
      <c r="VTZ141" s="91"/>
      <c r="VUC141" s="89"/>
      <c r="VUE141" s="91"/>
      <c r="VUH141" s="89"/>
      <c r="VUJ141" s="91"/>
      <c r="VUM141" s="89"/>
      <c r="VUO141" s="91"/>
      <c r="VUR141" s="89"/>
      <c r="VUT141" s="91"/>
      <c r="VUW141" s="89"/>
      <c r="VUY141" s="91"/>
      <c r="VVB141" s="89"/>
      <c r="VVD141" s="91"/>
      <c r="VVG141" s="89"/>
      <c r="VVI141" s="91"/>
      <c r="VVL141" s="89"/>
      <c r="VVN141" s="91"/>
      <c r="VVQ141" s="89"/>
      <c r="VVS141" s="91"/>
      <c r="VVV141" s="89"/>
      <c r="VVX141" s="91"/>
      <c r="VWA141" s="89"/>
      <c r="VWC141" s="91"/>
      <c r="VWF141" s="89"/>
      <c r="VWH141" s="91"/>
      <c r="VWK141" s="89"/>
      <c r="VWM141" s="91"/>
      <c r="VWP141" s="89"/>
      <c r="VWR141" s="91"/>
      <c r="VWU141" s="89"/>
      <c r="VWW141" s="91"/>
      <c r="VWZ141" s="89"/>
      <c r="VXB141" s="91"/>
      <c r="VXE141" s="89"/>
      <c r="VXG141" s="91"/>
      <c r="VXJ141" s="89"/>
      <c r="VXL141" s="91"/>
      <c r="VXO141" s="89"/>
      <c r="VXQ141" s="91"/>
      <c r="VXT141" s="89"/>
      <c r="VXV141" s="91"/>
      <c r="VXY141" s="89"/>
      <c r="VYA141" s="91"/>
      <c r="VYD141" s="89"/>
      <c r="VYF141" s="91"/>
      <c r="VYI141" s="89"/>
      <c r="VYK141" s="91"/>
      <c r="VYN141" s="89"/>
      <c r="VYP141" s="91"/>
      <c r="VYS141" s="89"/>
      <c r="VYU141" s="91"/>
      <c r="VYX141" s="89"/>
      <c r="VYZ141" s="91"/>
      <c r="VZC141" s="89"/>
      <c r="VZE141" s="91"/>
      <c r="VZH141" s="89"/>
      <c r="VZJ141" s="91"/>
      <c r="VZM141" s="89"/>
      <c r="VZO141" s="91"/>
      <c r="VZR141" s="89"/>
      <c r="VZT141" s="91"/>
      <c r="VZW141" s="89"/>
      <c r="VZY141" s="91"/>
      <c r="WAB141" s="89"/>
      <c r="WAD141" s="91"/>
      <c r="WAG141" s="89"/>
      <c r="WAI141" s="91"/>
      <c r="WAL141" s="89"/>
      <c r="WAN141" s="91"/>
      <c r="WAQ141" s="89"/>
      <c r="WAS141" s="91"/>
      <c r="WAV141" s="89"/>
      <c r="WAX141" s="91"/>
      <c r="WBA141" s="89"/>
      <c r="WBC141" s="91"/>
      <c r="WBF141" s="89"/>
      <c r="WBH141" s="91"/>
      <c r="WBK141" s="89"/>
      <c r="WBM141" s="91"/>
      <c r="WBP141" s="89"/>
      <c r="WBR141" s="91"/>
      <c r="WBU141" s="89"/>
      <c r="WBW141" s="91"/>
      <c r="WBZ141" s="89"/>
      <c r="WCB141" s="91"/>
      <c r="WCE141" s="89"/>
      <c r="WCG141" s="91"/>
      <c r="WCJ141" s="89"/>
      <c r="WCL141" s="91"/>
      <c r="WCO141" s="89"/>
      <c r="WCQ141" s="91"/>
      <c r="WCT141" s="89"/>
      <c r="WCV141" s="91"/>
      <c r="WCY141" s="89"/>
      <c r="WDA141" s="91"/>
      <c r="WDD141" s="89"/>
      <c r="WDF141" s="91"/>
      <c r="WDI141" s="89"/>
      <c r="WDK141" s="91"/>
      <c r="WDN141" s="89"/>
      <c r="WDP141" s="91"/>
      <c r="WDS141" s="89"/>
      <c r="WDU141" s="91"/>
      <c r="WDX141" s="89"/>
      <c r="WDZ141" s="91"/>
      <c r="WEC141" s="89"/>
      <c r="WEE141" s="91"/>
      <c r="WEH141" s="89"/>
      <c r="WEJ141" s="91"/>
      <c r="WEM141" s="89"/>
      <c r="WEO141" s="91"/>
      <c r="WER141" s="89"/>
      <c r="WET141" s="91"/>
      <c r="WEW141" s="89"/>
      <c r="WEY141" s="91"/>
      <c r="WFB141" s="89"/>
      <c r="WFD141" s="91"/>
      <c r="WFG141" s="89"/>
      <c r="WFI141" s="91"/>
      <c r="WFL141" s="89"/>
      <c r="WFN141" s="91"/>
      <c r="WFQ141" s="89"/>
      <c r="WFS141" s="91"/>
      <c r="WFV141" s="89"/>
      <c r="WFX141" s="91"/>
      <c r="WGA141" s="89"/>
      <c r="WGC141" s="91"/>
      <c r="WGF141" s="89"/>
      <c r="WGH141" s="91"/>
      <c r="WGK141" s="89"/>
      <c r="WGM141" s="91"/>
      <c r="WGP141" s="89"/>
      <c r="WGR141" s="91"/>
      <c r="WGU141" s="89"/>
      <c r="WGW141" s="91"/>
      <c r="WGZ141" s="89"/>
      <c r="WHB141" s="91"/>
      <c r="WHE141" s="89"/>
      <c r="WHG141" s="91"/>
      <c r="WHJ141" s="89"/>
      <c r="WHL141" s="91"/>
      <c r="WHO141" s="89"/>
      <c r="WHQ141" s="91"/>
      <c r="WHT141" s="89"/>
      <c r="WHV141" s="91"/>
      <c r="WHY141" s="89"/>
      <c r="WIA141" s="91"/>
      <c r="WID141" s="89"/>
      <c r="WIF141" s="91"/>
      <c r="WII141" s="89"/>
      <c r="WIK141" s="91"/>
      <c r="WIN141" s="89"/>
      <c r="WIP141" s="91"/>
      <c r="WIS141" s="89"/>
      <c r="WIU141" s="91"/>
      <c r="WIX141" s="89"/>
      <c r="WIZ141" s="91"/>
      <c r="WJC141" s="89"/>
      <c r="WJE141" s="91"/>
      <c r="WJH141" s="89"/>
      <c r="WJJ141" s="91"/>
      <c r="WJM141" s="89"/>
      <c r="WJO141" s="91"/>
      <c r="WJR141" s="89"/>
      <c r="WJT141" s="91"/>
      <c r="WJW141" s="89"/>
      <c r="WJY141" s="91"/>
      <c r="WKB141" s="89"/>
      <c r="WKD141" s="91"/>
      <c r="WKG141" s="89"/>
      <c r="WKI141" s="91"/>
      <c r="WKL141" s="89"/>
      <c r="WKN141" s="91"/>
      <c r="WKQ141" s="89"/>
      <c r="WKS141" s="91"/>
      <c r="WKV141" s="89"/>
      <c r="WKX141" s="91"/>
      <c r="WLA141" s="89"/>
      <c r="WLC141" s="91"/>
      <c r="WLF141" s="89"/>
      <c r="WLH141" s="91"/>
      <c r="WLK141" s="89"/>
      <c r="WLM141" s="91"/>
      <c r="WLP141" s="89"/>
      <c r="WLR141" s="91"/>
      <c r="WLU141" s="89"/>
      <c r="WLW141" s="91"/>
      <c r="WLZ141" s="89"/>
      <c r="WMB141" s="91"/>
      <c r="WME141" s="89"/>
      <c r="WMG141" s="91"/>
      <c r="WMJ141" s="89"/>
      <c r="WML141" s="91"/>
      <c r="WMO141" s="89"/>
      <c r="WMQ141" s="91"/>
      <c r="WMT141" s="89"/>
      <c r="WMV141" s="91"/>
      <c r="WMY141" s="89"/>
      <c r="WNA141" s="91"/>
      <c r="WND141" s="89"/>
      <c r="WNF141" s="91"/>
      <c r="WNI141" s="89"/>
      <c r="WNK141" s="91"/>
      <c r="WNN141" s="89"/>
      <c r="WNP141" s="91"/>
      <c r="WNS141" s="89"/>
      <c r="WNU141" s="91"/>
      <c r="WNX141" s="89"/>
      <c r="WNZ141" s="91"/>
      <c r="WOC141" s="89"/>
      <c r="WOE141" s="91"/>
      <c r="WOH141" s="89"/>
      <c r="WOJ141" s="91"/>
      <c r="WOM141" s="89"/>
      <c r="WOO141" s="91"/>
      <c r="WOR141" s="89"/>
      <c r="WOT141" s="91"/>
      <c r="WOW141" s="89"/>
      <c r="WOY141" s="91"/>
      <c r="WPB141" s="89"/>
      <c r="WPD141" s="91"/>
      <c r="WPG141" s="89"/>
      <c r="WPI141" s="91"/>
      <c r="WPL141" s="89"/>
      <c r="WPN141" s="91"/>
      <c r="WPQ141" s="89"/>
      <c r="WPS141" s="91"/>
      <c r="WPV141" s="89"/>
      <c r="WPX141" s="91"/>
      <c r="WQA141" s="89"/>
      <c r="WQC141" s="91"/>
      <c r="WQF141" s="89"/>
      <c r="WQH141" s="91"/>
      <c r="WQK141" s="89"/>
      <c r="WQM141" s="91"/>
      <c r="WQP141" s="89"/>
      <c r="WQR141" s="91"/>
      <c r="WQU141" s="89"/>
      <c r="WQW141" s="91"/>
      <c r="WQZ141" s="89"/>
      <c r="WRB141" s="91"/>
      <c r="WRE141" s="89"/>
      <c r="WRG141" s="91"/>
      <c r="WRJ141" s="89"/>
      <c r="WRL141" s="91"/>
      <c r="WRO141" s="89"/>
      <c r="WRQ141" s="91"/>
      <c r="WRT141" s="89"/>
      <c r="WRV141" s="91"/>
      <c r="WRY141" s="89"/>
      <c r="WSA141" s="91"/>
      <c r="WSD141" s="89"/>
      <c r="WSF141" s="91"/>
      <c r="WSI141" s="89"/>
      <c r="WSK141" s="91"/>
      <c r="WSN141" s="89"/>
      <c r="WSP141" s="91"/>
      <c r="WSS141" s="89"/>
      <c r="WSU141" s="91"/>
      <c r="WSX141" s="89"/>
      <c r="WSZ141" s="91"/>
      <c r="WTC141" s="89"/>
      <c r="WTE141" s="91"/>
      <c r="WTH141" s="89"/>
      <c r="WTJ141" s="91"/>
      <c r="WTM141" s="89"/>
      <c r="WTO141" s="91"/>
      <c r="WTR141" s="89"/>
      <c r="WTT141" s="91"/>
      <c r="WTW141" s="89"/>
      <c r="WTY141" s="91"/>
      <c r="WUB141" s="89"/>
      <c r="WUD141" s="91"/>
      <c r="WUG141" s="89"/>
      <c r="WUI141" s="91"/>
      <c r="WUL141" s="89"/>
      <c r="WUN141" s="91"/>
      <c r="WUQ141" s="89"/>
      <c r="WUS141" s="91"/>
      <c r="WUV141" s="89"/>
      <c r="WUX141" s="91"/>
      <c r="WVA141" s="89"/>
      <c r="WVC141" s="91"/>
      <c r="WVF141" s="89"/>
      <c r="WVH141" s="91"/>
      <c r="WVK141" s="89"/>
      <c r="WVM141" s="91"/>
      <c r="WVP141" s="89"/>
      <c r="WVR141" s="91"/>
      <c r="WVU141" s="89"/>
      <c r="WVW141" s="91"/>
      <c r="WVZ141" s="89"/>
      <c r="WWB141" s="91"/>
      <c r="WWE141" s="89"/>
      <c r="WWG141" s="91"/>
      <c r="WWJ141" s="89"/>
      <c r="WWL141" s="91"/>
      <c r="WWO141" s="89"/>
      <c r="WWQ141" s="91"/>
      <c r="WWT141" s="89"/>
      <c r="WWV141" s="91"/>
      <c r="WWY141" s="89"/>
      <c r="WXA141" s="91"/>
      <c r="WXD141" s="89"/>
      <c r="WXF141" s="91"/>
      <c r="WXI141" s="89"/>
      <c r="WXK141" s="91"/>
      <c r="WXN141" s="89"/>
      <c r="WXP141" s="91"/>
      <c r="WXS141" s="89"/>
      <c r="WXU141" s="91"/>
      <c r="WXX141" s="89"/>
      <c r="WXZ141" s="91"/>
      <c r="WYC141" s="89"/>
      <c r="WYE141" s="91"/>
      <c r="WYH141" s="89"/>
      <c r="WYJ141" s="91"/>
      <c r="WYM141" s="89"/>
      <c r="WYO141" s="91"/>
      <c r="WYR141" s="89"/>
      <c r="WYT141" s="91"/>
      <c r="WYW141" s="89"/>
      <c r="WYY141" s="91"/>
      <c r="WZB141" s="89"/>
      <c r="WZD141" s="91"/>
      <c r="WZG141" s="89"/>
      <c r="WZI141" s="91"/>
      <c r="WZL141" s="89"/>
      <c r="WZN141" s="91"/>
      <c r="WZQ141" s="89"/>
      <c r="WZS141" s="91"/>
      <c r="WZV141" s="89"/>
      <c r="WZX141" s="91"/>
      <c r="XAA141" s="89"/>
      <c r="XAC141" s="91"/>
      <c r="XAF141" s="89"/>
      <c r="XAH141" s="91"/>
      <c r="XAK141" s="89"/>
      <c r="XAM141" s="91"/>
      <c r="XAP141" s="89"/>
      <c r="XAR141" s="91"/>
      <c r="XAU141" s="89"/>
      <c r="XAW141" s="91"/>
      <c r="XAZ141" s="89"/>
      <c r="XBB141" s="91"/>
      <c r="XBE141" s="89"/>
      <c r="XBG141" s="91"/>
      <c r="XBJ141" s="89"/>
      <c r="XBL141" s="91"/>
      <c r="XBO141" s="89"/>
      <c r="XBQ141" s="91"/>
      <c r="XBT141" s="89"/>
      <c r="XBV141" s="91"/>
      <c r="XBY141" s="89"/>
      <c r="XCA141" s="91"/>
      <c r="XCD141" s="89"/>
      <c r="XCF141" s="91"/>
      <c r="XCI141" s="89"/>
      <c r="XCK141" s="91"/>
      <c r="XCN141" s="89"/>
      <c r="XCP141" s="91"/>
      <c r="XCS141" s="89"/>
      <c r="XCU141" s="91"/>
      <c r="XCX141" s="89"/>
      <c r="XCZ141" s="91"/>
      <c r="XDC141" s="89"/>
      <c r="XDE141" s="91"/>
      <c r="XDH141" s="89"/>
      <c r="XDJ141" s="91"/>
      <c r="XDM141" s="89"/>
      <c r="XDO141" s="91"/>
      <c r="XDR141" s="89"/>
      <c r="XDT141" s="91"/>
      <c r="XDW141" s="89"/>
      <c r="XDY141" s="91"/>
      <c r="XEB141" s="89"/>
      <c r="XED141" s="91"/>
      <c r="XEG141" s="89"/>
      <c r="XEI141" s="91"/>
      <c r="XEL141" s="89"/>
      <c r="XEN141" s="91"/>
      <c r="XEQ141" s="89"/>
      <c r="XES141" s="91"/>
      <c r="XEV141" s="89"/>
      <c r="XEX141" s="91"/>
      <c r="XFA141" s="89"/>
      <c r="XFC141" s="91"/>
    </row>
    <row r="142" spans="1:1023 1026:2048 2051:3071 3073:4096 4098:5118 5121:6143 6146:7168 7171:8191 8193:9216 9218:10238 10241:11263 11266:12288 12291:13311 13313:14336 14338:15358 15361:16383" x14ac:dyDescent="0.2">
      <c r="A142" s="45">
        <v>45691</v>
      </c>
      <c r="B142" s="37" t="s">
        <v>201</v>
      </c>
      <c r="C142" s="46">
        <v>26260.44</v>
      </c>
      <c r="D142" s="37" t="s">
        <v>125</v>
      </c>
      <c r="E142" s="37" t="s">
        <v>135</v>
      </c>
    </row>
    <row r="143" spans="1:1023 1026:2048 2051:3071 3073:4096 4098:5118 5121:6143 6146:7168 7171:8191 8193:9216 9218:10238 10241:11263 11266:12288 12291:13311 13313:14336 14338:15358 15361:16383" x14ac:dyDescent="0.2">
      <c r="A143" s="45">
        <v>45691</v>
      </c>
      <c r="B143" s="37" t="s">
        <v>202</v>
      </c>
      <c r="C143" s="46">
        <v>83325.98</v>
      </c>
      <c r="D143" s="37" t="s">
        <v>125</v>
      </c>
      <c r="E143" s="37" t="s">
        <v>203</v>
      </c>
    </row>
    <row r="144" spans="1:1023 1026:2048 2051:3071 3073:4096 4098:5118 5121:6143 6146:7168 7171:8191 8193:9216 9218:10238 10241:11263 11266:12288 12291:13311 13313:14336 14338:15358 15361:16383" x14ac:dyDescent="0.2">
      <c r="A144" s="45">
        <v>45698</v>
      </c>
      <c r="B144" s="37" t="s">
        <v>216</v>
      </c>
      <c r="C144" s="46">
        <v>220000</v>
      </c>
      <c r="D144" s="37" t="s">
        <v>125</v>
      </c>
      <c r="E144" s="37" t="s">
        <v>136</v>
      </c>
    </row>
    <row r="145" spans="1:5" x14ac:dyDescent="0.2">
      <c r="A145" s="45">
        <v>45698</v>
      </c>
      <c r="B145" s="37" t="s">
        <v>217</v>
      </c>
      <c r="C145" s="46">
        <v>264059</v>
      </c>
      <c r="D145" s="37" t="s">
        <v>125</v>
      </c>
      <c r="E145" s="37" t="s">
        <v>131</v>
      </c>
    </row>
    <row r="146" spans="1:5" x14ac:dyDescent="0.2">
      <c r="A146" s="45">
        <v>45698</v>
      </c>
      <c r="B146" s="37" t="s">
        <v>218</v>
      </c>
      <c r="C146" s="46">
        <v>124630</v>
      </c>
      <c r="D146" s="37" t="s">
        <v>125</v>
      </c>
      <c r="E146" s="37" t="s">
        <v>219</v>
      </c>
    </row>
    <row r="147" spans="1:5" x14ac:dyDescent="0.2">
      <c r="A147" s="45">
        <v>45700</v>
      </c>
      <c r="B147" s="37" t="s">
        <v>222</v>
      </c>
      <c r="C147" s="46">
        <v>94394</v>
      </c>
      <c r="D147" s="37" t="s">
        <v>125</v>
      </c>
      <c r="E147" s="37" t="s">
        <v>223</v>
      </c>
    </row>
    <row r="148" spans="1:5" x14ac:dyDescent="0.2">
      <c r="A148" s="45">
        <v>45700</v>
      </c>
      <c r="B148" s="37" t="s">
        <v>224</v>
      </c>
      <c r="C148" s="46">
        <v>148922.04999999999</v>
      </c>
      <c r="D148" s="37" t="s">
        <v>125</v>
      </c>
      <c r="E148" s="37" t="s">
        <v>130</v>
      </c>
    </row>
    <row r="149" spans="1:5" x14ac:dyDescent="0.2">
      <c r="A149" s="45">
        <v>45702</v>
      </c>
      <c r="B149" s="37" t="s">
        <v>228</v>
      </c>
      <c r="C149" s="46">
        <v>66550.009999999995</v>
      </c>
      <c r="D149" s="37" t="s">
        <v>125</v>
      </c>
      <c r="E149" s="37" t="s">
        <v>174</v>
      </c>
    </row>
    <row r="150" spans="1:5" x14ac:dyDescent="0.2">
      <c r="A150" s="45">
        <v>45716</v>
      </c>
      <c r="B150" s="37" t="s">
        <v>239</v>
      </c>
      <c r="C150" s="46">
        <v>14545.1</v>
      </c>
      <c r="D150" s="37" t="s">
        <v>125</v>
      </c>
      <c r="E150" s="37" t="s">
        <v>240</v>
      </c>
    </row>
    <row r="151" spans="1:5" x14ac:dyDescent="0.2">
      <c r="A151" s="45">
        <v>45716</v>
      </c>
      <c r="B151" s="37" t="s">
        <v>241</v>
      </c>
      <c r="C151" s="46">
        <v>14937.63</v>
      </c>
      <c r="D151" s="37" t="s">
        <v>125</v>
      </c>
      <c r="E151" s="37" t="s">
        <v>240</v>
      </c>
    </row>
    <row r="152" spans="1:5" x14ac:dyDescent="0.2">
      <c r="A152" s="45">
        <v>45716</v>
      </c>
      <c r="B152" s="37" t="s">
        <v>242</v>
      </c>
      <c r="C152" s="46">
        <v>17962.400000000001</v>
      </c>
      <c r="D152" s="37" t="s">
        <v>125</v>
      </c>
      <c r="E152" s="37" t="s">
        <v>240</v>
      </c>
    </row>
    <row r="153" spans="1:5" x14ac:dyDescent="0.2">
      <c r="A153" s="45">
        <v>45716</v>
      </c>
      <c r="B153" s="37" t="s">
        <v>243</v>
      </c>
      <c r="C153" s="46">
        <v>18755.98</v>
      </c>
      <c r="D153" s="37" t="s">
        <v>125</v>
      </c>
      <c r="E153" s="37" t="s">
        <v>240</v>
      </c>
    </row>
    <row r="154" spans="1:5" x14ac:dyDescent="0.2">
      <c r="A154" s="45">
        <v>45716</v>
      </c>
      <c r="B154" s="37" t="s">
        <v>244</v>
      </c>
      <c r="C154" s="46">
        <v>19404.099999999999</v>
      </c>
      <c r="D154" s="37" t="s">
        <v>125</v>
      </c>
      <c r="E154" s="37" t="s">
        <v>240</v>
      </c>
    </row>
    <row r="155" spans="1:5" x14ac:dyDescent="0.2">
      <c r="A155" s="45">
        <v>45716</v>
      </c>
      <c r="B155" s="37" t="s">
        <v>245</v>
      </c>
      <c r="C155" s="46">
        <v>19505.87</v>
      </c>
      <c r="D155" s="37" t="s">
        <v>125</v>
      </c>
      <c r="E155" s="37" t="s">
        <v>240</v>
      </c>
    </row>
    <row r="156" spans="1:5" x14ac:dyDescent="0.2">
      <c r="A156" s="45">
        <v>45716</v>
      </c>
      <c r="B156" s="37" t="s">
        <v>246</v>
      </c>
      <c r="C156" s="46">
        <v>20448.91</v>
      </c>
      <c r="D156" s="37" t="s">
        <v>125</v>
      </c>
      <c r="E156" s="37" t="s">
        <v>240</v>
      </c>
    </row>
    <row r="157" spans="1:5" x14ac:dyDescent="0.2">
      <c r="A157" s="45">
        <v>45716</v>
      </c>
      <c r="B157" s="37" t="s">
        <v>247</v>
      </c>
      <c r="C157" s="46">
        <v>20462.61</v>
      </c>
      <c r="D157" s="37" t="s">
        <v>125</v>
      </c>
      <c r="E157" s="37" t="s">
        <v>240</v>
      </c>
    </row>
    <row r="158" spans="1:5" x14ac:dyDescent="0.2">
      <c r="A158" s="45">
        <v>45716</v>
      </c>
      <c r="B158" s="37" t="s">
        <v>248</v>
      </c>
      <c r="C158" s="46">
        <v>20508.849999999999</v>
      </c>
      <c r="D158" s="37" t="s">
        <v>125</v>
      </c>
      <c r="E158" s="37" t="s">
        <v>240</v>
      </c>
    </row>
    <row r="159" spans="1:5" x14ac:dyDescent="0.2">
      <c r="A159" s="45">
        <v>45716</v>
      </c>
      <c r="B159" s="37" t="s">
        <v>249</v>
      </c>
      <c r="C159" s="46">
        <v>460247.88</v>
      </c>
      <c r="D159" s="37" t="s">
        <v>125</v>
      </c>
      <c r="E159" s="37" t="s">
        <v>171</v>
      </c>
    </row>
    <row r="160" spans="1:5" x14ac:dyDescent="0.2">
      <c r="A160" s="45">
        <v>45716</v>
      </c>
      <c r="B160" s="37" t="s">
        <v>250</v>
      </c>
      <c r="C160" s="46">
        <v>10288</v>
      </c>
      <c r="D160" s="37" t="s">
        <v>125</v>
      </c>
      <c r="E160" s="37" t="s">
        <v>131</v>
      </c>
    </row>
    <row r="161" spans="1:1023 1026:2048 2051:3071 3073:4096 4098:5118 5121:6143 6146:7168 7171:8191 8193:9216 9218:10238 10241:11263 11266:12288 12291:13311 13313:14336 14338:15358 15361:16383" x14ac:dyDescent="0.2">
      <c r="A161" s="48">
        <v>45684</v>
      </c>
      <c r="B161" s="37" t="s">
        <v>251</v>
      </c>
      <c r="C161" s="46">
        <v>399520.01</v>
      </c>
      <c r="D161" s="37" t="s">
        <v>125</v>
      </c>
      <c r="E161" s="37" t="s">
        <v>252</v>
      </c>
    </row>
    <row r="162" spans="1:1023 1026:2048 2051:3071 3073:4096 4098:5118 5121:6143 6146:7168 7171:8191 8193:9216 9218:10238 10241:11263 11266:12288 12291:13311 13313:14336 14338:15358 15361:16383" x14ac:dyDescent="0.2">
      <c r="A162" s="48">
        <v>45685</v>
      </c>
      <c r="B162" s="37" t="s">
        <v>253</v>
      </c>
      <c r="C162" s="46">
        <v>13563.12</v>
      </c>
      <c r="D162" s="37" t="s">
        <v>125</v>
      </c>
      <c r="E162" s="37" t="s">
        <v>252</v>
      </c>
    </row>
    <row r="163" spans="1:1023 1026:2048 2051:3071 3073:4096 4098:5118 5121:6143 6146:7168 7171:8191 8193:9216 9218:10238 10241:11263 11266:12288 12291:13311 13313:14336 14338:15358 15361:16383" x14ac:dyDescent="0.2">
      <c r="A163" s="48">
        <v>45690</v>
      </c>
      <c r="B163" s="37" t="s">
        <v>254</v>
      </c>
      <c r="C163" s="46">
        <v>12579</v>
      </c>
      <c r="D163" s="37" t="s">
        <v>125</v>
      </c>
      <c r="E163" s="37" t="s">
        <v>252</v>
      </c>
    </row>
    <row r="164" spans="1:1023 1026:2048 2051:3071 3073:4096 4098:5118 5121:6143 6146:7168 7171:8191 8193:9216 9218:10238 10241:11263 11266:12288 12291:13311 13313:14336 14338:15358 15361:16383" x14ac:dyDescent="0.2">
      <c r="A164" s="48">
        <v>45681</v>
      </c>
      <c r="B164" s="37" t="s">
        <v>255</v>
      </c>
      <c r="C164" s="46">
        <v>31900.03</v>
      </c>
      <c r="D164" s="37" t="s">
        <v>125</v>
      </c>
      <c r="E164" s="37" t="s">
        <v>272</v>
      </c>
    </row>
    <row r="165" spans="1:1023 1026:2048 2051:3071 3073:4096 4098:5118 5121:6143 6146:7168 7171:8191 8193:9216 9218:10238 10241:11263 11266:12288 12291:13311 13313:14336 14338:15358 15361:16383" x14ac:dyDescent="0.2">
      <c r="A165" s="48">
        <v>45698</v>
      </c>
      <c r="B165" s="37" t="s">
        <v>164</v>
      </c>
      <c r="C165" s="46">
        <v>50000</v>
      </c>
      <c r="D165" s="37" t="s">
        <v>125</v>
      </c>
      <c r="E165" s="37" t="s">
        <v>260</v>
      </c>
    </row>
    <row r="166" spans="1:1023 1026:2048 2051:3071 3073:4096 4098:5118 5121:6143 6146:7168 7171:8191 8193:9216 9218:10238 10241:11263 11266:12288 12291:13311 13313:14336 14338:15358 15361:16383" x14ac:dyDescent="0.2">
      <c r="A166" s="48">
        <v>45710</v>
      </c>
      <c r="B166" s="37" t="s">
        <v>264</v>
      </c>
      <c r="C166" s="46">
        <v>654000</v>
      </c>
      <c r="D166" s="37" t="s">
        <v>125</v>
      </c>
      <c r="E166" s="37" t="s">
        <v>265</v>
      </c>
    </row>
    <row r="167" spans="1:1023 1026:2048 2051:3071 3073:4096 4098:5118 5121:6143 6146:7168 7171:8191 8193:9216 9218:10238 10241:11263 11266:12288 12291:13311 13313:14336 14338:15358 15361:16383" x14ac:dyDescent="0.2">
      <c r="A167" s="48">
        <v>45716</v>
      </c>
      <c r="B167" s="37" t="s">
        <v>269</v>
      </c>
      <c r="C167" s="46">
        <v>73000</v>
      </c>
      <c r="D167" s="37" t="s">
        <v>125</v>
      </c>
      <c r="E167" s="37" t="s">
        <v>131</v>
      </c>
    </row>
    <row r="168" spans="1:1023 1026:2048 2051:3071 3073:4096 4098:5118 5121:6143 6146:7168 7171:8191 8193:9216 9218:10238 10241:11263 11266:12288 12291:13311 13313:14336 14338:15358 15361:16383" s="90" customFormat="1" x14ac:dyDescent="0.2">
      <c r="A168" s="89"/>
      <c r="B168" s="90" t="str">
        <f>+D167</f>
        <v>Local</v>
      </c>
      <c r="C168" s="91">
        <f>SUM(C142:C167)</f>
        <v>2899770.97</v>
      </c>
      <c r="F168" s="89"/>
      <c r="H168" s="91"/>
      <c r="K168" s="89"/>
      <c r="M168" s="91"/>
      <c r="P168" s="89"/>
      <c r="R168" s="91"/>
      <c r="U168" s="89"/>
      <c r="W168" s="91"/>
      <c r="Z168" s="89"/>
      <c r="AB168" s="91"/>
      <c r="AE168" s="89"/>
      <c r="AG168" s="91"/>
      <c r="AJ168" s="89"/>
      <c r="AL168" s="91"/>
      <c r="AO168" s="89"/>
      <c r="AQ168" s="91"/>
      <c r="AT168" s="89"/>
      <c r="AV168" s="91"/>
      <c r="AY168" s="89"/>
      <c r="BA168" s="91"/>
      <c r="BD168" s="89"/>
      <c r="BF168" s="91"/>
      <c r="BI168" s="89"/>
      <c r="BK168" s="91"/>
      <c r="BN168" s="89"/>
      <c r="BP168" s="91"/>
      <c r="BS168" s="89"/>
      <c r="BU168" s="91"/>
      <c r="BX168" s="89"/>
      <c r="BZ168" s="91"/>
      <c r="CC168" s="89"/>
      <c r="CE168" s="91"/>
      <c r="CH168" s="89"/>
      <c r="CJ168" s="91"/>
      <c r="CM168" s="89"/>
      <c r="CO168" s="91"/>
      <c r="CR168" s="89"/>
      <c r="CT168" s="91"/>
      <c r="CW168" s="89"/>
      <c r="CY168" s="91"/>
      <c r="DB168" s="89"/>
      <c r="DD168" s="91"/>
      <c r="DG168" s="89"/>
      <c r="DI168" s="91"/>
      <c r="DL168" s="89"/>
      <c r="DN168" s="91"/>
      <c r="DQ168" s="89"/>
      <c r="DS168" s="91"/>
      <c r="DV168" s="89"/>
      <c r="DX168" s="91"/>
      <c r="EA168" s="89"/>
      <c r="EC168" s="91"/>
      <c r="EF168" s="89"/>
      <c r="EH168" s="91"/>
      <c r="EK168" s="89"/>
      <c r="EM168" s="91"/>
      <c r="EP168" s="89"/>
      <c r="ER168" s="91"/>
      <c r="EU168" s="89"/>
      <c r="EW168" s="91"/>
      <c r="EZ168" s="89"/>
      <c r="FB168" s="91"/>
      <c r="FE168" s="89"/>
      <c r="FG168" s="91"/>
      <c r="FJ168" s="89"/>
      <c r="FL168" s="91"/>
      <c r="FO168" s="89"/>
      <c r="FQ168" s="91"/>
      <c r="FT168" s="89"/>
      <c r="FV168" s="91"/>
      <c r="FY168" s="89"/>
      <c r="GA168" s="91"/>
      <c r="GD168" s="89"/>
      <c r="GF168" s="91"/>
      <c r="GI168" s="89"/>
      <c r="GK168" s="91"/>
      <c r="GN168" s="89"/>
      <c r="GP168" s="91"/>
      <c r="GS168" s="89"/>
      <c r="GU168" s="91"/>
      <c r="GX168" s="89"/>
      <c r="GZ168" s="91"/>
      <c r="HC168" s="89"/>
      <c r="HE168" s="91"/>
      <c r="HH168" s="89"/>
      <c r="HJ168" s="91"/>
      <c r="HM168" s="89"/>
      <c r="HO168" s="91"/>
      <c r="HR168" s="89"/>
      <c r="HT168" s="91"/>
      <c r="HW168" s="89"/>
      <c r="HY168" s="91"/>
      <c r="IB168" s="89"/>
      <c r="ID168" s="91"/>
      <c r="IG168" s="89"/>
      <c r="II168" s="91"/>
      <c r="IL168" s="89"/>
      <c r="IN168" s="91"/>
      <c r="IQ168" s="89"/>
      <c r="IS168" s="91"/>
      <c r="IV168" s="89"/>
      <c r="IX168" s="91"/>
      <c r="JA168" s="89"/>
      <c r="JC168" s="91"/>
      <c r="JF168" s="89"/>
      <c r="JH168" s="91"/>
      <c r="JK168" s="89"/>
      <c r="JM168" s="91"/>
      <c r="JP168" s="89"/>
      <c r="JR168" s="91"/>
      <c r="JU168" s="89"/>
      <c r="JW168" s="91"/>
      <c r="JZ168" s="89"/>
      <c r="KB168" s="91"/>
      <c r="KE168" s="89"/>
      <c r="KG168" s="91"/>
      <c r="KJ168" s="89"/>
      <c r="KL168" s="91"/>
      <c r="KO168" s="89"/>
      <c r="KQ168" s="91"/>
      <c r="KT168" s="89"/>
      <c r="KV168" s="91"/>
      <c r="KY168" s="89"/>
      <c r="LA168" s="91"/>
      <c r="LD168" s="89"/>
      <c r="LF168" s="91"/>
      <c r="LI168" s="89"/>
      <c r="LK168" s="91"/>
      <c r="LN168" s="89"/>
      <c r="LP168" s="91"/>
      <c r="LS168" s="89"/>
      <c r="LU168" s="91"/>
      <c r="LX168" s="89"/>
      <c r="LZ168" s="91"/>
      <c r="MC168" s="89"/>
      <c r="ME168" s="91"/>
      <c r="MH168" s="89"/>
      <c r="MJ168" s="91"/>
      <c r="MM168" s="89"/>
      <c r="MO168" s="91"/>
      <c r="MR168" s="89"/>
      <c r="MT168" s="91"/>
      <c r="MW168" s="89"/>
      <c r="MY168" s="91"/>
      <c r="NB168" s="89"/>
      <c r="ND168" s="91"/>
      <c r="NG168" s="89"/>
      <c r="NI168" s="91"/>
      <c r="NL168" s="89"/>
      <c r="NN168" s="91"/>
      <c r="NQ168" s="89"/>
      <c r="NS168" s="91"/>
      <c r="NV168" s="89"/>
      <c r="NX168" s="91"/>
      <c r="OA168" s="89"/>
      <c r="OC168" s="91"/>
      <c r="OF168" s="89"/>
      <c r="OH168" s="91"/>
      <c r="OK168" s="89"/>
      <c r="OM168" s="91"/>
      <c r="OP168" s="89"/>
      <c r="OR168" s="91"/>
      <c r="OU168" s="89"/>
      <c r="OW168" s="91"/>
      <c r="OZ168" s="89"/>
      <c r="PB168" s="91"/>
      <c r="PE168" s="89"/>
      <c r="PG168" s="91"/>
      <c r="PJ168" s="89"/>
      <c r="PL168" s="91"/>
      <c r="PO168" s="89"/>
      <c r="PQ168" s="91"/>
      <c r="PT168" s="89"/>
      <c r="PV168" s="91"/>
      <c r="PY168" s="89"/>
      <c r="QA168" s="91"/>
      <c r="QD168" s="89"/>
      <c r="QF168" s="91"/>
      <c r="QI168" s="89"/>
      <c r="QK168" s="91"/>
      <c r="QN168" s="89"/>
      <c r="QP168" s="91"/>
      <c r="QS168" s="89"/>
      <c r="QU168" s="91"/>
      <c r="QX168" s="89"/>
      <c r="QZ168" s="91"/>
      <c r="RC168" s="89"/>
      <c r="RE168" s="91"/>
      <c r="RH168" s="89"/>
      <c r="RJ168" s="91"/>
      <c r="RM168" s="89"/>
      <c r="RO168" s="91"/>
      <c r="RR168" s="89"/>
      <c r="RT168" s="91"/>
      <c r="RW168" s="89"/>
      <c r="RY168" s="91"/>
      <c r="SB168" s="89"/>
      <c r="SD168" s="91"/>
      <c r="SG168" s="89"/>
      <c r="SI168" s="91"/>
      <c r="SL168" s="89"/>
      <c r="SN168" s="91"/>
      <c r="SQ168" s="89"/>
      <c r="SS168" s="91"/>
      <c r="SV168" s="89"/>
      <c r="SX168" s="91"/>
      <c r="TA168" s="89"/>
      <c r="TC168" s="91"/>
      <c r="TF168" s="89"/>
      <c r="TH168" s="91"/>
      <c r="TK168" s="89"/>
      <c r="TM168" s="91"/>
      <c r="TP168" s="89"/>
      <c r="TR168" s="91"/>
      <c r="TU168" s="89"/>
      <c r="TW168" s="91"/>
      <c r="TZ168" s="89"/>
      <c r="UB168" s="91"/>
      <c r="UE168" s="89"/>
      <c r="UG168" s="91"/>
      <c r="UJ168" s="89"/>
      <c r="UL168" s="91"/>
      <c r="UO168" s="89"/>
      <c r="UQ168" s="91"/>
      <c r="UT168" s="89"/>
      <c r="UV168" s="91"/>
      <c r="UY168" s="89"/>
      <c r="VA168" s="91"/>
      <c r="VD168" s="89"/>
      <c r="VF168" s="91"/>
      <c r="VI168" s="89"/>
      <c r="VK168" s="91"/>
      <c r="VN168" s="89"/>
      <c r="VP168" s="91"/>
      <c r="VS168" s="89"/>
      <c r="VU168" s="91"/>
      <c r="VX168" s="89"/>
      <c r="VZ168" s="91"/>
      <c r="WC168" s="89"/>
      <c r="WE168" s="91"/>
      <c r="WH168" s="89"/>
      <c r="WJ168" s="91"/>
      <c r="WM168" s="89"/>
      <c r="WO168" s="91"/>
      <c r="WR168" s="89"/>
      <c r="WT168" s="91"/>
      <c r="WW168" s="89"/>
      <c r="WY168" s="91"/>
      <c r="XB168" s="89"/>
      <c r="XD168" s="91"/>
      <c r="XG168" s="89"/>
      <c r="XI168" s="91"/>
      <c r="XL168" s="89"/>
      <c r="XN168" s="91"/>
      <c r="XQ168" s="89"/>
      <c r="XS168" s="91"/>
      <c r="XV168" s="89"/>
      <c r="XX168" s="91"/>
      <c r="YA168" s="89"/>
      <c r="YC168" s="91"/>
      <c r="YF168" s="89"/>
      <c r="YH168" s="91"/>
      <c r="YK168" s="89"/>
      <c r="YM168" s="91"/>
      <c r="YP168" s="89"/>
      <c r="YR168" s="91"/>
      <c r="YU168" s="89"/>
      <c r="YW168" s="91"/>
      <c r="YZ168" s="89"/>
      <c r="ZB168" s="91"/>
      <c r="ZE168" s="89"/>
      <c r="ZG168" s="91"/>
      <c r="ZJ168" s="89"/>
      <c r="ZL168" s="91"/>
      <c r="ZO168" s="89"/>
      <c r="ZQ168" s="91"/>
      <c r="ZT168" s="89"/>
      <c r="ZV168" s="91"/>
      <c r="ZY168" s="89"/>
      <c r="AAA168" s="91"/>
      <c r="AAD168" s="89"/>
      <c r="AAF168" s="91"/>
      <c r="AAI168" s="89"/>
      <c r="AAK168" s="91"/>
      <c r="AAN168" s="89"/>
      <c r="AAP168" s="91"/>
      <c r="AAS168" s="89"/>
      <c r="AAU168" s="91"/>
      <c r="AAX168" s="89"/>
      <c r="AAZ168" s="91"/>
      <c r="ABC168" s="89"/>
      <c r="ABE168" s="91"/>
      <c r="ABH168" s="89"/>
      <c r="ABJ168" s="91"/>
      <c r="ABM168" s="89"/>
      <c r="ABO168" s="91"/>
      <c r="ABR168" s="89"/>
      <c r="ABT168" s="91"/>
      <c r="ABW168" s="89"/>
      <c r="ABY168" s="91"/>
      <c r="ACB168" s="89"/>
      <c r="ACD168" s="91"/>
      <c r="ACG168" s="89"/>
      <c r="ACI168" s="91"/>
      <c r="ACL168" s="89"/>
      <c r="ACN168" s="91"/>
      <c r="ACQ168" s="89"/>
      <c r="ACS168" s="91"/>
      <c r="ACV168" s="89"/>
      <c r="ACX168" s="91"/>
      <c r="ADA168" s="89"/>
      <c r="ADC168" s="91"/>
      <c r="ADF168" s="89"/>
      <c r="ADH168" s="91"/>
      <c r="ADK168" s="89"/>
      <c r="ADM168" s="91"/>
      <c r="ADP168" s="89"/>
      <c r="ADR168" s="91"/>
      <c r="ADU168" s="89"/>
      <c r="ADW168" s="91"/>
      <c r="ADZ168" s="89"/>
      <c r="AEB168" s="91"/>
      <c r="AEE168" s="89"/>
      <c r="AEG168" s="91"/>
      <c r="AEJ168" s="89"/>
      <c r="AEL168" s="91"/>
      <c r="AEO168" s="89"/>
      <c r="AEQ168" s="91"/>
      <c r="AET168" s="89"/>
      <c r="AEV168" s="91"/>
      <c r="AEY168" s="89"/>
      <c r="AFA168" s="91"/>
      <c r="AFD168" s="89"/>
      <c r="AFF168" s="91"/>
      <c r="AFI168" s="89"/>
      <c r="AFK168" s="91"/>
      <c r="AFN168" s="89"/>
      <c r="AFP168" s="91"/>
      <c r="AFS168" s="89"/>
      <c r="AFU168" s="91"/>
      <c r="AFX168" s="89"/>
      <c r="AFZ168" s="91"/>
      <c r="AGC168" s="89"/>
      <c r="AGE168" s="91"/>
      <c r="AGH168" s="89"/>
      <c r="AGJ168" s="91"/>
      <c r="AGM168" s="89"/>
      <c r="AGO168" s="91"/>
      <c r="AGR168" s="89"/>
      <c r="AGT168" s="91"/>
      <c r="AGW168" s="89"/>
      <c r="AGY168" s="91"/>
      <c r="AHB168" s="89"/>
      <c r="AHD168" s="91"/>
      <c r="AHG168" s="89"/>
      <c r="AHI168" s="91"/>
      <c r="AHL168" s="89"/>
      <c r="AHN168" s="91"/>
      <c r="AHQ168" s="89"/>
      <c r="AHS168" s="91"/>
      <c r="AHV168" s="89"/>
      <c r="AHX168" s="91"/>
      <c r="AIA168" s="89"/>
      <c r="AIC168" s="91"/>
      <c r="AIF168" s="89"/>
      <c r="AIH168" s="91"/>
      <c r="AIK168" s="89"/>
      <c r="AIM168" s="91"/>
      <c r="AIP168" s="89"/>
      <c r="AIR168" s="91"/>
      <c r="AIU168" s="89"/>
      <c r="AIW168" s="91"/>
      <c r="AIZ168" s="89"/>
      <c r="AJB168" s="91"/>
      <c r="AJE168" s="89"/>
      <c r="AJG168" s="91"/>
      <c r="AJJ168" s="89"/>
      <c r="AJL168" s="91"/>
      <c r="AJO168" s="89"/>
      <c r="AJQ168" s="91"/>
      <c r="AJT168" s="89"/>
      <c r="AJV168" s="91"/>
      <c r="AJY168" s="89"/>
      <c r="AKA168" s="91"/>
      <c r="AKD168" s="89"/>
      <c r="AKF168" s="91"/>
      <c r="AKI168" s="89"/>
      <c r="AKK168" s="91"/>
      <c r="AKN168" s="89"/>
      <c r="AKP168" s="91"/>
      <c r="AKS168" s="89"/>
      <c r="AKU168" s="91"/>
      <c r="AKX168" s="89"/>
      <c r="AKZ168" s="91"/>
      <c r="ALC168" s="89"/>
      <c r="ALE168" s="91"/>
      <c r="ALH168" s="89"/>
      <c r="ALJ168" s="91"/>
      <c r="ALM168" s="89"/>
      <c r="ALO168" s="91"/>
      <c r="ALR168" s="89"/>
      <c r="ALT168" s="91"/>
      <c r="ALW168" s="89"/>
      <c r="ALY168" s="91"/>
      <c r="AMB168" s="89"/>
      <c r="AMD168" s="91"/>
      <c r="AMG168" s="89"/>
      <c r="AMI168" s="91"/>
      <c r="AML168" s="89"/>
      <c r="AMN168" s="91"/>
      <c r="AMQ168" s="89"/>
      <c r="AMS168" s="91"/>
      <c r="AMV168" s="89"/>
      <c r="AMX168" s="91"/>
      <c r="ANA168" s="89"/>
      <c r="ANC168" s="91"/>
      <c r="ANF168" s="89"/>
      <c r="ANH168" s="91"/>
      <c r="ANK168" s="89"/>
      <c r="ANM168" s="91"/>
      <c r="ANP168" s="89"/>
      <c r="ANR168" s="91"/>
      <c r="ANU168" s="89"/>
      <c r="ANW168" s="91"/>
      <c r="ANZ168" s="89"/>
      <c r="AOB168" s="91"/>
      <c r="AOE168" s="89"/>
      <c r="AOG168" s="91"/>
      <c r="AOJ168" s="89"/>
      <c r="AOL168" s="91"/>
      <c r="AOO168" s="89"/>
      <c r="AOQ168" s="91"/>
      <c r="AOT168" s="89"/>
      <c r="AOV168" s="91"/>
      <c r="AOY168" s="89"/>
      <c r="APA168" s="91"/>
      <c r="APD168" s="89"/>
      <c r="APF168" s="91"/>
      <c r="API168" s="89"/>
      <c r="APK168" s="91"/>
      <c r="APN168" s="89"/>
      <c r="APP168" s="91"/>
      <c r="APS168" s="89"/>
      <c r="APU168" s="91"/>
      <c r="APX168" s="89"/>
      <c r="APZ168" s="91"/>
      <c r="AQC168" s="89"/>
      <c r="AQE168" s="91"/>
      <c r="AQH168" s="89"/>
      <c r="AQJ168" s="91"/>
      <c r="AQM168" s="89"/>
      <c r="AQO168" s="91"/>
      <c r="AQR168" s="89"/>
      <c r="AQT168" s="91"/>
      <c r="AQW168" s="89"/>
      <c r="AQY168" s="91"/>
      <c r="ARB168" s="89"/>
      <c r="ARD168" s="91"/>
      <c r="ARG168" s="89"/>
      <c r="ARI168" s="91"/>
      <c r="ARL168" s="89"/>
      <c r="ARN168" s="91"/>
      <c r="ARQ168" s="89"/>
      <c r="ARS168" s="91"/>
      <c r="ARV168" s="89"/>
      <c r="ARX168" s="91"/>
      <c r="ASA168" s="89"/>
      <c r="ASC168" s="91"/>
      <c r="ASF168" s="89"/>
      <c r="ASH168" s="91"/>
      <c r="ASK168" s="89"/>
      <c r="ASM168" s="91"/>
      <c r="ASP168" s="89"/>
      <c r="ASR168" s="91"/>
      <c r="ASU168" s="89"/>
      <c r="ASW168" s="91"/>
      <c r="ASZ168" s="89"/>
      <c r="ATB168" s="91"/>
      <c r="ATE168" s="89"/>
      <c r="ATG168" s="91"/>
      <c r="ATJ168" s="89"/>
      <c r="ATL168" s="91"/>
      <c r="ATO168" s="89"/>
      <c r="ATQ168" s="91"/>
      <c r="ATT168" s="89"/>
      <c r="ATV168" s="91"/>
      <c r="ATY168" s="89"/>
      <c r="AUA168" s="91"/>
      <c r="AUD168" s="89"/>
      <c r="AUF168" s="91"/>
      <c r="AUI168" s="89"/>
      <c r="AUK168" s="91"/>
      <c r="AUN168" s="89"/>
      <c r="AUP168" s="91"/>
      <c r="AUS168" s="89"/>
      <c r="AUU168" s="91"/>
      <c r="AUX168" s="89"/>
      <c r="AUZ168" s="91"/>
      <c r="AVC168" s="89"/>
      <c r="AVE168" s="91"/>
      <c r="AVH168" s="89"/>
      <c r="AVJ168" s="91"/>
      <c r="AVM168" s="89"/>
      <c r="AVO168" s="91"/>
      <c r="AVR168" s="89"/>
      <c r="AVT168" s="91"/>
      <c r="AVW168" s="89"/>
      <c r="AVY168" s="91"/>
      <c r="AWB168" s="89"/>
      <c r="AWD168" s="91"/>
      <c r="AWG168" s="89"/>
      <c r="AWI168" s="91"/>
      <c r="AWL168" s="89"/>
      <c r="AWN168" s="91"/>
      <c r="AWQ168" s="89"/>
      <c r="AWS168" s="91"/>
      <c r="AWV168" s="89"/>
      <c r="AWX168" s="91"/>
      <c r="AXA168" s="89"/>
      <c r="AXC168" s="91"/>
      <c r="AXF168" s="89"/>
      <c r="AXH168" s="91"/>
      <c r="AXK168" s="89"/>
      <c r="AXM168" s="91"/>
      <c r="AXP168" s="89"/>
      <c r="AXR168" s="91"/>
      <c r="AXU168" s="89"/>
      <c r="AXW168" s="91"/>
      <c r="AXZ168" s="89"/>
      <c r="AYB168" s="91"/>
      <c r="AYE168" s="89"/>
      <c r="AYG168" s="91"/>
      <c r="AYJ168" s="89"/>
      <c r="AYL168" s="91"/>
      <c r="AYO168" s="89"/>
      <c r="AYQ168" s="91"/>
      <c r="AYT168" s="89"/>
      <c r="AYV168" s="91"/>
      <c r="AYY168" s="89"/>
      <c r="AZA168" s="91"/>
      <c r="AZD168" s="89"/>
      <c r="AZF168" s="91"/>
      <c r="AZI168" s="89"/>
      <c r="AZK168" s="91"/>
      <c r="AZN168" s="89"/>
      <c r="AZP168" s="91"/>
      <c r="AZS168" s="89"/>
      <c r="AZU168" s="91"/>
      <c r="AZX168" s="89"/>
      <c r="AZZ168" s="91"/>
      <c r="BAC168" s="89"/>
      <c r="BAE168" s="91"/>
      <c r="BAH168" s="89"/>
      <c r="BAJ168" s="91"/>
      <c r="BAM168" s="89"/>
      <c r="BAO168" s="91"/>
      <c r="BAR168" s="89"/>
      <c r="BAT168" s="91"/>
      <c r="BAW168" s="89"/>
      <c r="BAY168" s="91"/>
      <c r="BBB168" s="89"/>
      <c r="BBD168" s="91"/>
      <c r="BBG168" s="89"/>
      <c r="BBI168" s="91"/>
      <c r="BBL168" s="89"/>
      <c r="BBN168" s="91"/>
      <c r="BBQ168" s="89"/>
      <c r="BBS168" s="91"/>
      <c r="BBV168" s="89"/>
      <c r="BBX168" s="91"/>
      <c r="BCA168" s="89"/>
      <c r="BCC168" s="91"/>
      <c r="BCF168" s="89"/>
      <c r="BCH168" s="91"/>
      <c r="BCK168" s="89"/>
      <c r="BCM168" s="91"/>
      <c r="BCP168" s="89"/>
      <c r="BCR168" s="91"/>
      <c r="BCU168" s="89"/>
      <c r="BCW168" s="91"/>
      <c r="BCZ168" s="89"/>
      <c r="BDB168" s="91"/>
      <c r="BDE168" s="89"/>
      <c r="BDG168" s="91"/>
      <c r="BDJ168" s="89"/>
      <c r="BDL168" s="91"/>
      <c r="BDO168" s="89"/>
      <c r="BDQ168" s="91"/>
      <c r="BDT168" s="89"/>
      <c r="BDV168" s="91"/>
      <c r="BDY168" s="89"/>
      <c r="BEA168" s="91"/>
      <c r="BED168" s="89"/>
      <c r="BEF168" s="91"/>
      <c r="BEI168" s="89"/>
      <c r="BEK168" s="91"/>
      <c r="BEN168" s="89"/>
      <c r="BEP168" s="91"/>
      <c r="BES168" s="89"/>
      <c r="BEU168" s="91"/>
      <c r="BEX168" s="89"/>
      <c r="BEZ168" s="91"/>
      <c r="BFC168" s="89"/>
      <c r="BFE168" s="91"/>
      <c r="BFH168" s="89"/>
      <c r="BFJ168" s="91"/>
      <c r="BFM168" s="89"/>
      <c r="BFO168" s="91"/>
      <c r="BFR168" s="89"/>
      <c r="BFT168" s="91"/>
      <c r="BFW168" s="89"/>
      <c r="BFY168" s="91"/>
      <c r="BGB168" s="89"/>
      <c r="BGD168" s="91"/>
      <c r="BGG168" s="89"/>
      <c r="BGI168" s="91"/>
      <c r="BGL168" s="89"/>
      <c r="BGN168" s="91"/>
      <c r="BGQ168" s="89"/>
      <c r="BGS168" s="91"/>
      <c r="BGV168" s="89"/>
      <c r="BGX168" s="91"/>
      <c r="BHA168" s="89"/>
      <c r="BHC168" s="91"/>
      <c r="BHF168" s="89"/>
      <c r="BHH168" s="91"/>
      <c r="BHK168" s="89"/>
      <c r="BHM168" s="91"/>
      <c r="BHP168" s="89"/>
      <c r="BHR168" s="91"/>
      <c r="BHU168" s="89"/>
      <c r="BHW168" s="91"/>
      <c r="BHZ168" s="89"/>
      <c r="BIB168" s="91"/>
      <c r="BIE168" s="89"/>
      <c r="BIG168" s="91"/>
      <c r="BIJ168" s="89"/>
      <c r="BIL168" s="91"/>
      <c r="BIO168" s="89"/>
      <c r="BIQ168" s="91"/>
      <c r="BIT168" s="89"/>
      <c r="BIV168" s="91"/>
      <c r="BIY168" s="89"/>
      <c r="BJA168" s="91"/>
      <c r="BJD168" s="89"/>
      <c r="BJF168" s="91"/>
      <c r="BJI168" s="89"/>
      <c r="BJK168" s="91"/>
      <c r="BJN168" s="89"/>
      <c r="BJP168" s="91"/>
      <c r="BJS168" s="89"/>
      <c r="BJU168" s="91"/>
      <c r="BJX168" s="89"/>
      <c r="BJZ168" s="91"/>
      <c r="BKC168" s="89"/>
      <c r="BKE168" s="91"/>
      <c r="BKH168" s="89"/>
      <c r="BKJ168" s="91"/>
      <c r="BKM168" s="89"/>
      <c r="BKO168" s="91"/>
      <c r="BKR168" s="89"/>
      <c r="BKT168" s="91"/>
      <c r="BKW168" s="89"/>
      <c r="BKY168" s="91"/>
      <c r="BLB168" s="89"/>
      <c r="BLD168" s="91"/>
      <c r="BLG168" s="89"/>
      <c r="BLI168" s="91"/>
      <c r="BLL168" s="89"/>
      <c r="BLN168" s="91"/>
      <c r="BLQ168" s="89"/>
      <c r="BLS168" s="91"/>
      <c r="BLV168" s="89"/>
      <c r="BLX168" s="91"/>
      <c r="BMA168" s="89"/>
      <c r="BMC168" s="91"/>
      <c r="BMF168" s="89"/>
      <c r="BMH168" s="91"/>
      <c r="BMK168" s="89"/>
      <c r="BMM168" s="91"/>
      <c r="BMP168" s="89"/>
      <c r="BMR168" s="91"/>
      <c r="BMU168" s="89"/>
      <c r="BMW168" s="91"/>
      <c r="BMZ168" s="89"/>
      <c r="BNB168" s="91"/>
      <c r="BNE168" s="89"/>
      <c r="BNG168" s="91"/>
      <c r="BNJ168" s="89"/>
      <c r="BNL168" s="91"/>
      <c r="BNO168" s="89"/>
      <c r="BNQ168" s="91"/>
      <c r="BNT168" s="89"/>
      <c r="BNV168" s="91"/>
      <c r="BNY168" s="89"/>
      <c r="BOA168" s="91"/>
      <c r="BOD168" s="89"/>
      <c r="BOF168" s="91"/>
      <c r="BOI168" s="89"/>
      <c r="BOK168" s="91"/>
      <c r="BON168" s="89"/>
      <c r="BOP168" s="91"/>
      <c r="BOS168" s="89"/>
      <c r="BOU168" s="91"/>
      <c r="BOX168" s="89"/>
      <c r="BOZ168" s="91"/>
      <c r="BPC168" s="89"/>
      <c r="BPE168" s="91"/>
      <c r="BPH168" s="89"/>
      <c r="BPJ168" s="91"/>
      <c r="BPM168" s="89"/>
      <c r="BPO168" s="91"/>
      <c r="BPR168" s="89"/>
      <c r="BPT168" s="91"/>
      <c r="BPW168" s="89"/>
      <c r="BPY168" s="91"/>
      <c r="BQB168" s="89"/>
      <c r="BQD168" s="91"/>
      <c r="BQG168" s="89"/>
      <c r="BQI168" s="91"/>
      <c r="BQL168" s="89"/>
      <c r="BQN168" s="91"/>
      <c r="BQQ168" s="89"/>
      <c r="BQS168" s="91"/>
      <c r="BQV168" s="89"/>
      <c r="BQX168" s="91"/>
      <c r="BRA168" s="89"/>
      <c r="BRC168" s="91"/>
      <c r="BRF168" s="89"/>
      <c r="BRH168" s="91"/>
      <c r="BRK168" s="89"/>
      <c r="BRM168" s="91"/>
      <c r="BRP168" s="89"/>
      <c r="BRR168" s="91"/>
      <c r="BRU168" s="89"/>
      <c r="BRW168" s="91"/>
      <c r="BRZ168" s="89"/>
      <c r="BSB168" s="91"/>
      <c r="BSE168" s="89"/>
      <c r="BSG168" s="91"/>
      <c r="BSJ168" s="89"/>
      <c r="BSL168" s="91"/>
      <c r="BSO168" s="89"/>
      <c r="BSQ168" s="91"/>
      <c r="BST168" s="89"/>
      <c r="BSV168" s="91"/>
      <c r="BSY168" s="89"/>
      <c r="BTA168" s="91"/>
      <c r="BTD168" s="89"/>
      <c r="BTF168" s="91"/>
      <c r="BTI168" s="89"/>
      <c r="BTK168" s="91"/>
      <c r="BTN168" s="89"/>
      <c r="BTP168" s="91"/>
      <c r="BTS168" s="89"/>
      <c r="BTU168" s="91"/>
      <c r="BTX168" s="89"/>
      <c r="BTZ168" s="91"/>
      <c r="BUC168" s="89"/>
      <c r="BUE168" s="91"/>
      <c r="BUH168" s="89"/>
      <c r="BUJ168" s="91"/>
      <c r="BUM168" s="89"/>
      <c r="BUO168" s="91"/>
      <c r="BUR168" s="89"/>
      <c r="BUT168" s="91"/>
      <c r="BUW168" s="89"/>
      <c r="BUY168" s="91"/>
      <c r="BVB168" s="89"/>
      <c r="BVD168" s="91"/>
      <c r="BVG168" s="89"/>
      <c r="BVI168" s="91"/>
      <c r="BVL168" s="89"/>
      <c r="BVN168" s="91"/>
      <c r="BVQ168" s="89"/>
      <c r="BVS168" s="91"/>
      <c r="BVV168" s="89"/>
      <c r="BVX168" s="91"/>
      <c r="BWA168" s="89"/>
      <c r="BWC168" s="91"/>
      <c r="BWF168" s="89"/>
      <c r="BWH168" s="91"/>
      <c r="BWK168" s="89"/>
      <c r="BWM168" s="91"/>
      <c r="BWP168" s="89"/>
      <c r="BWR168" s="91"/>
      <c r="BWU168" s="89"/>
      <c r="BWW168" s="91"/>
      <c r="BWZ168" s="89"/>
      <c r="BXB168" s="91"/>
      <c r="BXE168" s="89"/>
      <c r="BXG168" s="91"/>
      <c r="BXJ168" s="89"/>
      <c r="BXL168" s="91"/>
      <c r="BXO168" s="89"/>
      <c r="BXQ168" s="91"/>
      <c r="BXT168" s="89"/>
      <c r="BXV168" s="91"/>
      <c r="BXY168" s="89"/>
      <c r="BYA168" s="91"/>
      <c r="BYD168" s="89"/>
      <c r="BYF168" s="91"/>
      <c r="BYI168" s="89"/>
      <c r="BYK168" s="91"/>
      <c r="BYN168" s="89"/>
      <c r="BYP168" s="91"/>
      <c r="BYS168" s="89"/>
      <c r="BYU168" s="91"/>
      <c r="BYX168" s="89"/>
      <c r="BYZ168" s="91"/>
      <c r="BZC168" s="89"/>
      <c r="BZE168" s="91"/>
      <c r="BZH168" s="89"/>
      <c r="BZJ168" s="91"/>
      <c r="BZM168" s="89"/>
      <c r="BZO168" s="91"/>
      <c r="BZR168" s="89"/>
      <c r="BZT168" s="91"/>
      <c r="BZW168" s="89"/>
      <c r="BZY168" s="91"/>
      <c r="CAB168" s="89"/>
      <c r="CAD168" s="91"/>
      <c r="CAG168" s="89"/>
      <c r="CAI168" s="91"/>
      <c r="CAL168" s="89"/>
      <c r="CAN168" s="91"/>
      <c r="CAQ168" s="89"/>
      <c r="CAS168" s="91"/>
      <c r="CAV168" s="89"/>
      <c r="CAX168" s="91"/>
      <c r="CBA168" s="89"/>
      <c r="CBC168" s="91"/>
      <c r="CBF168" s="89"/>
      <c r="CBH168" s="91"/>
      <c r="CBK168" s="89"/>
      <c r="CBM168" s="91"/>
      <c r="CBP168" s="89"/>
      <c r="CBR168" s="91"/>
      <c r="CBU168" s="89"/>
      <c r="CBW168" s="91"/>
      <c r="CBZ168" s="89"/>
      <c r="CCB168" s="91"/>
      <c r="CCE168" s="89"/>
      <c r="CCG168" s="91"/>
      <c r="CCJ168" s="89"/>
      <c r="CCL168" s="91"/>
      <c r="CCO168" s="89"/>
      <c r="CCQ168" s="91"/>
      <c r="CCT168" s="89"/>
      <c r="CCV168" s="91"/>
      <c r="CCY168" s="89"/>
      <c r="CDA168" s="91"/>
      <c r="CDD168" s="89"/>
      <c r="CDF168" s="91"/>
      <c r="CDI168" s="89"/>
      <c r="CDK168" s="91"/>
      <c r="CDN168" s="89"/>
      <c r="CDP168" s="91"/>
      <c r="CDS168" s="89"/>
      <c r="CDU168" s="91"/>
      <c r="CDX168" s="89"/>
      <c r="CDZ168" s="91"/>
      <c r="CEC168" s="89"/>
      <c r="CEE168" s="91"/>
      <c r="CEH168" s="89"/>
      <c r="CEJ168" s="91"/>
      <c r="CEM168" s="89"/>
      <c r="CEO168" s="91"/>
      <c r="CER168" s="89"/>
      <c r="CET168" s="91"/>
      <c r="CEW168" s="89"/>
      <c r="CEY168" s="91"/>
      <c r="CFB168" s="89"/>
      <c r="CFD168" s="91"/>
      <c r="CFG168" s="89"/>
      <c r="CFI168" s="91"/>
      <c r="CFL168" s="89"/>
      <c r="CFN168" s="91"/>
      <c r="CFQ168" s="89"/>
      <c r="CFS168" s="91"/>
      <c r="CFV168" s="89"/>
      <c r="CFX168" s="91"/>
      <c r="CGA168" s="89"/>
      <c r="CGC168" s="91"/>
      <c r="CGF168" s="89"/>
      <c r="CGH168" s="91"/>
      <c r="CGK168" s="89"/>
      <c r="CGM168" s="91"/>
      <c r="CGP168" s="89"/>
      <c r="CGR168" s="91"/>
      <c r="CGU168" s="89"/>
      <c r="CGW168" s="91"/>
      <c r="CGZ168" s="89"/>
      <c r="CHB168" s="91"/>
      <c r="CHE168" s="89"/>
      <c r="CHG168" s="91"/>
      <c r="CHJ168" s="89"/>
      <c r="CHL168" s="91"/>
      <c r="CHO168" s="89"/>
      <c r="CHQ168" s="91"/>
      <c r="CHT168" s="89"/>
      <c r="CHV168" s="91"/>
      <c r="CHY168" s="89"/>
      <c r="CIA168" s="91"/>
      <c r="CID168" s="89"/>
      <c r="CIF168" s="91"/>
      <c r="CII168" s="89"/>
      <c r="CIK168" s="91"/>
      <c r="CIN168" s="89"/>
      <c r="CIP168" s="91"/>
      <c r="CIS168" s="89"/>
      <c r="CIU168" s="91"/>
      <c r="CIX168" s="89"/>
      <c r="CIZ168" s="91"/>
      <c r="CJC168" s="89"/>
      <c r="CJE168" s="91"/>
      <c r="CJH168" s="89"/>
      <c r="CJJ168" s="91"/>
      <c r="CJM168" s="89"/>
      <c r="CJO168" s="91"/>
      <c r="CJR168" s="89"/>
      <c r="CJT168" s="91"/>
      <c r="CJW168" s="89"/>
      <c r="CJY168" s="91"/>
      <c r="CKB168" s="89"/>
      <c r="CKD168" s="91"/>
      <c r="CKG168" s="89"/>
      <c r="CKI168" s="91"/>
      <c r="CKL168" s="89"/>
      <c r="CKN168" s="91"/>
      <c r="CKQ168" s="89"/>
      <c r="CKS168" s="91"/>
      <c r="CKV168" s="89"/>
      <c r="CKX168" s="91"/>
      <c r="CLA168" s="89"/>
      <c r="CLC168" s="91"/>
      <c r="CLF168" s="89"/>
      <c r="CLH168" s="91"/>
      <c r="CLK168" s="89"/>
      <c r="CLM168" s="91"/>
      <c r="CLP168" s="89"/>
      <c r="CLR168" s="91"/>
      <c r="CLU168" s="89"/>
      <c r="CLW168" s="91"/>
      <c r="CLZ168" s="89"/>
      <c r="CMB168" s="91"/>
      <c r="CME168" s="89"/>
      <c r="CMG168" s="91"/>
      <c r="CMJ168" s="89"/>
      <c r="CML168" s="91"/>
      <c r="CMO168" s="89"/>
      <c r="CMQ168" s="91"/>
      <c r="CMT168" s="89"/>
      <c r="CMV168" s="91"/>
      <c r="CMY168" s="89"/>
      <c r="CNA168" s="91"/>
      <c r="CND168" s="89"/>
      <c r="CNF168" s="91"/>
      <c r="CNI168" s="89"/>
      <c r="CNK168" s="91"/>
      <c r="CNN168" s="89"/>
      <c r="CNP168" s="91"/>
      <c r="CNS168" s="89"/>
      <c r="CNU168" s="91"/>
      <c r="CNX168" s="89"/>
      <c r="CNZ168" s="91"/>
      <c r="COC168" s="89"/>
      <c r="COE168" s="91"/>
      <c r="COH168" s="89"/>
      <c r="COJ168" s="91"/>
      <c r="COM168" s="89"/>
      <c r="COO168" s="91"/>
      <c r="COR168" s="89"/>
      <c r="COT168" s="91"/>
      <c r="COW168" s="89"/>
      <c r="COY168" s="91"/>
      <c r="CPB168" s="89"/>
      <c r="CPD168" s="91"/>
      <c r="CPG168" s="89"/>
      <c r="CPI168" s="91"/>
      <c r="CPL168" s="89"/>
      <c r="CPN168" s="91"/>
      <c r="CPQ168" s="89"/>
      <c r="CPS168" s="91"/>
      <c r="CPV168" s="89"/>
      <c r="CPX168" s="91"/>
      <c r="CQA168" s="89"/>
      <c r="CQC168" s="91"/>
      <c r="CQF168" s="89"/>
      <c r="CQH168" s="91"/>
      <c r="CQK168" s="89"/>
      <c r="CQM168" s="91"/>
      <c r="CQP168" s="89"/>
      <c r="CQR168" s="91"/>
      <c r="CQU168" s="89"/>
      <c r="CQW168" s="91"/>
      <c r="CQZ168" s="89"/>
      <c r="CRB168" s="91"/>
      <c r="CRE168" s="89"/>
      <c r="CRG168" s="91"/>
      <c r="CRJ168" s="89"/>
      <c r="CRL168" s="91"/>
      <c r="CRO168" s="89"/>
      <c r="CRQ168" s="91"/>
      <c r="CRT168" s="89"/>
      <c r="CRV168" s="91"/>
      <c r="CRY168" s="89"/>
      <c r="CSA168" s="91"/>
      <c r="CSD168" s="89"/>
      <c r="CSF168" s="91"/>
      <c r="CSI168" s="89"/>
      <c r="CSK168" s="91"/>
      <c r="CSN168" s="89"/>
      <c r="CSP168" s="91"/>
      <c r="CSS168" s="89"/>
      <c r="CSU168" s="91"/>
      <c r="CSX168" s="89"/>
      <c r="CSZ168" s="91"/>
      <c r="CTC168" s="89"/>
      <c r="CTE168" s="91"/>
      <c r="CTH168" s="89"/>
      <c r="CTJ168" s="91"/>
      <c r="CTM168" s="89"/>
      <c r="CTO168" s="91"/>
      <c r="CTR168" s="89"/>
      <c r="CTT168" s="91"/>
      <c r="CTW168" s="89"/>
      <c r="CTY168" s="91"/>
      <c r="CUB168" s="89"/>
      <c r="CUD168" s="91"/>
      <c r="CUG168" s="89"/>
      <c r="CUI168" s="91"/>
      <c r="CUL168" s="89"/>
      <c r="CUN168" s="91"/>
      <c r="CUQ168" s="89"/>
      <c r="CUS168" s="91"/>
      <c r="CUV168" s="89"/>
      <c r="CUX168" s="91"/>
      <c r="CVA168" s="89"/>
      <c r="CVC168" s="91"/>
      <c r="CVF168" s="89"/>
      <c r="CVH168" s="91"/>
      <c r="CVK168" s="89"/>
      <c r="CVM168" s="91"/>
      <c r="CVP168" s="89"/>
      <c r="CVR168" s="91"/>
      <c r="CVU168" s="89"/>
      <c r="CVW168" s="91"/>
      <c r="CVZ168" s="89"/>
      <c r="CWB168" s="91"/>
      <c r="CWE168" s="89"/>
      <c r="CWG168" s="91"/>
      <c r="CWJ168" s="89"/>
      <c r="CWL168" s="91"/>
      <c r="CWO168" s="89"/>
      <c r="CWQ168" s="91"/>
      <c r="CWT168" s="89"/>
      <c r="CWV168" s="91"/>
      <c r="CWY168" s="89"/>
      <c r="CXA168" s="91"/>
      <c r="CXD168" s="89"/>
      <c r="CXF168" s="91"/>
      <c r="CXI168" s="89"/>
      <c r="CXK168" s="91"/>
      <c r="CXN168" s="89"/>
      <c r="CXP168" s="91"/>
      <c r="CXS168" s="89"/>
      <c r="CXU168" s="91"/>
      <c r="CXX168" s="89"/>
      <c r="CXZ168" s="91"/>
      <c r="CYC168" s="89"/>
      <c r="CYE168" s="91"/>
      <c r="CYH168" s="89"/>
      <c r="CYJ168" s="91"/>
      <c r="CYM168" s="89"/>
      <c r="CYO168" s="91"/>
      <c r="CYR168" s="89"/>
      <c r="CYT168" s="91"/>
      <c r="CYW168" s="89"/>
      <c r="CYY168" s="91"/>
      <c r="CZB168" s="89"/>
      <c r="CZD168" s="91"/>
      <c r="CZG168" s="89"/>
      <c r="CZI168" s="91"/>
      <c r="CZL168" s="89"/>
      <c r="CZN168" s="91"/>
      <c r="CZQ168" s="89"/>
      <c r="CZS168" s="91"/>
      <c r="CZV168" s="89"/>
      <c r="CZX168" s="91"/>
      <c r="DAA168" s="89"/>
      <c r="DAC168" s="91"/>
      <c r="DAF168" s="89"/>
      <c r="DAH168" s="91"/>
      <c r="DAK168" s="89"/>
      <c r="DAM168" s="91"/>
      <c r="DAP168" s="89"/>
      <c r="DAR168" s="91"/>
      <c r="DAU168" s="89"/>
      <c r="DAW168" s="91"/>
      <c r="DAZ168" s="89"/>
      <c r="DBB168" s="91"/>
      <c r="DBE168" s="89"/>
      <c r="DBG168" s="91"/>
      <c r="DBJ168" s="89"/>
      <c r="DBL168" s="91"/>
      <c r="DBO168" s="89"/>
      <c r="DBQ168" s="91"/>
      <c r="DBT168" s="89"/>
      <c r="DBV168" s="91"/>
      <c r="DBY168" s="89"/>
      <c r="DCA168" s="91"/>
      <c r="DCD168" s="89"/>
      <c r="DCF168" s="91"/>
      <c r="DCI168" s="89"/>
      <c r="DCK168" s="91"/>
      <c r="DCN168" s="89"/>
      <c r="DCP168" s="91"/>
      <c r="DCS168" s="89"/>
      <c r="DCU168" s="91"/>
      <c r="DCX168" s="89"/>
      <c r="DCZ168" s="91"/>
      <c r="DDC168" s="89"/>
      <c r="DDE168" s="91"/>
      <c r="DDH168" s="89"/>
      <c r="DDJ168" s="91"/>
      <c r="DDM168" s="89"/>
      <c r="DDO168" s="91"/>
      <c r="DDR168" s="89"/>
      <c r="DDT168" s="91"/>
      <c r="DDW168" s="89"/>
      <c r="DDY168" s="91"/>
      <c r="DEB168" s="89"/>
      <c r="DED168" s="91"/>
      <c r="DEG168" s="89"/>
      <c r="DEI168" s="91"/>
      <c r="DEL168" s="89"/>
      <c r="DEN168" s="91"/>
      <c r="DEQ168" s="89"/>
      <c r="DES168" s="91"/>
      <c r="DEV168" s="89"/>
      <c r="DEX168" s="91"/>
      <c r="DFA168" s="89"/>
      <c r="DFC168" s="91"/>
      <c r="DFF168" s="89"/>
      <c r="DFH168" s="91"/>
      <c r="DFK168" s="89"/>
      <c r="DFM168" s="91"/>
      <c r="DFP168" s="89"/>
      <c r="DFR168" s="91"/>
      <c r="DFU168" s="89"/>
      <c r="DFW168" s="91"/>
      <c r="DFZ168" s="89"/>
      <c r="DGB168" s="91"/>
      <c r="DGE168" s="89"/>
      <c r="DGG168" s="91"/>
      <c r="DGJ168" s="89"/>
      <c r="DGL168" s="91"/>
      <c r="DGO168" s="89"/>
      <c r="DGQ168" s="91"/>
      <c r="DGT168" s="89"/>
      <c r="DGV168" s="91"/>
      <c r="DGY168" s="89"/>
      <c r="DHA168" s="91"/>
      <c r="DHD168" s="89"/>
      <c r="DHF168" s="91"/>
      <c r="DHI168" s="89"/>
      <c r="DHK168" s="91"/>
      <c r="DHN168" s="89"/>
      <c r="DHP168" s="91"/>
      <c r="DHS168" s="89"/>
      <c r="DHU168" s="91"/>
      <c r="DHX168" s="89"/>
      <c r="DHZ168" s="91"/>
      <c r="DIC168" s="89"/>
      <c r="DIE168" s="91"/>
      <c r="DIH168" s="89"/>
      <c r="DIJ168" s="91"/>
      <c r="DIM168" s="89"/>
      <c r="DIO168" s="91"/>
      <c r="DIR168" s="89"/>
      <c r="DIT168" s="91"/>
      <c r="DIW168" s="89"/>
      <c r="DIY168" s="91"/>
      <c r="DJB168" s="89"/>
      <c r="DJD168" s="91"/>
      <c r="DJG168" s="89"/>
      <c r="DJI168" s="91"/>
      <c r="DJL168" s="89"/>
      <c r="DJN168" s="91"/>
      <c r="DJQ168" s="89"/>
      <c r="DJS168" s="91"/>
      <c r="DJV168" s="89"/>
      <c r="DJX168" s="91"/>
      <c r="DKA168" s="89"/>
      <c r="DKC168" s="91"/>
      <c r="DKF168" s="89"/>
      <c r="DKH168" s="91"/>
      <c r="DKK168" s="89"/>
      <c r="DKM168" s="91"/>
      <c r="DKP168" s="89"/>
      <c r="DKR168" s="91"/>
      <c r="DKU168" s="89"/>
      <c r="DKW168" s="91"/>
      <c r="DKZ168" s="89"/>
      <c r="DLB168" s="91"/>
      <c r="DLE168" s="89"/>
      <c r="DLG168" s="91"/>
      <c r="DLJ168" s="89"/>
      <c r="DLL168" s="91"/>
      <c r="DLO168" s="89"/>
      <c r="DLQ168" s="91"/>
      <c r="DLT168" s="89"/>
      <c r="DLV168" s="91"/>
      <c r="DLY168" s="89"/>
      <c r="DMA168" s="91"/>
      <c r="DMD168" s="89"/>
      <c r="DMF168" s="91"/>
      <c r="DMI168" s="89"/>
      <c r="DMK168" s="91"/>
      <c r="DMN168" s="89"/>
      <c r="DMP168" s="91"/>
      <c r="DMS168" s="89"/>
      <c r="DMU168" s="91"/>
      <c r="DMX168" s="89"/>
      <c r="DMZ168" s="91"/>
      <c r="DNC168" s="89"/>
      <c r="DNE168" s="91"/>
      <c r="DNH168" s="89"/>
      <c r="DNJ168" s="91"/>
      <c r="DNM168" s="89"/>
      <c r="DNO168" s="91"/>
      <c r="DNR168" s="89"/>
      <c r="DNT168" s="91"/>
      <c r="DNW168" s="89"/>
      <c r="DNY168" s="91"/>
      <c r="DOB168" s="89"/>
      <c r="DOD168" s="91"/>
      <c r="DOG168" s="89"/>
      <c r="DOI168" s="91"/>
      <c r="DOL168" s="89"/>
      <c r="DON168" s="91"/>
      <c r="DOQ168" s="89"/>
      <c r="DOS168" s="91"/>
      <c r="DOV168" s="89"/>
      <c r="DOX168" s="91"/>
      <c r="DPA168" s="89"/>
      <c r="DPC168" s="91"/>
      <c r="DPF168" s="89"/>
      <c r="DPH168" s="91"/>
      <c r="DPK168" s="89"/>
      <c r="DPM168" s="91"/>
      <c r="DPP168" s="89"/>
      <c r="DPR168" s="91"/>
      <c r="DPU168" s="89"/>
      <c r="DPW168" s="91"/>
      <c r="DPZ168" s="89"/>
      <c r="DQB168" s="91"/>
      <c r="DQE168" s="89"/>
      <c r="DQG168" s="91"/>
      <c r="DQJ168" s="89"/>
      <c r="DQL168" s="91"/>
      <c r="DQO168" s="89"/>
      <c r="DQQ168" s="91"/>
      <c r="DQT168" s="89"/>
      <c r="DQV168" s="91"/>
      <c r="DQY168" s="89"/>
      <c r="DRA168" s="91"/>
      <c r="DRD168" s="89"/>
      <c r="DRF168" s="91"/>
      <c r="DRI168" s="89"/>
      <c r="DRK168" s="91"/>
      <c r="DRN168" s="89"/>
      <c r="DRP168" s="91"/>
      <c r="DRS168" s="89"/>
      <c r="DRU168" s="91"/>
      <c r="DRX168" s="89"/>
      <c r="DRZ168" s="91"/>
      <c r="DSC168" s="89"/>
      <c r="DSE168" s="91"/>
      <c r="DSH168" s="89"/>
      <c r="DSJ168" s="91"/>
      <c r="DSM168" s="89"/>
      <c r="DSO168" s="91"/>
      <c r="DSR168" s="89"/>
      <c r="DST168" s="91"/>
      <c r="DSW168" s="89"/>
      <c r="DSY168" s="91"/>
      <c r="DTB168" s="89"/>
      <c r="DTD168" s="91"/>
      <c r="DTG168" s="89"/>
      <c r="DTI168" s="91"/>
      <c r="DTL168" s="89"/>
      <c r="DTN168" s="91"/>
      <c r="DTQ168" s="89"/>
      <c r="DTS168" s="91"/>
      <c r="DTV168" s="89"/>
      <c r="DTX168" s="91"/>
      <c r="DUA168" s="89"/>
      <c r="DUC168" s="91"/>
      <c r="DUF168" s="89"/>
      <c r="DUH168" s="91"/>
      <c r="DUK168" s="89"/>
      <c r="DUM168" s="91"/>
      <c r="DUP168" s="89"/>
      <c r="DUR168" s="91"/>
      <c r="DUU168" s="89"/>
      <c r="DUW168" s="91"/>
      <c r="DUZ168" s="89"/>
      <c r="DVB168" s="91"/>
      <c r="DVE168" s="89"/>
      <c r="DVG168" s="91"/>
      <c r="DVJ168" s="89"/>
      <c r="DVL168" s="91"/>
      <c r="DVO168" s="89"/>
      <c r="DVQ168" s="91"/>
      <c r="DVT168" s="89"/>
      <c r="DVV168" s="91"/>
      <c r="DVY168" s="89"/>
      <c r="DWA168" s="91"/>
      <c r="DWD168" s="89"/>
      <c r="DWF168" s="91"/>
      <c r="DWI168" s="89"/>
      <c r="DWK168" s="91"/>
      <c r="DWN168" s="89"/>
      <c r="DWP168" s="91"/>
      <c r="DWS168" s="89"/>
      <c r="DWU168" s="91"/>
      <c r="DWX168" s="89"/>
      <c r="DWZ168" s="91"/>
      <c r="DXC168" s="89"/>
      <c r="DXE168" s="91"/>
      <c r="DXH168" s="89"/>
      <c r="DXJ168" s="91"/>
      <c r="DXM168" s="89"/>
      <c r="DXO168" s="91"/>
      <c r="DXR168" s="89"/>
      <c r="DXT168" s="91"/>
      <c r="DXW168" s="89"/>
      <c r="DXY168" s="91"/>
      <c r="DYB168" s="89"/>
      <c r="DYD168" s="91"/>
      <c r="DYG168" s="89"/>
      <c r="DYI168" s="91"/>
      <c r="DYL168" s="89"/>
      <c r="DYN168" s="91"/>
      <c r="DYQ168" s="89"/>
      <c r="DYS168" s="91"/>
      <c r="DYV168" s="89"/>
      <c r="DYX168" s="91"/>
      <c r="DZA168" s="89"/>
      <c r="DZC168" s="91"/>
      <c r="DZF168" s="89"/>
      <c r="DZH168" s="91"/>
      <c r="DZK168" s="89"/>
      <c r="DZM168" s="91"/>
      <c r="DZP168" s="89"/>
      <c r="DZR168" s="91"/>
      <c r="DZU168" s="89"/>
      <c r="DZW168" s="91"/>
      <c r="DZZ168" s="89"/>
      <c r="EAB168" s="91"/>
      <c r="EAE168" s="89"/>
      <c r="EAG168" s="91"/>
      <c r="EAJ168" s="89"/>
      <c r="EAL168" s="91"/>
      <c r="EAO168" s="89"/>
      <c r="EAQ168" s="91"/>
      <c r="EAT168" s="89"/>
      <c r="EAV168" s="91"/>
      <c r="EAY168" s="89"/>
      <c r="EBA168" s="91"/>
      <c r="EBD168" s="89"/>
      <c r="EBF168" s="91"/>
      <c r="EBI168" s="89"/>
      <c r="EBK168" s="91"/>
      <c r="EBN168" s="89"/>
      <c r="EBP168" s="91"/>
      <c r="EBS168" s="89"/>
      <c r="EBU168" s="91"/>
      <c r="EBX168" s="89"/>
      <c r="EBZ168" s="91"/>
      <c r="ECC168" s="89"/>
      <c r="ECE168" s="91"/>
      <c r="ECH168" s="89"/>
      <c r="ECJ168" s="91"/>
      <c r="ECM168" s="89"/>
      <c r="ECO168" s="91"/>
      <c r="ECR168" s="89"/>
      <c r="ECT168" s="91"/>
      <c r="ECW168" s="89"/>
      <c r="ECY168" s="91"/>
      <c r="EDB168" s="89"/>
      <c r="EDD168" s="91"/>
      <c r="EDG168" s="89"/>
      <c r="EDI168" s="91"/>
      <c r="EDL168" s="89"/>
      <c r="EDN168" s="91"/>
      <c r="EDQ168" s="89"/>
      <c r="EDS168" s="91"/>
      <c r="EDV168" s="89"/>
      <c r="EDX168" s="91"/>
      <c r="EEA168" s="89"/>
      <c r="EEC168" s="91"/>
      <c r="EEF168" s="89"/>
      <c r="EEH168" s="91"/>
      <c r="EEK168" s="89"/>
      <c r="EEM168" s="91"/>
      <c r="EEP168" s="89"/>
      <c r="EER168" s="91"/>
      <c r="EEU168" s="89"/>
      <c r="EEW168" s="91"/>
      <c r="EEZ168" s="89"/>
      <c r="EFB168" s="91"/>
      <c r="EFE168" s="89"/>
      <c r="EFG168" s="91"/>
      <c r="EFJ168" s="89"/>
      <c r="EFL168" s="91"/>
      <c r="EFO168" s="89"/>
      <c r="EFQ168" s="91"/>
      <c r="EFT168" s="89"/>
      <c r="EFV168" s="91"/>
      <c r="EFY168" s="89"/>
      <c r="EGA168" s="91"/>
      <c r="EGD168" s="89"/>
      <c r="EGF168" s="91"/>
      <c r="EGI168" s="89"/>
      <c r="EGK168" s="91"/>
      <c r="EGN168" s="89"/>
      <c r="EGP168" s="91"/>
      <c r="EGS168" s="89"/>
      <c r="EGU168" s="91"/>
      <c r="EGX168" s="89"/>
      <c r="EGZ168" s="91"/>
      <c r="EHC168" s="89"/>
      <c r="EHE168" s="91"/>
      <c r="EHH168" s="89"/>
      <c r="EHJ168" s="91"/>
      <c r="EHM168" s="89"/>
      <c r="EHO168" s="91"/>
      <c r="EHR168" s="89"/>
      <c r="EHT168" s="91"/>
      <c r="EHW168" s="89"/>
      <c r="EHY168" s="91"/>
      <c r="EIB168" s="89"/>
      <c r="EID168" s="91"/>
      <c r="EIG168" s="89"/>
      <c r="EII168" s="91"/>
      <c r="EIL168" s="89"/>
      <c r="EIN168" s="91"/>
      <c r="EIQ168" s="89"/>
      <c r="EIS168" s="91"/>
      <c r="EIV168" s="89"/>
      <c r="EIX168" s="91"/>
      <c r="EJA168" s="89"/>
      <c r="EJC168" s="91"/>
      <c r="EJF168" s="89"/>
      <c r="EJH168" s="91"/>
      <c r="EJK168" s="89"/>
      <c r="EJM168" s="91"/>
      <c r="EJP168" s="89"/>
      <c r="EJR168" s="91"/>
      <c r="EJU168" s="89"/>
      <c r="EJW168" s="91"/>
      <c r="EJZ168" s="89"/>
      <c r="EKB168" s="91"/>
      <c r="EKE168" s="89"/>
      <c r="EKG168" s="91"/>
      <c r="EKJ168" s="89"/>
      <c r="EKL168" s="91"/>
      <c r="EKO168" s="89"/>
      <c r="EKQ168" s="91"/>
      <c r="EKT168" s="89"/>
      <c r="EKV168" s="91"/>
      <c r="EKY168" s="89"/>
      <c r="ELA168" s="91"/>
      <c r="ELD168" s="89"/>
      <c r="ELF168" s="91"/>
      <c r="ELI168" s="89"/>
      <c r="ELK168" s="91"/>
      <c r="ELN168" s="89"/>
      <c r="ELP168" s="91"/>
      <c r="ELS168" s="89"/>
      <c r="ELU168" s="91"/>
      <c r="ELX168" s="89"/>
      <c r="ELZ168" s="91"/>
      <c r="EMC168" s="89"/>
      <c r="EME168" s="91"/>
      <c r="EMH168" s="89"/>
      <c r="EMJ168" s="91"/>
      <c r="EMM168" s="89"/>
      <c r="EMO168" s="91"/>
      <c r="EMR168" s="89"/>
      <c r="EMT168" s="91"/>
      <c r="EMW168" s="89"/>
      <c r="EMY168" s="91"/>
      <c r="ENB168" s="89"/>
      <c r="END168" s="91"/>
      <c r="ENG168" s="89"/>
      <c r="ENI168" s="91"/>
      <c r="ENL168" s="89"/>
      <c r="ENN168" s="91"/>
      <c r="ENQ168" s="89"/>
      <c r="ENS168" s="91"/>
      <c r="ENV168" s="89"/>
      <c r="ENX168" s="91"/>
      <c r="EOA168" s="89"/>
      <c r="EOC168" s="91"/>
      <c r="EOF168" s="89"/>
      <c r="EOH168" s="91"/>
      <c r="EOK168" s="89"/>
      <c r="EOM168" s="91"/>
      <c r="EOP168" s="89"/>
      <c r="EOR168" s="91"/>
      <c r="EOU168" s="89"/>
      <c r="EOW168" s="91"/>
      <c r="EOZ168" s="89"/>
      <c r="EPB168" s="91"/>
      <c r="EPE168" s="89"/>
      <c r="EPG168" s="91"/>
      <c r="EPJ168" s="89"/>
      <c r="EPL168" s="91"/>
      <c r="EPO168" s="89"/>
      <c r="EPQ168" s="91"/>
      <c r="EPT168" s="89"/>
      <c r="EPV168" s="91"/>
      <c r="EPY168" s="89"/>
      <c r="EQA168" s="91"/>
      <c r="EQD168" s="89"/>
      <c r="EQF168" s="91"/>
      <c r="EQI168" s="89"/>
      <c r="EQK168" s="91"/>
      <c r="EQN168" s="89"/>
      <c r="EQP168" s="91"/>
      <c r="EQS168" s="89"/>
      <c r="EQU168" s="91"/>
      <c r="EQX168" s="89"/>
      <c r="EQZ168" s="91"/>
      <c r="ERC168" s="89"/>
      <c r="ERE168" s="91"/>
      <c r="ERH168" s="89"/>
      <c r="ERJ168" s="91"/>
      <c r="ERM168" s="89"/>
      <c r="ERO168" s="91"/>
      <c r="ERR168" s="89"/>
      <c r="ERT168" s="91"/>
      <c r="ERW168" s="89"/>
      <c r="ERY168" s="91"/>
      <c r="ESB168" s="89"/>
      <c r="ESD168" s="91"/>
      <c r="ESG168" s="89"/>
      <c r="ESI168" s="91"/>
      <c r="ESL168" s="89"/>
      <c r="ESN168" s="91"/>
      <c r="ESQ168" s="89"/>
      <c r="ESS168" s="91"/>
      <c r="ESV168" s="89"/>
      <c r="ESX168" s="91"/>
      <c r="ETA168" s="89"/>
      <c r="ETC168" s="91"/>
      <c r="ETF168" s="89"/>
      <c r="ETH168" s="91"/>
      <c r="ETK168" s="89"/>
      <c r="ETM168" s="91"/>
      <c r="ETP168" s="89"/>
      <c r="ETR168" s="91"/>
      <c r="ETU168" s="89"/>
      <c r="ETW168" s="91"/>
      <c r="ETZ168" s="89"/>
      <c r="EUB168" s="91"/>
      <c r="EUE168" s="89"/>
      <c r="EUG168" s="91"/>
      <c r="EUJ168" s="89"/>
      <c r="EUL168" s="91"/>
      <c r="EUO168" s="89"/>
      <c r="EUQ168" s="91"/>
      <c r="EUT168" s="89"/>
      <c r="EUV168" s="91"/>
      <c r="EUY168" s="89"/>
      <c r="EVA168" s="91"/>
      <c r="EVD168" s="89"/>
      <c r="EVF168" s="91"/>
      <c r="EVI168" s="89"/>
      <c r="EVK168" s="91"/>
      <c r="EVN168" s="89"/>
      <c r="EVP168" s="91"/>
      <c r="EVS168" s="89"/>
      <c r="EVU168" s="91"/>
      <c r="EVX168" s="89"/>
      <c r="EVZ168" s="91"/>
      <c r="EWC168" s="89"/>
      <c r="EWE168" s="91"/>
      <c r="EWH168" s="89"/>
      <c r="EWJ168" s="91"/>
      <c r="EWM168" s="89"/>
      <c r="EWO168" s="91"/>
      <c r="EWR168" s="89"/>
      <c r="EWT168" s="91"/>
      <c r="EWW168" s="89"/>
      <c r="EWY168" s="91"/>
      <c r="EXB168" s="89"/>
      <c r="EXD168" s="91"/>
      <c r="EXG168" s="89"/>
      <c r="EXI168" s="91"/>
      <c r="EXL168" s="89"/>
      <c r="EXN168" s="91"/>
      <c r="EXQ168" s="89"/>
      <c r="EXS168" s="91"/>
      <c r="EXV168" s="89"/>
      <c r="EXX168" s="91"/>
      <c r="EYA168" s="89"/>
      <c r="EYC168" s="91"/>
      <c r="EYF168" s="89"/>
      <c r="EYH168" s="91"/>
      <c r="EYK168" s="89"/>
      <c r="EYM168" s="91"/>
      <c r="EYP168" s="89"/>
      <c r="EYR168" s="91"/>
      <c r="EYU168" s="89"/>
      <c r="EYW168" s="91"/>
      <c r="EYZ168" s="89"/>
      <c r="EZB168" s="91"/>
      <c r="EZE168" s="89"/>
      <c r="EZG168" s="91"/>
      <c r="EZJ168" s="89"/>
      <c r="EZL168" s="91"/>
      <c r="EZO168" s="89"/>
      <c r="EZQ168" s="91"/>
      <c r="EZT168" s="89"/>
      <c r="EZV168" s="91"/>
      <c r="EZY168" s="89"/>
      <c r="FAA168" s="91"/>
      <c r="FAD168" s="89"/>
      <c r="FAF168" s="91"/>
      <c r="FAI168" s="89"/>
      <c r="FAK168" s="91"/>
      <c r="FAN168" s="89"/>
      <c r="FAP168" s="91"/>
      <c r="FAS168" s="89"/>
      <c r="FAU168" s="91"/>
      <c r="FAX168" s="89"/>
      <c r="FAZ168" s="91"/>
      <c r="FBC168" s="89"/>
      <c r="FBE168" s="91"/>
      <c r="FBH168" s="89"/>
      <c r="FBJ168" s="91"/>
      <c r="FBM168" s="89"/>
      <c r="FBO168" s="91"/>
      <c r="FBR168" s="89"/>
      <c r="FBT168" s="91"/>
      <c r="FBW168" s="89"/>
      <c r="FBY168" s="91"/>
      <c r="FCB168" s="89"/>
      <c r="FCD168" s="91"/>
      <c r="FCG168" s="89"/>
      <c r="FCI168" s="91"/>
      <c r="FCL168" s="89"/>
      <c r="FCN168" s="91"/>
      <c r="FCQ168" s="89"/>
      <c r="FCS168" s="91"/>
      <c r="FCV168" s="89"/>
      <c r="FCX168" s="91"/>
      <c r="FDA168" s="89"/>
      <c r="FDC168" s="91"/>
      <c r="FDF168" s="89"/>
      <c r="FDH168" s="91"/>
      <c r="FDK168" s="89"/>
      <c r="FDM168" s="91"/>
      <c r="FDP168" s="89"/>
      <c r="FDR168" s="91"/>
      <c r="FDU168" s="89"/>
      <c r="FDW168" s="91"/>
      <c r="FDZ168" s="89"/>
      <c r="FEB168" s="91"/>
      <c r="FEE168" s="89"/>
      <c r="FEG168" s="91"/>
      <c r="FEJ168" s="89"/>
      <c r="FEL168" s="91"/>
      <c r="FEO168" s="89"/>
      <c r="FEQ168" s="91"/>
      <c r="FET168" s="89"/>
      <c r="FEV168" s="91"/>
      <c r="FEY168" s="89"/>
      <c r="FFA168" s="91"/>
      <c r="FFD168" s="89"/>
      <c r="FFF168" s="91"/>
      <c r="FFI168" s="89"/>
      <c r="FFK168" s="91"/>
      <c r="FFN168" s="89"/>
      <c r="FFP168" s="91"/>
      <c r="FFS168" s="89"/>
      <c r="FFU168" s="91"/>
      <c r="FFX168" s="89"/>
      <c r="FFZ168" s="91"/>
      <c r="FGC168" s="89"/>
      <c r="FGE168" s="91"/>
      <c r="FGH168" s="89"/>
      <c r="FGJ168" s="91"/>
      <c r="FGM168" s="89"/>
      <c r="FGO168" s="91"/>
      <c r="FGR168" s="89"/>
      <c r="FGT168" s="91"/>
      <c r="FGW168" s="89"/>
      <c r="FGY168" s="91"/>
      <c r="FHB168" s="89"/>
      <c r="FHD168" s="91"/>
      <c r="FHG168" s="89"/>
      <c r="FHI168" s="91"/>
      <c r="FHL168" s="89"/>
      <c r="FHN168" s="91"/>
      <c r="FHQ168" s="89"/>
      <c r="FHS168" s="91"/>
      <c r="FHV168" s="89"/>
      <c r="FHX168" s="91"/>
      <c r="FIA168" s="89"/>
      <c r="FIC168" s="91"/>
      <c r="FIF168" s="89"/>
      <c r="FIH168" s="91"/>
      <c r="FIK168" s="89"/>
      <c r="FIM168" s="91"/>
      <c r="FIP168" s="89"/>
      <c r="FIR168" s="91"/>
      <c r="FIU168" s="89"/>
      <c r="FIW168" s="91"/>
      <c r="FIZ168" s="89"/>
      <c r="FJB168" s="91"/>
      <c r="FJE168" s="89"/>
      <c r="FJG168" s="91"/>
      <c r="FJJ168" s="89"/>
      <c r="FJL168" s="91"/>
      <c r="FJO168" s="89"/>
      <c r="FJQ168" s="91"/>
      <c r="FJT168" s="89"/>
      <c r="FJV168" s="91"/>
      <c r="FJY168" s="89"/>
      <c r="FKA168" s="91"/>
      <c r="FKD168" s="89"/>
      <c r="FKF168" s="91"/>
      <c r="FKI168" s="89"/>
      <c r="FKK168" s="91"/>
      <c r="FKN168" s="89"/>
      <c r="FKP168" s="91"/>
      <c r="FKS168" s="89"/>
      <c r="FKU168" s="91"/>
      <c r="FKX168" s="89"/>
      <c r="FKZ168" s="91"/>
      <c r="FLC168" s="89"/>
      <c r="FLE168" s="91"/>
      <c r="FLH168" s="89"/>
      <c r="FLJ168" s="91"/>
      <c r="FLM168" s="89"/>
      <c r="FLO168" s="91"/>
      <c r="FLR168" s="89"/>
      <c r="FLT168" s="91"/>
      <c r="FLW168" s="89"/>
      <c r="FLY168" s="91"/>
      <c r="FMB168" s="89"/>
      <c r="FMD168" s="91"/>
      <c r="FMG168" s="89"/>
      <c r="FMI168" s="91"/>
      <c r="FML168" s="89"/>
      <c r="FMN168" s="91"/>
      <c r="FMQ168" s="89"/>
      <c r="FMS168" s="91"/>
      <c r="FMV168" s="89"/>
      <c r="FMX168" s="91"/>
      <c r="FNA168" s="89"/>
      <c r="FNC168" s="91"/>
      <c r="FNF168" s="89"/>
      <c r="FNH168" s="91"/>
      <c r="FNK168" s="89"/>
      <c r="FNM168" s="91"/>
      <c r="FNP168" s="89"/>
      <c r="FNR168" s="91"/>
      <c r="FNU168" s="89"/>
      <c r="FNW168" s="91"/>
      <c r="FNZ168" s="89"/>
      <c r="FOB168" s="91"/>
      <c r="FOE168" s="89"/>
      <c r="FOG168" s="91"/>
      <c r="FOJ168" s="89"/>
      <c r="FOL168" s="91"/>
      <c r="FOO168" s="89"/>
      <c r="FOQ168" s="91"/>
      <c r="FOT168" s="89"/>
      <c r="FOV168" s="91"/>
      <c r="FOY168" s="89"/>
      <c r="FPA168" s="91"/>
      <c r="FPD168" s="89"/>
      <c r="FPF168" s="91"/>
      <c r="FPI168" s="89"/>
      <c r="FPK168" s="91"/>
      <c r="FPN168" s="89"/>
      <c r="FPP168" s="91"/>
      <c r="FPS168" s="89"/>
      <c r="FPU168" s="91"/>
      <c r="FPX168" s="89"/>
      <c r="FPZ168" s="91"/>
      <c r="FQC168" s="89"/>
      <c r="FQE168" s="91"/>
      <c r="FQH168" s="89"/>
      <c r="FQJ168" s="91"/>
      <c r="FQM168" s="89"/>
      <c r="FQO168" s="91"/>
      <c r="FQR168" s="89"/>
      <c r="FQT168" s="91"/>
      <c r="FQW168" s="89"/>
      <c r="FQY168" s="91"/>
      <c r="FRB168" s="89"/>
      <c r="FRD168" s="91"/>
      <c r="FRG168" s="89"/>
      <c r="FRI168" s="91"/>
      <c r="FRL168" s="89"/>
      <c r="FRN168" s="91"/>
      <c r="FRQ168" s="89"/>
      <c r="FRS168" s="91"/>
      <c r="FRV168" s="89"/>
      <c r="FRX168" s="91"/>
      <c r="FSA168" s="89"/>
      <c r="FSC168" s="91"/>
      <c r="FSF168" s="89"/>
      <c r="FSH168" s="91"/>
      <c r="FSK168" s="89"/>
      <c r="FSM168" s="91"/>
      <c r="FSP168" s="89"/>
      <c r="FSR168" s="91"/>
      <c r="FSU168" s="89"/>
      <c r="FSW168" s="91"/>
      <c r="FSZ168" s="89"/>
      <c r="FTB168" s="91"/>
      <c r="FTE168" s="89"/>
      <c r="FTG168" s="91"/>
      <c r="FTJ168" s="89"/>
      <c r="FTL168" s="91"/>
      <c r="FTO168" s="89"/>
      <c r="FTQ168" s="91"/>
      <c r="FTT168" s="89"/>
      <c r="FTV168" s="91"/>
      <c r="FTY168" s="89"/>
      <c r="FUA168" s="91"/>
      <c r="FUD168" s="89"/>
      <c r="FUF168" s="91"/>
      <c r="FUI168" s="89"/>
      <c r="FUK168" s="91"/>
      <c r="FUN168" s="89"/>
      <c r="FUP168" s="91"/>
      <c r="FUS168" s="89"/>
      <c r="FUU168" s="91"/>
      <c r="FUX168" s="89"/>
      <c r="FUZ168" s="91"/>
      <c r="FVC168" s="89"/>
      <c r="FVE168" s="91"/>
      <c r="FVH168" s="89"/>
      <c r="FVJ168" s="91"/>
      <c r="FVM168" s="89"/>
      <c r="FVO168" s="91"/>
      <c r="FVR168" s="89"/>
      <c r="FVT168" s="91"/>
      <c r="FVW168" s="89"/>
      <c r="FVY168" s="91"/>
      <c r="FWB168" s="89"/>
      <c r="FWD168" s="91"/>
      <c r="FWG168" s="89"/>
      <c r="FWI168" s="91"/>
      <c r="FWL168" s="89"/>
      <c r="FWN168" s="91"/>
      <c r="FWQ168" s="89"/>
      <c r="FWS168" s="91"/>
      <c r="FWV168" s="89"/>
      <c r="FWX168" s="91"/>
      <c r="FXA168" s="89"/>
      <c r="FXC168" s="91"/>
      <c r="FXF168" s="89"/>
      <c r="FXH168" s="91"/>
      <c r="FXK168" s="89"/>
      <c r="FXM168" s="91"/>
      <c r="FXP168" s="89"/>
      <c r="FXR168" s="91"/>
      <c r="FXU168" s="89"/>
      <c r="FXW168" s="91"/>
      <c r="FXZ168" s="89"/>
      <c r="FYB168" s="91"/>
      <c r="FYE168" s="89"/>
      <c r="FYG168" s="91"/>
      <c r="FYJ168" s="89"/>
      <c r="FYL168" s="91"/>
      <c r="FYO168" s="89"/>
      <c r="FYQ168" s="91"/>
      <c r="FYT168" s="89"/>
      <c r="FYV168" s="91"/>
      <c r="FYY168" s="89"/>
      <c r="FZA168" s="91"/>
      <c r="FZD168" s="89"/>
      <c r="FZF168" s="91"/>
      <c r="FZI168" s="89"/>
      <c r="FZK168" s="91"/>
      <c r="FZN168" s="89"/>
      <c r="FZP168" s="91"/>
      <c r="FZS168" s="89"/>
      <c r="FZU168" s="91"/>
      <c r="FZX168" s="89"/>
      <c r="FZZ168" s="91"/>
      <c r="GAC168" s="89"/>
      <c r="GAE168" s="91"/>
      <c r="GAH168" s="89"/>
      <c r="GAJ168" s="91"/>
      <c r="GAM168" s="89"/>
      <c r="GAO168" s="91"/>
      <c r="GAR168" s="89"/>
      <c r="GAT168" s="91"/>
      <c r="GAW168" s="89"/>
      <c r="GAY168" s="91"/>
      <c r="GBB168" s="89"/>
      <c r="GBD168" s="91"/>
      <c r="GBG168" s="89"/>
      <c r="GBI168" s="91"/>
      <c r="GBL168" s="89"/>
      <c r="GBN168" s="91"/>
      <c r="GBQ168" s="89"/>
      <c r="GBS168" s="91"/>
      <c r="GBV168" s="89"/>
      <c r="GBX168" s="91"/>
      <c r="GCA168" s="89"/>
      <c r="GCC168" s="91"/>
      <c r="GCF168" s="89"/>
      <c r="GCH168" s="91"/>
      <c r="GCK168" s="89"/>
      <c r="GCM168" s="91"/>
      <c r="GCP168" s="89"/>
      <c r="GCR168" s="91"/>
      <c r="GCU168" s="89"/>
      <c r="GCW168" s="91"/>
      <c r="GCZ168" s="89"/>
      <c r="GDB168" s="91"/>
      <c r="GDE168" s="89"/>
      <c r="GDG168" s="91"/>
      <c r="GDJ168" s="89"/>
      <c r="GDL168" s="91"/>
      <c r="GDO168" s="89"/>
      <c r="GDQ168" s="91"/>
      <c r="GDT168" s="89"/>
      <c r="GDV168" s="91"/>
      <c r="GDY168" s="89"/>
      <c r="GEA168" s="91"/>
      <c r="GED168" s="89"/>
      <c r="GEF168" s="91"/>
      <c r="GEI168" s="89"/>
      <c r="GEK168" s="91"/>
      <c r="GEN168" s="89"/>
      <c r="GEP168" s="91"/>
      <c r="GES168" s="89"/>
      <c r="GEU168" s="91"/>
      <c r="GEX168" s="89"/>
      <c r="GEZ168" s="91"/>
      <c r="GFC168" s="89"/>
      <c r="GFE168" s="91"/>
      <c r="GFH168" s="89"/>
      <c r="GFJ168" s="91"/>
      <c r="GFM168" s="89"/>
      <c r="GFO168" s="91"/>
      <c r="GFR168" s="89"/>
      <c r="GFT168" s="91"/>
      <c r="GFW168" s="89"/>
      <c r="GFY168" s="91"/>
      <c r="GGB168" s="89"/>
      <c r="GGD168" s="91"/>
      <c r="GGG168" s="89"/>
      <c r="GGI168" s="91"/>
      <c r="GGL168" s="89"/>
      <c r="GGN168" s="91"/>
      <c r="GGQ168" s="89"/>
      <c r="GGS168" s="91"/>
      <c r="GGV168" s="89"/>
      <c r="GGX168" s="91"/>
      <c r="GHA168" s="89"/>
      <c r="GHC168" s="91"/>
      <c r="GHF168" s="89"/>
      <c r="GHH168" s="91"/>
      <c r="GHK168" s="89"/>
      <c r="GHM168" s="91"/>
      <c r="GHP168" s="89"/>
      <c r="GHR168" s="91"/>
      <c r="GHU168" s="89"/>
      <c r="GHW168" s="91"/>
      <c r="GHZ168" s="89"/>
      <c r="GIB168" s="91"/>
      <c r="GIE168" s="89"/>
      <c r="GIG168" s="91"/>
      <c r="GIJ168" s="89"/>
      <c r="GIL168" s="91"/>
      <c r="GIO168" s="89"/>
      <c r="GIQ168" s="91"/>
      <c r="GIT168" s="89"/>
      <c r="GIV168" s="91"/>
      <c r="GIY168" s="89"/>
      <c r="GJA168" s="91"/>
      <c r="GJD168" s="89"/>
      <c r="GJF168" s="91"/>
      <c r="GJI168" s="89"/>
      <c r="GJK168" s="91"/>
      <c r="GJN168" s="89"/>
      <c r="GJP168" s="91"/>
      <c r="GJS168" s="89"/>
      <c r="GJU168" s="91"/>
      <c r="GJX168" s="89"/>
      <c r="GJZ168" s="91"/>
      <c r="GKC168" s="89"/>
      <c r="GKE168" s="91"/>
      <c r="GKH168" s="89"/>
      <c r="GKJ168" s="91"/>
      <c r="GKM168" s="89"/>
      <c r="GKO168" s="91"/>
      <c r="GKR168" s="89"/>
      <c r="GKT168" s="91"/>
      <c r="GKW168" s="89"/>
      <c r="GKY168" s="91"/>
      <c r="GLB168" s="89"/>
      <c r="GLD168" s="91"/>
      <c r="GLG168" s="89"/>
      <c r="GLI168" s="91"/>
      <c r="GLL168" s="89"/>
      <c r="GLN168" s="91"/>
      <c r="GLQ168" s="89"/>
      <c r="GLS168" s="91"/>
      <c r="GLV168" s="89"/>
      <c r="GLX168" s="91"/>
      <c r="GMA168" s="89"/>
      <c r="GMC168" s="91"/>
      <c r="GMF168" s="89"/>
      <c r="GMH168" s="91"/>
      <c r="GMK168" s="89"/>
      <c r="GMM168" s="91"/>
      <c r="GMP168" s="89"/>
      <c r="GMR168" s="91"/>
      <c r="GMU168" s="89"/>
      <c r="GMW168" s="91"/>
      <c r="GMZ168" s="89"/>
      <c r="GNB168" s="91"/>
      <c r="GNE168" s="89"/>
      <c r="GNG168" s="91"/>
      <c r="GNJ168" s="89"/>
      <c r="GNL168" s="91"/>
      <c r="GNO168" s="89"/>
      <c r="GNQ168" s="91"/>
      <c r="GNT168" s="89"/>
      <c r="GNV168" s="91"/>
      <c r="GNY168" s="89"/>
      <c r="GOA168" s="91"/>
      <c r="GOD168" s="89"/>
      <c r="GOF168" s="91"/>
      <c r="GOI168" s="89"/>
      <c r="GOK168" s="91"/>
      <c r="GON168" s="89"/>
      <c r="GOP168" s="91"/>
      <c r="GOS168" s="89"/>
      <c r="GOU168" s="91"/>
      <c r="GOX168" s="89"/>
      <c r="GOZ168" s="91"/>
      <c r="GPC168" s="89"/>
      <c r="GPE168" s="91"/>
      <c r="GPH168" s="89"/>
      <c r="GPJ168" s="91"/>
      <c r="GPM168" s="89"/>
      <c r="GPO168" s="91"/>
      <c r="GPR168" s="89"/>
      <c r="GPT168" s="91"/>
      <c r="GPW168" s="89"/>
      <c r="GPY168" s="91"/>
      <c r="GQB168" s="89"/>
      <c r="GQD168" s="91"/>
      <c r="GQG168" s="89"/>
      <c r="GQI168" s="91"/>
      <c r="GQL168" s="89"/>
      <c r="GQN168" s="91"/>
      <c r="GQQ168" s="89"/>
      <c r="GQS168" s="91"/>
      <c r="GQV168" s="89"/>
      <c r="GQX168" s="91"/>
      <c r="GRA168" s="89"/>
      <c r="GRC168" s="91"/>
      <c r="GRF168" s="89"/>
      <c r="GRH168" s="91"/>
      <c r="GRK168" s="89"/>
      <c r="GRM168" s="91"/>
      <c r="GRP168" s="89"/>
      <c r="GRR168" s="91"/>
      <c r="GRU168" s="89"/>
      <c r="GRW168" s="91"/>
      <c r="GRZ168" s="89"/>
      <c r="GSB168" s="91"/>
      <c r="GSE168" s="89"/>
      <c r="GSG168" s="91"/>
      <c r="GSJ168" s="89"/>
      <c r="GSL168" s="91"/>
      <c r="GSO168" s="89"/>
      <c r="GSQ168" s="91"/>
      <c r="GST168" s="89"/>
      <c r="GSV168" s="91"/>
      <c r="GSY168" s="89"/>
      <c r="GTA168" s="91"/>
      <c r="GTD168" s="89"/>
      <c r="GTF168" s="91"/>
      <c r="GTI168" s="89"/>
      <c r="GTK168" s="91"/>
      <c r="GTN168" s="89"/>
      <c r="GTP168" s="91"/>
      <c r="GTS168" s="89"/>
      <c r="GTU168" s="91"/>
      <c r="GTX168" s="89"/>
      <c r="GTZ168" s="91"/>
      <c r="GUC168" s="89"/>
      <c r="GUE168" s="91"/>
      <c r="GUH168" s="89"/>
      <c r="GUJ168" s="91"/>
      <c r="GUM168" s="89"/>
      <c r="GUO168" s="91"/>
      <c r="GUR168" s="89"/>
      <c r="GUT168" s="91"/>
      <c r="GUW168" s="89"/>
      <c r="GUY168" s="91"/>
      <c r="GVB168" s="89"/>
      <c r="GVD168" s="91"/>
      <c r="GVG168" s="89"/>
      <c r="GVI168" s="91"/>
      <c r="GVL168" s="89"/>
      <c r="GVN168" s="91"/>
      <c r="GVQ168" s="89"/>
      <c r="GVS168" s="91"/>
      <c r="GVV168" s="89"/>
      <c r="GVX168" s="91"/>
      <c r="GWA168" s="89"/>
      <c r="GWC168" s="91"/>
      <c r="GWF168" s="89"/>
      <c r="GWH168" s="91"/>
      <c r="GWK168" s="89"/>
      <c r="GWM168" s="91"/>
      <c r="GWP168" s="89"/>
      <c r="GWR168" s="91"/>
      <c r="GWU168" s="89"/>
      <c r="GWW168" s="91"/>
      <c r="GWZ168" s="89"/>
      <c r="GXB168" s="91"/>
      <c r="GXE168" s="89"/>
      <c r="GXG168" s="91"/>
      <c r="GXJ168" s="89"/>
      <c r="GXL168" s="91"/>
      <c r="GXO168" s="89"/>
      <c r="GXQ168" s="91"/>
      <c r="GXT168" s="89"/>
      <c r="GXV168" s="91"/>
      <c r="GXY168" s="89"/>
      <c r="GYA168" s="91"/>
      <c r="GYD168" s="89"/>
      <c r="GYF168" s="91"/>
      <c r="GYI168" s="89"/>
      <c r="GYK168" s="91"/>
      <c r="GYN168" s="89"/>
      <c r="GYP168" s="91"/>
      <c r="GYS168" s="89"/>
      <c r="GYU168" s="91"/>
      <c r="GYX168" s="89"/>
      <c r="GYZ168" s="91"/>
      <c r="GZC168" s="89"/>
      <c r="GZE168" s="91"/>
      <c r="GZH168" s="89"/>
      <c r="GZJ168" s="91"/>
      <c r="GZM168" s="89"/>
      <c r="GZO168" s="91"/>
      <c r="GZR168" s="89"/>
      <c r="GZT168" s="91"/>
      <c r="GZW168" s="89"/>
      <c r="GZY168" s="91"/>
      <c r="HAB168" s="89"/>
      <c r="HAD168" s="91"/>
      <c r="HAG168" s="89"/>
      <c r="HAI168" s="91"/>
      <c r="HAL168" s="89"/>
      <c r="HAN168" s="91"/>
      <c r="HAQ168" s="89"/>
      <c r="HAS168" s="91"/>
      <c r="HAV168" s="89"/>
      <c r="HAX168" s="91"/>
      <c r="HBA168" s="89"/>
      <c r="HBC168" s="91"/>
      <c r="HBF168" s="89"/>
      <c r="HBH168" s="91"/>
      <c r="HBK168" s="89"/>
      <c r="HBM168" s="91"/>
      <c r="HBP168" s="89"/>
      <c r="HBR168" s="91"/>
      <c r="HBU168" s="89"/>
      <c r="HBW168" s="91"/>
      <c r="HBZ168" s="89"/>
      <c r="HCB168" s="91"/>
      <c r="HCE168" s="89"/>
      <c r="HCG168" s="91"/>
      <c r="HCJ168" s="89"/>
      <c r="HCL168" s="91"/>
      <c r="HCO168" s="89"/>
      <c r="HCQ168" s="91"/>
      <c r="HCT168" s="89"/>
      <c r="HCV168" s="91"/>
      <c r="HCY168" s="89"/>
      <c r="HDA168" s="91"/>
      <c r="HDD168" s="89"/>
      <c r="HDF168" s="91"/>
      <c r="HDI168" s="89"/>
      <c r="HDK168" s="91"/>
      <c r="HDN168" s="89"/>
      <c r="HDP168" s="91"/>
      <c r="HDS168" s="89"/>
      <c r="HDU168" s="91"/>
      <c r="HDX168" s="89"/>
      <c r="HDZ168" s="91"/>
      <c r="HEC168" s="89"/>
      <c r="HEE168" s="91"/>
      <c r="HEH168" s="89"/>
      <c r="HEJ168" s="91"/>
      <c r="HEM168" s="89"/>
      <c r="HEO168" s="91"/>
      <c r="HER168" s="89"/>
      <c r="HET168" s="91"/>
      <c r="HEW168" s="89"/>
      <c r="HEY168" s="91"/>
      <c r="HFB168" s="89"/>
      <c r="HFD168" s="91"/>
      <c r="HFG168" s="89"/>
      <c r="HFI168" s="91"/>
      <c r="HFL168" s="89"/>
      <c r="HFN168" s="91"/>
      <c r="HFQ168" s="89"/>
      <c r="HFS168" s="91"/>
      <c r="HFV168" s="89"/>
      <c r="HFX168" s="91"/>
      <c r="HGA168" s="89"/>
      <c r="HGC168" s="91"/>
      <c r="HGF168" s="89"/>
      <c r="HGH168" s="91"/>
      <c r="HGK168" s="89"/>
      <c r="HGM168" s="91"/>
      <c r="HGP168" s="89"/>
      <c r="HGR168" s="91"/>
      <c r="HGU168" s="89"/>
      <c r="HGW168" s="91"/>
      <c r="HGZ168" s="89"/>
      <c r="HHB168" s="91"/>
      <c r="HHE168" s="89"/>
      <c r="HHG168" s="91"/>
      <c r="HHJ168" s="89"/>
      <c r="HHL168" s="91"/>
      <c r="HHO168" s="89"/>
      <c r="HHQ168" s="91"/>
      <c r="HHT168" s="89"/>
      <c r="HHV168" s="91"/>
      <c r="HHY168" s="89"/>
      <c r="HIA168" s="91"/>
      <c r="HID168" s="89"/>
      <c r="HIF168" s="91"/>
      <c r="HII168" s="89"/>
      <c r="HIK168" s="91"/>
      <c r="HIN168" s="89"/>
      <c r="HIP168" s="91"/>
      <c r="HIS168" s="89"/>
      <c r="HIU168" s="91"/>
      <c r="HIX168" s="89"/>
      <c r="HIZ168" s="91"/>
      <c r="HJC168" s="89"/>
      <c r="HJE168" s="91"/>
      <c r="HJH168" s="89"/>
      <c r="HJJ168" s="91"/>
      <c r="HJM168" s="89"/>
      <c r="HJO168" s="91"/>
      <c r="HJR168" s="89"/>
      <c r="HJT168" s="91"/>
      <c r="HJW168" s="89"/>
      <c r="HJY168" s="91"/>
      <c r="HKB168" s="89"/>
      <c r="HKD168" s="91"/>
      <c r="HKG168" s="89"/>
      <c r="HKI168" s="91"/>
      <c r="HKL168" s="89"/>
      <c r="HKN168" s="91"/>
      <c r="HKQ168" s="89"/>
      <c r="HKS168" s="91"/>
      <c r="HKV168" s="89"/>
      <c r="HKX168" s="91"/>
      <c r="HLA168" s="89"/>
      <c r="HLC168" s="91"/>
      <c r="HLF168" s="89"/>
      <c r="HLH168" s="91"/>
      <c r="HLK168" s="89"/>
      <c r="HLM168" s="91"/>
      <c r="HLP168" s="89"/>
      <c r="HLR168" s="91"/>
      <c r="HLU168" s="89"/>
      <c r="HLW168" s="91"/>
      <c r="HLZ168" s="89"/>
      <c r="HMB168" s="91"/>
      <c r="HME168" s="89"/>
      <c r="HMG168" s="91"/>
      <c r="HMJ168" s="89"/>
      <c r="HML168" s="91"/>
      <c r="HMO168" s="89"/>
      <c r="HMQ168" s="91"/>
      <c r="HMT168" s="89"/>
      <c r="HMV168" s="91"/>
      <c r="HMY168" s="89"/>
      <c r="HNA168" s="91"/>
      <c r="HND168" s="89"/>
      <c r="HNF168" s="91"/>
      <c r="HNI168" s="89"/>
      <c r="HNK168" s="91"/>
      <c r="HNN168" s="89"/>
      <c r="HNP168" s="91"/>
      <c r="HNS168" s="89"/>
      <c r="HNU168" s="91"/>
      <c r="HNX168" s="89"/>
      <c r="HNZ168" s="91"/>
      <c r="HOC168" s="89"/>
      <c r="HOE168" s="91"/>
      <c r="HOH168" s="89"/>
      <c r="HOJ168" s="91"/>
      <c r="HOM168" s="89"/>
      <c r="HOO168" s="91"/>
      <c r="HOR168" s="89"/>
      <c r="HOT168" s="91"/>
      <c r="HOW168" s="89"/>
      <c r="HOY168" s="91"/>
      <c r="HPB168" s="89"/>
      <c r="HPD168" s="91"/>
      <c r="HPG168" s="89"/>
      <c r="HPI168" s="91"/>
      <c r="HPL168" s="89"/>
      <c r="HPN168" s="91"/>
      <c r="HPQ168" s="89"/>
      <c r="HPS168" s="91"/>
      <c r="HPV168" s="89"/>
      <c r="HPX168" s="91"/>
      <c r="HQA168" s="89"/>
      <c r="HQC168" s="91"/>
      <c r="HQF168" s="89"/>
      <c r="HQH168" s="91"/>
      <c r="HQK168" s="89"/>
      <c r="HQM168" s="91"/>
      <c r="HQP168" s="89"/>
      <c r="HQR168" s="91"/>
      <c r="HQU168" s="89"/>
      <c r="HQW168" s="91"/>
      <c r="HQZ168" s="89"/>
      <c r="HRB168" s="91"/>
      <c r="HRE168" s="89"/>
      <c r="HRG168" s="91"/>
      <c r="HRJ168" s="89"/>
      <c r="HRL168" s="91"/>
      <c r="HRO168" s="89"/>
      <c r="HRQ168" s="91"/>
      <c r="HRT168" s="89"/>
      <c r="HRV168" s="91"/>
      <c r="HRY168" s="89"/>
      <c r="HSA168" s="91"/>
      <c r="HSD168" s="89"/>
      <c r="HSF168" s="91"/>
      <c r="HSI168" s="89"/>
      <c r="HSK168" s="91"/>
      <c r="HSN168" s="89"/>
      <c r="HSP168" s="91"/>
      <c r="HSS168" s="89"/>
      <c r="HSU168" s="91"/>
      <c r="HSX168" s="89"/>
      <c r="HSZ168" s="91"/>
      <c r="HTC168" s="89"/>
      <c r="HTE168" s="91"/>
      <c r="HTH168" s="89"/>
      <c r="HTJ168" s="91"/>
      <c r="HTM168" s="89"/>
      <c r="HTO168" s="91"/>
      <c r="HTR168" s="89"/>
      <c r="HTT168" s="91"/>
      <c r="HTW168" s="89"/>
      <c r="HTY168" s="91"/>
      <c r="HUB168" s="89"/>
      <c r="HUD168" s="91"/>
      <c r="HUG168" s="89"/>
      <c r="HUI168" s="91"/>
      <c r="HUL168" s="89"/>
      <c r="HUN168" s="91"/>
      <c r="HUQ168" s="89"/>
      <c r="HUS168" s="91"/>
      <c r="HUV168" s="89"/>
      <c r="HUX168" s="91"/>
      <c r="HVA168" s="89"/>
      <c r="HVC168" s="91"/>
      <c r="HVF168" s="89"/>
      <c r="HVH168" s="91"/>
      <c r="HVK168" s="89"/>
      <c r="HVM168" s="91"/>
      <c r="HVP168" s="89"/>
      <c r="HVR168" s="91"/>
      <c r="HVU168" s="89"/>
      <c r="HVW168" s="91"/>
      <c r="HVZ168" s="89"/>
      <c r="HWB168" s="91"/>
      <c r="HWE168" s="89"/>
      <c r="HWG168" s="91"/>
      <c r="HWJ168" s="89"/>
      <c r="HWL168" s="91"/>
      <c r="HWO168" s="89"/>
      <c r="HWQ168" s="91"/>
      <c r="HWT168" s="89"/>
      <c r="HWV168" s="91"/>
      <c r="HWY168" s="89"/>
      <c r="HXA168" s="91"/>
      <c r="HXD168" s="89"/>
      <c r="HXF168" s="91"/>
      <c r="HXI168" s="89"/>
      <c r="HXK168" s="91"/>
      <c r="HXN168" s="89"/>
      <c r="HXP168" s="91"/>
      <c r="HXS168" s="89"/>
      <c r="HXU168" s="91"/>
      <c r="HXX168" s="89"/>
      <c r="HXZ168" s="91"/>
      <c r="HYC168" s="89"/>
      <c r="HYE168" s="91"/>
      <c r="HYH168" s="89"/>
      <c r="HYJ168" s="91"/>
      <c r="HYM168" s="89"/>
      <c r="HYO168" s="91"/>
      <c r="HYR168" s="89"/>
      <c r="HYT168" s="91"/>
      <c r="HYW168" s="89"/>
      <c r="HYY168" s="91"/>
      <c r="HZB168" s="89"/>
      <c r="HZD168" s="91"/>
      <c r="HZG168" s="89"/>
      <c r="HZI168" s="91"/>
      <c r="HZL168" s="89"/>
      <c r="HZN168" s="91"/>
      <c r="HZQ168" s="89"/>
      <c r="HZS168" s="91"/>
      <c r="HZV168" s="89"/>
      <c r="HZX168" s="91"/>
      <c r="IAA168" s="89"/>
      <c r="IAC168" s="91"/>
      <c r="IAF168" s="89"/>
      <c r="IAH168" s="91"/>
      <c r="IAK168" s="89"/>
      <c r="IAM168" s="91"/>
      <c r="IAP168" s="89"/>
      <c r="IAR168" s="91"/>
      <c r="IAU168" s="89"/>
      <c r="IAW168" s="91"/>
      <c r="IAZ168" s="89"/>
      <c r="IBB168" s="91"/>
      <c r="IBE168" s="89"/>
      <c r="IBG168" s="91"/>
      <c r="IBJ168" s="89"/>
      <c r="IBL168" s="91"/>
      <c r="IBO168" s="89"/>
      <c r="IBQ168" s="91"/>
      <c r="IBT168" s="89"/>
      <c r="IBV168" s="91"/>
      <c r="IBY168" s="89"/>
      <c r="ICA168" s="91"/>
      <c r="ICD168" s="89"/>
      <c r="ICF168" s="91"/>
      <c r="ICI168" s="89"/>
      <c r="ICK168" s="91"/>
      <c r="ICN168" s="89"/>
      <c r="ICP168" s="91"/>
      <c r="ICS168" s="89"/>
      <c r="ICU168" s="91"/>
      <c r="ICX168" s="89"/>
      <c r="ICZ168" s="91"/>
      <c r="IDC168" s="89"/>
      <c r="IDE168" s="91"/>
      <c r="IDH168" s="89"/>
      <c r="IDJ168" s="91"/>
      <c r="IDM168" s="89"/>
      <c r="IDO168" s="91"/>
      <c r="IDR168" s="89"/>
      <c r="IDT168" s="91"/>
      <c r="IDW168" s="89"/>
      <c r="IDY168" s="91"/>
      <c r="IEB168" s="89"/>
      <c r="IED168" s="91"/>
      <c r="IEG168" s="89"/>
      <c r="IEI168" s="91"/>
      <c r="IEL168" s="89"/>
      <c r="IEN168" s="91"/>
      <c r="IEQ168" s="89"/>
      <c r="IES168" s="91"/>
      <c r="IEV168" s="89"/>
      <c r="IEX168" s="91"/>
      <c r="IFA168" s="89"/>
      <c r="IFC168" s="91"/>
      <c r="IFF168" s="89"/>
      <c r="IFH168" s="91"/>
      <c r="IFK168" s="89"/>
      <c r="IFM168" s="91"/>
      <c r="IFP168" s="89"/>
      <c r="IFR168" s="91"/>
      <c r="IFU168" s="89"/>
      <c r="IFW168" s="91"/>
      <c r="IFZ168" s="89"/>
      <c r="IGB168" s="91"/>
      <c r="IGE168" s="89"/>
      <c r="IGG168" s="91"/>
      <c r="IGJ168" s="89"/>
      <c r="IGL168" s="91"/>
      <c r="IGO168" s="89"/>
      <c r="IGQ168" s="91"/>
      <c r="IGT168" s="89"/>
      <c r="IGV168" s="91"/>
      <c r="IGY168" s="89"/>
      <c r="IHA168" s="91"/>
      <c r="IHD168" s="89"/>
      <c r="IHF168" s="91"/>
      <c r="IHI168" s="89"/>
      <c r="IHK168" s="91"/>
      <c r="IHN168" s="89"/>
      <c r="IHP168" s="91"/>
      <c r="IHS168" s="89"/>
      <c r="IHU168" s="91"/>
      <c r="IHX168" s="89"/>
      <c r="IHZ168" s="91"/>
      <c r="IIC168" s="89"/>
      <c r="IIE168" s="91"/>
      <c r="IIH168" s="89"/>
      <c r="IIJ168" s="91"/>
      <c r="IIM168" s="89"/>
      <c r="IIO168" s="91"/>
      <c r="IIR168" s="89"/>
      <c r="IIT168" s="91"/>
      <c r="IIW168" s="89"/>
      <c r="IIY168" s="91"/>
      <c r="IJB168" s="89"/>
      <c r="IJD168" s="91"/>
      <c r="IJG168" s="89"/>
      <c r="IJI168" s="91"/>
      <c r="IJL168" s="89"/>
      <c r="IJN168" s="91"/>
      <c r="IJQ168" s="89"/>
      <c r="IJS168" s="91"/>
      <c r="IJV168" s="89"/>
      <c r="IJX168" s="91"/>
      <c r="IKA168" s="89"/>
      <c r="IKC168" s="91"/>
      <c r="IKF168" s="89"/>
      <c r="IKH168" s="91"/>
      <c r="IKK168" s="89"/>
      <c r="IKM168" s="91"/>
      <c r="IKP168" s="89"/>
      <c r="IKR168" s="91"/>
      <c r="IKU168" s="89"/>
      <c r="IKW168" s="91"/>
      <c r="IKZ168" s="89"/>
      <c r="ILB168" s="91"/>
      <c r="ILE168" s="89"/>
      <c r="ILG168" s="91"/>
      <c r="ILJ168" s="89"/>
      <c r="ILL168" s="91"/>
      <c r="ILO168" s="89"/>
      <c r="ILQ168" s="91"/>
      <c r="ILT168" s="89"/>
      <c r="ILV168" s="91"/>
      <c r="ILY168" s="89"/>
      <c r="IMA168" s="91"/>
      <c r="IMD168" s="89"/>
      <c r="IMF168" s="91"/>
      <c r="IMI168" s="89"/>
      <c r="IMK168" s="91"/>
      <c r="IMN168" s="89"/>
      <c r="IMP168" s="91"/>
      <c r="IMS168" s="89"/>
      <c r="IMU168" s="91"/>
      <c r="IMX168" s="89"/>
      <c r="IMZ168" s="91"/>
      <c r="INC168" s="89"/>
      <c r="INE168" s="91"/>
      <c r="INH168" s="89"/>
      <c r="INJ168" s="91"/>
      <c r="INM168" s="89"/>
      <c r="INO168" s="91"/>
      <c r="INR168" s="89"/>
      <c r="INT168" s="91"/>
      <c r="INW168" s="89"/>
      <c r="INY168" s="91"/>
      <c r="IOB168" s="89"/>
      <c r="IOD168" s="91"/>
      <c r="IOG168" s="89"/>
      <c r="IOI168" s="91"/>
      <c r="IOL168" s="89"/>
      <c r="ION168" s="91"/>
      <c r="IOQ168" s="89"/>
      <c r="IOS168" s="91"/>
      <c r="IOV168" s="89"/>
      <c r="IOX168" s="91"/>
      <c r="IPA168" s="89"/>
      <c r="IPC168" s="91"/>
      <c r="IPF168" s="89"/>
      <c r="IPH168" s="91"/>
      <c r="IPK168" s="89"/>
      <c r="IPM168" s="91"/>
      <c r="IPP168" s="89"/>
      <c r="IPR168" s="91"/>
      <c r="IPU168" s="89"/>
      <c r="IPW168" s="91"/>
      <c r="IPZ168" s="89"/>
      <c r="IQB168" s="91"/>
      <c r="IQE168" s="89"/>
      <c r="IQG168" s="91"/>
      <c r="IQJ168" s="89"/>
      <c r="IQL168" s="91"/>
      <c r="IQO168" s="89"/>
      <c r="IQQ168" s="91"/>
      <c r="IQT168" s="89"/>
      <c r="IQV168" s="91"/>
      <c r="IQY168" s="89"/>
      <c r="IRA168" s="91"/>
      <c r="IRD168" s="89"/>
      <c r="IRF168" s="91"/>
      <c r="IRI168" s="89"/>
      <c r="IRK168" s="91"/>
      <c r="IRN168" s="89"/>
      <c r="IRP168" s="91"/>
      <c r="IRS168" s="89"/>
      <c r="IRU168" s="91"/>
      <c r="IRX168" s="89"/>
      <c r="IRZ168" s="91"/>
      <c r="ISC168" s="89"/>
      <c r="ISE168" s="91"/>
      <c r="ISH168" s="89"/>
      <c r="ISJ168" s="91"/>
      <c r="ISM168" s="89"/>
      <c r="ISO168" s="91"/>
      <c r="ISR168" s="89"/>
      <c r="IST168" s="91"/>
      <c r="ISW168" s="89"/>
      <c r="ISY168" s="91"/>
      <c r="ITB168" s="89"/>
      <c r="ITD168" s="91"/>
      <c r="ITG168" s="89"/>
      <c r="ITI168" s="91"/>
      <c r="ITL168" s="89"/>
      <c r="ITN168" s="91"/>
      <c r="ITQ168" s="89"/>
      <c r="ITS168" s="91"/>
      <c r="ITV168" s="89"/>
      <c r="ITX168" s="91"/>
      <c r="IUA168" s="89"/>
      <c r="IUC168" s="91"/>
      <c r="IUF168" s="89"/>
      <c r="IUH168" s="91"/>
      <c r="IUK168" s="89"/>
      <c r="IUM168" s="91"/>
      <c r="IUP168" s="89"/>
      <c r="IUR168" s="91"/>
      <c r="IUU168" s="89"/>
      <c r="IUW168" s="91"/>
      <c r="IUZ168" s="89"/>
      <c r="IVB168" s="91"/>
      <c r="IVE168" s="89"/>
      <c r="IVG168" s="91"/>
      <c r="IVJ168" s="89"/>
      <c r="IVL168" s="91"/>
      <c r="IVO168" s="89"/>
      <c r="IVQ168" s="91"/>
      <c r="IVT168" s="89"/>
      <c r="IVV168" s="91"/>
      <c r="IVY168" s="89"/>
      <c r="IWA168" s="91"/>
      <c r="IWD168" s="89"/>
      <c r="IWF168" s="91"/>
      <c r="IWI168" s="89"/>
      <c r="IWK168" s="91"/>
      <c r="IWN168" s="89"/>
      <c r="IWP168" s="91"/>
      <c r="IWS168" s="89"/>
      <c r="IWU168" s="91"/>
      <c r="IWX168" s="89"/>
      <c r="IWZ168" s="91"/>
      <c r="IXC168" s="89"/>
      <c r="IXE168" s="91"/>
      <c r="IXH168" s="89"/>
      <c r="IXJ168" s="91"/>
      <c r="IXM168" s="89"/>
      <c r="IXO168" s="91"/>
      <c r="IXR168" s="89"/>
      <c r="IXT168" s="91"/>
      <c r="IXW168" s="89"/>
      <c r="IXY168" s="91"/>
      <c r="IYB168" s="89"/>
      <c r="IYD168" s="91"/>
      <c r="IYG168" s="89"/>
      <c r="IYI168" s="91"/>
      <c r="IYL168" s="89"/>
      <c r="IYN168" s="91"/>
      <c r="IYQ168" s="89"/>
      <c r="IYS168" s="91"/>
      <c r="IYV168" s="89"/>
      <c r="IYX168" s="91"/>
      <c r="IZA168" s="89"/>
      <c r="IZC168" s="91"/>
      <c r="IZF168" s="89"/>
      <c r="IZH168" s="91"/>
      <c r="IZK168" s="89"/>
      <c r="IZM168" s="91"/>
      <c r="IZP168" s="89"/>
      <c r="IZR168" s="91"/>
      <c r="IZU168" s="89"/>
      <c r="IZW168" s="91"/>
      <c r="IZZ168" s="89"/>
      <c r="JAB168" s="91"/>
      <c r="JAE168" s="89"/>
      <c r="JAG168" s="91"/>
      <c r="JAJ168" s="89"/>
      <c r="JAL168" s="91"/>
      <c r="JAO168" s="89"/>
      <c r="JAQ168" s="91"/>
      <c r="JAT168" s="89"/>
      <c r="JAV168" s="91"/>
      <c r="JAY168" s="89"/>
      <c r="JBA168" s="91"/>
      <c r="JBD168" s="89"/>
      <c r="JBF168" s="91"/>
      <c r="JBI168" s="89"/>
      <c r="JBK168" s="91"/>
      <c r="JBN168" s="89"/>
      <c r="JBP168" s="91"/>
      <c r="JBS168" s="89"/>
      <c r="JBU168" s="91"/>
      <c r="JBX168" s="89"/>
      <c r="JBZ168" s="91"/>
      <c r="JCC168" s="89"/>
      <c r="JCE168" s="91"/>
      <c r="JCH168" s="89"/>
      <c r="JCJ168" s="91"/>
      <c r="JCM168" s="89"/>
      <c r="JCO168" s="91"/>
      <c r="JCR168" s="89"/>
      <c r="JCT168" s="91"/>
      <c r="JCW168" s="89"/>
      <c r="JCY168" s="91"/>
      <c r="JDB168" s="89"/>
      <c r="JDD168" s="91"/>
      <c r="JDG168" s="89"/>
      <c r="JDI168" s="91"/>
      <c r="JDL168" s="89"/>
      <c r="JDN168" s="91"/>
      <c r="JDQ168" s="89"/>
      <c r="JDS168" s="91"/>
      <c r="JDV168" s="89"/>
      <c r="JDX168" s="91"/>
      <c r="JEA168" s="89"/>
      <c r="JEC168" s="91"/>
      <c r="JEF168" s="89"/>
      <c r="JEH168" s="91"/>
      <c r="JEK168" s="89"/>
      <c r="JEM168" s="91"/>
      <c r="JEP168" s="89"/>
      <c r="JER168" s="91"/>
      <c r="JEU168" s="89"/>
      <c r="JEW168" s="91"/>
      <c r="JEZ168" s="89"/>
      <c r="JFB168" s="91"/>
      <c r="JFE168" s="89"/>
      <c r="JFG168" s="91"/>
      <c r="JFJ168" s="89"/>
      <c r="JFL168" s="91"/>
      <c r="JFO168" s="89"/>
      <c r="JFQ168" s="91"/>
      <c r="JFT168" s="89"/>
      <c r="JFV168" s="91"/>
      <c r="JFY168" s="89"/>
      <c r="JGA168" s="91"/>
      <c r="JGD168" s="89"/>
      <c r="JGF168" s="91"/>
      <c r="JGI168" s="89"/>
      <c r="JGK168" s="91"/>
      <c r="JGN168" s="89"/>
      <c r="JGP168" s="91"/>
      <c r="JGS168" s="89"/>
      <c r="JGU168" s="91"/>
      <c r="JGX168" s="89"/>
      <c r="JGZ168" s="91"/>
      <c r="JHC168" s="89"/>
      <c r="JHE168" s="91"/>
      <c r="JHH168" s="89"/>
      <c r="JHJ168" s="91"/>
      <c r="JHM168" s="89"/>
      <c r="JHO168" s="91"/>
      <c r="JHR168" s="89"/>
      <c r="JHT168" s="91"/>
      <c r="JHW168" s="89"/>
      <c r="JHY168" s="91"/>
      <c r="JIB168" s="89"/>
      <c r="JID168" s="91"/>
      <c r="JIG168" s="89"/>
      <c r="JII168" s="91"/>
      <c r="JIL168" s="89"/>
      <c r="JIN168" s="91"/>
      <c r="JIQ168" s="89"/>
      <c r="JIS168" s="91"/>
      <c r="JIV168" s="89"/>
      <c r="JIX168" s="91"/>
      <c r="JJA168" s="89"/>
      <c r="JJC168" s="91"/>
      <c r="JJF168" s="89"/>
      <c r="JJH168" s="91"/>
      <c r="JJK168" s="89"/>
      <c r="JJM168" s="91"/>
      <c r="JJP168" s="89"/>
      <c r="JJR168" s="91"/>
      <c r="JJU168" s="89"/>
      <c r="JJW168" s="91"/>
      <c r="JJZ168" s="89"/>
      <c r="JKB168" s="91"/>
      <c r="JKE168" s="89"/>
      <c r="JKG168" s="91"/>
      <c r="JKJ168" s="89"/>
      <c r="JKL168" s="91"/>
      <c r="JKO168" s="89"/>
      <c r="JKQ168" s="91"/>
      <c r="JKT168" s="89"/>
      <c r="JKV168" s="91"/>
      <c r="JKY168" s="89"/>
      <c r="JLA168" s="91"/>
      <c r="JLD168" s="89"/>
      <c r="JLF168" s="91"/>
      <c r="JLI168" s="89"/>
      <c r="JLK168" s="91"/>
      <c r="JLN168" s="89"/>
      <c r="JLP168" s="91"/>
      <c r="JLS168" s="89"/>
      <c r="JLU168" s="91"/>
      <c r="JLX168" s="89"/>
      <c r="JLZ168" s="91"/>
      <c r="JMC168" s="89"/>
      <c r="JME168" s="91"/>
      <c r="JMH168" s="89"/>
      <c r="JMJ168" s="91"/>
      <c r="JMM168" s="89"/>
      <c r="JMO168" s="91"/>
      <c r="JMR168" s="89"/>
      <c r="JMT168" s="91"/>
      <c r="JMW168" s="89"/>
      <c r="JMY168" s="91"/>
      <c r="JNB168" s="89"/>
      <c r="JND168" s="91"/>
      <c r="JNG168" s="89"/>
      <c r="JNI168" s="91"/>
      <c r="JNL168" s="89"/>
      <c r="JNN168" s="91"/>
      <c r="JNQ168" s="89"/>
      <c r="JNS168" s="91"/>
      <c r="JNV168" s="89"/>
      <c r="JNX168" s="91"/>
      <c r="JOA168" s="89"/>
      <c r="JOC168" s="91"/>
      <c r="JOF168" s="89"/>
      <c r="JOH168" s="91"/>
      <c r="JOK168" s="89"/>
      <c r="JOM168" s="91"/>
      <c r="JOP168" s="89"/>
      <c r="JOR168" s="91"/>
      <c r="JOU168" s="89"/>
      <c r="JOW168" s="91"/>
      <c r="JOZ168" s="89"/>
      <c r="JPB168" s="91"/>
      <c r="JPE168" s="89"/>
      <c r="JPG168" s="91"/>
      <c r="JPJ168" s="89"/>
      <c r="JPL168" s="91"/>
      <c r="JPO168" s="89"/>
      <c r="JPQ168" s="91"/>
      <c r="JPT168" s="89"/>
      <c r="JPV168" s="91"/>
      <c r="JPY168" s="89"/>
      <c r="JQA168" s="91"/>
      <c r="JQD168" s="89"/>
      <c r="JQF168" s="91"/>
      <c r="JQI168" s="89"/>
      <c r="JQK168" s="91"/>
      <c r="JQN168" s="89"/>
      <c r="JQP168" s="91"/>
      <c r="JQS168" s="89"/>
      <c r="JQU168" s="91"/>
      <c r="JQX168" s="89"/>
      <c r="JQZ168" s="91"/>
      <c r="JRC168" s="89"/>
      <c r="JRE168" s="91"/>
      <c r="JRH168" s="89"/>
      <c r="JRJ168" s="91"/>
      <c r="JRM168" s="89"/>
      <c r="JRO168" s="91"/>
      <c r="JRR168" s="89"/>
      <c r="JRT168" s="91"/>
      <c r="JRW168" s="89"/>
      <c r="JRY168" s="91"/>
      <c r="JSB168" s="89"/>
      <c r="JSD168" s="91"/>
      <c r="JSG168" s="89"/>
      <c r="JSI168" s="91"/>
      <c r="JSL168" s="89"/>
      <c r="JSN168" s="91"/>
      <c r="JSQ168" s="89"/>
      <c r="JSS168" s="91"/>
      <c r="JSV168" s="89"/>
      <c r="JSX168" s="91"/>
      <c r="JTA168" s="89"/>
      <c r="JTC168" s="91"/>
      <c r="JTF168" s="89"/>
      <c r="JTH168" s="91"/>
      <c r="JTK168" s="89"/>
      <c r="JTM168" s="91"/>
      <c r="JTP168" s="89"/>
      <c r="JTR168" s="91"/>
      <c r="JTU168" s="89"/>
      <c r="JTW168" s="91"/>
      <c r="JTZ168" s="89"/>
      <c r="JUB168" s="91"/>
      <c r="JUE168" s="89"/>
      <c r="JUG168" s="91"/>
      <c r="JUJ168" s="89"/>
      <c r="JUL168" s="91"/>
      <c r="JUO168" s="89"/>
      <c r="JUQ168" s="91"/>
      <c r="JUT168" s="89"/>
      <c r="JUV168" s="91"/>
      <c r="JUY168" s="89"/>
      <c r="JVA168" s="91"/>
      <c r="JVD168" s="89"/>
      <c r="JVF168" s="91"/>
      <c r="JVI168" s="89"/>
      <c r="JVK168" s="91"/>
      <c r="JVN168" s="89"/>
      <c r="JVP168" s="91"/>
      <c r="JVS168" s="89"/>
      <c r="JVU168" s="91"/>
      <c r="JVX168" s="89"/>
      <c r="JVZ168" s="91"/>
      <c r="JWC168" s="89"/>
      <c r="JWE168" s="91"/>
      <c r="JWH168" s="89"/>
      <c r="JWJ168" s="91"/>
      <c r="JWM168" s="89"/>
      <c r="JWO168" s="91"/>
      <c r="JWR168" s="89"/>
      <c r="JWT168" s="91"/>
      <c r="JWW168" s="89"/>
      <c r="JWY168" s="91"/>
      <c r="JXB168" s="89"/>
      <c r="JXD168" s="91"/>
      <c r="JXG168" s="89"/>
      <c r="JXI168" s="91"/>
      <c r="JXL168" s="89"/>
      <c r="JXN168" s="91"/>
      <c r="JXQ168" s="89"/>
      <c r="JXS168" s="91"/>
      <c r="JXV168" s="89"/>
      <c r="JXX168" s="91"/>
      <c r="JYA168" s="89"/>
      <c r="JYC168" s="91"/>
      <c r="JYF168" s="89"/>
      <c r="JYH168" s="91"/>
      <c r="JYK168" s="89"/>
      <c r="JYM168" s="91"/>
      <c r="JYP168" s="89"/>
      <c r="JYR168" s="91"/>
      <c r="JYU168" s="89"/>
      <c r="JYW168" s="91"/>
      <c r="JYZ168" s="89"/>
      <c r="JZB168" s="91"/>
      <c r="JZE168" s="89"/>
      <c r="JZG168" s="91"/>
      <c r="JZJ168" s="89"/>
      <c r="JZL168" s="91"/>
      <c r="JZO168" s="89"/>
      <c r="JZQ168" s="91"/>
      <c r="JZT168" s="89"/>
      <c r="JZV168" s="91"/>
      <c r="JZY168" s="89"/>
      <c r="KAA168" s="91"/>
      <c r="KAD168" s="89"/>
      <c r="KAF168" s="91"/>
      <c r="KAI168" s="89"/>
      <c r="KAK168" s="91"/>
      <c r="KAN168" s="89"/>
      <c r="KAP168" s="91"/>
      <c r="KAS168" s="89"/>
      <c r="KAU168" s="91"/>
      <c r="KAX168" s="89"/>
      <c r="KAZ168" s="91"/>
      <c r="KBC168" s="89"/>
      <c r="KBE168" s="91"/>
      <c r="KBH168" s="89"/>
      <c r="KBJ168" s="91"/>
      <c r="KBM168" s="89"/>
      <c r="KBO168" s="91"/>
      <c r="KBR168" s="89"/>
      <c r="KBT168" s="91"/>
      <c r="KBW168" s="89"/>
      <c r="KBY168" s="91"/>
      <c r="KCB168" s="89"/>
      <c r="KCD168" s="91"/>
      <c r="KCG168" s="89"/>
      <c r="KCI168" s="91"/>
      <c r="KCL168" s="89"/>
      <c r="KCN168" s="91"/>
      <c r="KCQ168" s="89"/>
      <c r="KCS168" s="91"/>
      <c r="KCV168" s="89"/>
      <c r="KCX168" s="91"/>
      <c r="KDA168" s="89"/>
      <c r="KDC168" s="91"/>
      <c r="KDF168" s="89"/>
      <c r="KDH168" s="91"/>
      <c r="KDK168" s="89"/>
      <c r="KDM168" s="91"/>
      <c r="KDP168" s="89"/>
      <c r="KDR168" s="91"/>
      <c r="KDU168" s="89"/>
      <c r="KDW168" s="91"/>
      <c r="KDZ168" s="89"/>
      <c r="KEB168" s="91"/>
      <c r="KEE168" s="89"/>
      <c r="KEG168" s="91"/>
      <c r="KEJ168" s="89"/>
      <c r="KEL168" s="91"/>
      <c r="KEO168" s="89"/>
      <c r="KEQ168" s="91"/>
      <c r="KET168" s="89"/>
      <c r="KEV168" s="91"/>
      <c r="KEY168" s="89"/>
      <c r="KFA168" s="91"/>
      <c r="KFD168" s="89"/>
      <c r="KFF168" s="91"/>
      <c r="KFI168" s="89"/>
      <c r="KFK168" s="91"/>
      <c r="KFN168" s="89"/>
      <c r="KFP168" s="91"/>
      <c r="KFS168" s="89"/>
      <c r="KFU168" s="91"/>
      <c r="KFX168" s="89"/>
      <c r="KFZ168" s="91"/>
      <c r="KGC168" s="89"/>
      <c r="KGE168" s="91"/>
      <c r="KGH168" s="89"/>
      <c r="KGJ168" s="91"/>
      <c r="KGM168" s="89"/>
      <c r="KGO168" s="91"/>
      <c r="KGR168" s="89"/>
      <c r="KGT168" s="91"/>
      <c r="KGW168" s="89"/>
      <c r="KGY168" s="91"/>
      <c r="KHB168" s="89"/>
      <c r="KHD168" s="91"/>
      <c r="KHG168" s="89"/>
      <c r="KHI168" s="91"/>
      <c r="KHL168" s="89"/>
      <c r="KHN168" s="91"/>
      <c r="KHQ168" s="89"/>
      <c r="KHS168" s="91"/>
      <c r="KHV168" s="89"/>
      <c r="KHX168" s="91"/>
      <c r="KIA168" s="89"/>
      <c r="KIC168" s="91"/>
      <c r="KIF168" s="89"/>
      <c r="KIH168" s="91"/>
      <c r="KIK168" s="89"/>
      <c r="KIM168" s="91"/>
      <c r="KIP168" s="89"/>
      <c r="KIR168" s="91"/>
      <c r="KIU168" s="89"/>
      <c r="KIW168" s="91"/>
      <c r="KIZ168" s="89"/>
      <c r="KJB168" s="91"/>
      <c r="KJE168" s="89"/>
      <c r="KJG168" s="91"/>
      <c r="KJJ168" s="89"/>
      <c r="KJL168" s="91"/>
      <c r="KJO168" s="89"/>
      <c r="KJQ168" s="91"/>
      <c r="KJT168" s="89"/>
      <c r="KJV168" s="91"/>
      <c r="KJY168" s="89"/>
      <c r="KKA168" s="91"/>
      <c r="KKD168" s="89"/>
      <c r="KKF168" s="91"/>
      <c r="KKI168" s="89"/>
      <c r="KKK168" s="91"/>
      <c r="KKN168" s="89"/>
      <c r="KKP168" s="91"/>
      <c r="KKS168" s="89"/>
      <c r="KKU168" s="91"/>
      <c r="KKX168" s="89"/>
      <c r="KKZ168" s="91"/>
      <c r="KLC168" s="89"/>
      <c r="KLE168" s="91"/>
      <c r="KLH168" s="89"/>
      <c r="KLJ168" s="91"/>
      <c r="KLM168" s="89"/>
      <c r="KLO168" s="91"/>
      <c r="KLR168" s="89"/>
      <c r="KLT168" s="91"/>
      <c r="KLW168" s="89"/>
      <c r="KLY168" s="91"/>
      <c r="KMB168" s="89"/>
      <c r="KMD168" s="91"/>
      <c r="KMG168" s="89"/>
      <c r="KMI168" s="91"/>
      <c r="KML168" s="89"/>
      <c r="KMN168" s="91"/>
      <c r="KMQ168" s="89"/>
      <c r="KMS168" s="91"/>
      <c r="KMV168" s="89"/>
      <c r="KMX168" s="91"/>
      <c r="KNA168" s="89"/>
      <c r="KNC168" s="91"/>
      <c r="KNF168" s="89"/>
      <c r="KNH168" s="91"/>
      <c r="KNK168" s="89"/>
      <c r="KNM168" s="91"/>
      <c r="KNP168" s="89"/>
      <c r="KNR168" s="91"/>
      <c r="KNU168" s="89"/>
      <c r="KNW168" s="91"/>
      <c r="KNZ168" s="89"/>
      <c r="KOB168" s="91"/>
      <c r="KOE168" s="89"/>
      <c r="KOG168" s="91"/>
      <c r="KOJ168" s="89"/>
      <c r="KOL168" s="91"/>
      <c r="KOO168" s="89"/>
      <c r="KOQ168" s="91"/>
      <c r="KOT168" s="89"/>
      <c r="KOV168" s="91"/>
      <c r="KOY168" s="89"/>
      <c r="KPA168" s="91"/>
      <c r="KPD168" s="89"/>
      <c r="KPF168" s="91"/>
      <c r="KPI168" s="89"/>
      <c r="KPK168" s="91"/>
      <c r="KPN168" s="89"/>
      <c r="KPP168" s="91"/>
      <c r="KPS168" s="89"/>
      <c r="KPU168" s="91"/>
      <c r="KPX168" s="89"/>
      <c r="KPZ168" s="91"/>
      <c r="KQC168" s="89"/>
      <c r="KQE168" s="91"/>
      <c r="KQH168" s="89"/>
      <c r="KQJ168" s="91"/>
      <c r="KQM168" s="89"/>
      <c r="KQO168" s="91"/>
      <c r="KQR168" s="89"/>
      <c r="KQT168" s="91"/>
      <c r="KQW168" s="89"/>
      <c r="KQY168" s="91"/>
      <c r="KRB168" s="89"/>
      <c r="KRD168" s="91"/>
      <c r="KRG168" s="89"/>
      <c r="KRI168" s="91"/>
      <c r="KRL168" s="89"/>
      <c r="KRN168" s="91"/>
      <c r="KRQ168" s="89"/>
      <c r="KRS168" s="91"/>
      <c r="KRV168" s="89"/>
      <c r="KRX168" s="91"/>
      <c r="KSA168" s="89"/>
      <c r="KSC168" s="91"/>
      <c r="KSF168" s="89"/>
      <c r="KSH168" s="91"/>
      <c r="KSK168" s="89"/>
      <c r="KSM168" s="91"/>
      <c r="KSP168" s="89"/>
      <c r="KSR168" s="91"/>
      <c r="KSU168" s="89"/>
      <c r="KSW168" s="91"/>
      <c r="KSZ168" s="89"/>
      <c r="KTB168" s="91"/>
      <c r="KTE168" s="89"/>
      <c r="KTG168" s="91"/>
      <c r="KTJ168" s="89"/>
      <c r="KTL168" s="91"/>
      <c r="KTO168" s="89"/>
      <c r="KTQ168" s="91"/>
      <c r="KTT168" s="89"/>
      <c r="KTV168" s="91"/>
      <c r="KTY168" s="89"/>
      <c r="KUA168" s="91"/>
      <c r="KUD168" s="89"/>
      <c r="KUF168" s="91"/>
      <c r="KUI168" s="89"/>
      <c r="KUK168" s="91"/>
      <c r="KUN168" s="89"/>
      <c r="KUP168" s="91"/>
      <c r="KUS168" s="89"/>
      <c r="KUU168" s="91"/>
      <c r="KUX168" s="89"/>
      <c r="KUZ168" s="91"/>
      <c r="KVC168" s="89"/>
      <c r="KVE168" s="91"/>
      <c r="KVH168" s="89"/>
      <c r="KVJ168" s="91"/>
      <c r="KVM168" s="89"/>
      <c r="KVO168" s="91"/>
      <c r="KVR168" s="89"/>
      <c r="KVT168" s="91"/>
      <c r="KVW168" s="89"/>
      <c r="KVY168" s="91"/>
      <c r="KWB168" s="89"/>
      <c r="KWD168" s="91"/>
      <c r="KWG168" s="89"/>
      <c r="KWI168" s="91"/>
      <c r="KWL168" s="89"/>
      <c r="KWN168" s="91"/>
      <c r="KWQ168" s="89"/>
      <c r="KWS168" s="91"/>
      <c r="KWV168" s="89"/>
      <c r="KWX168" s="91"/>
      <c r="KXA168" s="89"/>
      <c r="KXC168" s="91"/>
      <c r="KXF168" s="89"/>
      <c r="KXH168" s="91"/>
      <c r="KXK168" s="89"/>
      <c r="KXM168" s="91"/>
      <c r="KXP168" s="89"/>
      <c r="KXR168" s="91"/>
      <c r="KXU168" s="89"/>
      <c r="KXW168" s="91"/>
      <c r="KXZ168" s="89"/>
      <c r="KYB168" s="91"/>
      <c r="KYE168" s="89"/>
      <c r="KYG168" s="91"/>
      <c r="KYJ168" s="89"/>
      <c r="KYL168" s="91"/>
      <c r="KYO168" s="89"/>
      <c r="KYQ168" s="91"/>
      <c r="KYT168" s="89"/>
      <c r="KYV168" s="91"/>
      <c r="KYY168" s="89"/>
      <c r="KZA168" s="91"/>
      <c r="KZD168" s="89"/>
      <c r="KZF168" s="91"/>
      <c r="KZI168" s="89"/>
      <c r="KZK168" s="91"/>
      <c r="KZN168" s="89"/>
      <c r="KZP168" s="91"/>
      <c r="KZS168" s="89"/>
      <c r="KZU168" s="91"/>
      <c r="KZX168" s="89"/>
      <c r="KZZ168" s="91"/>
      <c r="LAC168" s="89"/>
      <c r="LAE168" s="91"/>
      <c r="LAH168" s="89"/>
      <c r="LAJ168" s="91"/>
      <c r="LAM168" s="89"/>
      <c r="LAO168" s="91"/>
      <c r="LAR168" s="89"/>
      <c r="LAT168" s="91"/>
      <c r="LAW168" s="89"/>
      <c r="LAY168" s="91"/>
      <c r="LBB168" s="89"/>
      <c r="LBD168" s="91"/>
      <c r="LBG168" s="89"/>
      <c r="LBI168" s="91"/>
      <c r="LBL168" s="89"/>
      <c r="LBN168" s="91"/>
      <c r="LBQ168" s="89"/>
      <c r="LBS168" s="91"/>
      <c r="LBV168" s="89"/>
      <c r="LBX168" s="91"/>
      <c r="LCA168" s="89"/>
      <c r="LCC168" s="91"/>
      <c r="LCF168" s="89"/>
      <c r="LCH168" s="91"/>
      <c r="LCK168" s="89"/>
      <c r="LCM168" s="91"/>
      <c r="LCP168" s="89"/>
      <c r="LCR168" s="91"/>
      <c r="LCU168" s="89"/>
      <c r="LCW168" s="91"/>
      <c r="LCZ168" s="89"/>
      <c r="LDB168" s="91"/>
      <c r="LDE168" s="89"/>
      <c r="LDG168" s="91"/>
      <c r="LDJ168" s="89"/>
      <c r="LDL168" s="91"/>
      <c r="LDO168" s="89"/>
      <c r="LDQ168" s="91"/>
      <c r="LDT168" s="89"/>
      <c r="LDV168" s="91"/>
      <c r="LDY168" s="89"/>
      <c r="LEA168" s="91"/>
      <c r="LED168" s="89"/>
      <c r="LEF168" s="91"/>
      <c r="LEI168" s="89"/>
      <c r="LEK168" s="91"/>
      <c r="LEN168" s="89"/>
      <c r="LEP168" s="91"/>
      <c r="LES168" s="89"/>
      <c r="LEU168" s="91"/>
      <c r="LEX168" s="89"/>
      <c r="LEZ168" s="91"/>
      <c r="LFC168" s="89"/>
      <c r="LFE168" s="91"/>
      <c r="LFH168" s="89"/>
      <c r="LFJ168" s="91"/>
      <c r="LFM168" s="89"/>
      <c r="LFO168" s="91"/>
      <c r="LFR168" s="89"/>
      <c r="LFT168" s="91"/>
      <c r="LFW168" s="89"/>
      <c r="LFY168" s="91"/>
      <c r="LGB168" s="89"/>
      <c r="LGD168" s="91"/>
      <c r="LGG168" s="89"/>
      <c r="LGI168" s="91"/>
      <c r="LGL168" s="89"/>
      <c r="LGN168" s="91"/>
      <c r="LGQ168" s="89"/>
      <c r="LGS168" s="91"/>
      <c r="LGV168" s="89"/>
      <c r="LGX168" s="91"/>
      <c r="LHA168" s="89"/>
      <c r="LHC168" s="91"/>
      <c r="LHF168" s="89"/>
      <c r="LHH168" s="91"/>
      <c r="LHK168" s="89"/>
      <c r="LHM168" s="91"/>
      <c r="LHP168" s="89"/>
      <c r="LHR168" s="91"/>
      <c r="LHU168" s="89"/>
      <c r="LHW168" s="91"/>
      <c r="LHZ168" s="89"/>
      <c r="LIB168" s="91"/>
      <c r="LIE168" s="89"/>
      <c r="LIG168" s="91"/>
      <c r="LIJ168" s="89"/>
      <c r="LIL168" s="91"/>
      <c r="LIO168" s="89"/>
      <c r="LIQ168" s="91"/>
      <c r="LIT168" s="89"/>
      <c r="LIV168" s="91"/>
      <c r="LIY168" s="89"/>
      <c r="LJA168" s="91"/>
      <c r="LJD168" s="89"/>
      <c r="LJF168" s="91"/>
      <c r="LJI168" s="89"/>
      <c r="LJK168" s="91"/>
      <c r="LJN168" s="89"/>
      <c r="LJP168" s="91"/>
      <c r="LJS168" s="89"/>
      <c r="LJU168" s="91"/>
      <c r="LJX168" s="89"/>
      <c r="LJZ168" s="91"/>
      <c r="LKC168" s="89"/>
      <c r="LKE168" s="91"/>
      <c r="LKH168" s="89"/>
      <c r="LKJ168" s="91"/>
      <c r="LKM168" s="89"/>
      <c r="LKO168" s="91"/>
      <c r="LKR168" s="89"/>
      <c r="LKT168" s="91"/>
      <c r="LKW168" s="89"/>
      <c r="LKY168" s="91"/>
      <c r="LLB168" s="89"/>
      <c r="LLD168" s="91"/>
      <c r="LLG168" s="89"/>
      <c r="LLI168" s="91"/>
      <c r="LLL168" s="89"/>
      <c r="LLN168" s="91"/>
      <c r="LLQ168" s="89"/>
      <c r="LLS168" s="91"/>
      <c r="LLV168" s="89"/>
      <c r="LLX168" s="91"/>
      <c r="LMA168" s="89"/>
      <c r="LMC168" s="91"/>
      <c r="LMF168" s="89"/>
      <c r="LMH168" s="91"/>
      <c r="LMK168" s="89"/>
      <c r="LMM168" s="91"/>
      <c r="LMP168" s="89"/>
      <c r="LMR168" s="91"/>
      <c r="LMU168" s="89"/>
      <c r="LMW168" s="91"/>
      <c r="LMZ168" s="89"/>
      <c r="LNB168" s="91"/>
      <c r="LNE168" s="89"/>
      <c r="LNG168" s="91"/>
      <c r="LNJ168" s="89"/>
      <c r="LNL168" s="91"/>
      <c r="LNO168" s="89"/>
      <c r="LNQ168" s="91"/>
      <c r="LNT168" s="89"/>
      <c r="LNV168" s="91"/>
      <c r="LNY168" s="89"/>
      <c r="LOA168" s="91"/>
      <c r="LOD168" s="89"/>
      <c r="LOF168" s="91"/>
      <c r="LOI168" s="89"/>
      <c r="LOK168" s="91"/>
      <c r="LON168" s="89"/>
      <c r="LOP168" s="91"/>
      <c r="LOS168" s="89"/>
      <c r="LOU168" s="91"/>
      <c r="LOX168" s="89"/>
      <c r="LOZ168" s="91"/>
      <c r="LPC168" s="89"/>
      <c r="LPE168" s="91"/>
      <c r="LPH168" s="89"/>
      <c r="LPJ168" s="91"/>
      <c r="LPM168" s="89"/>
      <c r="LPO168" s="91"/>
      <c r="LPR168" s="89"/>
      <c r="LPT168" s="91"/>
      <c r="LPW168" s="89"/>
      <c r="LPY168" s="91"/>
      <c r="LQB168" s="89"/>
      <c r="LQD168" s="91"/>
      <c r="LQG168" s="89"/>
      <c r="LQI168" s="91"/>
      <c r="LQL168" s="89"/>
      <c r="LQN168" s="91"/>
      <c r="LQQ168" s="89"/>
      <c r="LQS168" s="91"/>
      <c r="LQV168" s="89"/>
      <c r="LQX168" s="91"/>
      <c r="LRA168" s="89"/>
      <c r="LRC168" s="91"/>
      <c r="LRF168" s="89"/>
      <c r="LRH168" s="91"/>
      <c r="LRK168" s="89"/>
      <c r="LRM168" s="91"/>
      <c r="LRP168" s="89"/>
      <c r="LRR168" s="91"/>
      <c r="LRU168" s="89"/>
      <c r="LRW168" s="91"/>
      <c r="LRZ168" s="89"/>
      <c r="LSB168" s="91"/>
      <c r="LSE168" s="89"/>
      <c r="LSG168" s="91"/>
      <c r="LSJ168" s="89"/>
      <c r="LSL168" s="91"/>
      <c r="LSO168" s="89"/>
      <c r="LSQ168" s="91"/>
      <c r="LST168" s="89"/>
      <c r="LSV168" s="91"/>
      <c r="LSY168" s="89"/>
      <c r="LTA168" s="91"/>
      <c r="LTD168" s="89"/>
      <c r="LTF168" s="91"/>
      <c r="LTI168" s="89"/>
      <c r="LTK168" s="91"/>
      <c r="LTN168" s="89"/>
      <c r="LTP168" s="91"/>
      <c r="LTS168" s="89"/>
      <c r="LTU168" s="91"/>
      <c r="LTX168" s="89"/>
      <c r="LTZ168" s="91"/>
      <c r="LUC168" s="89"/>
      <c r="LUE168" s="91"/>
      <c r="LUH168" s="89"/>
      <c r="LUJ168" s="91"/>
      <c r="LUM168" s="89"/>
      <c r="LUO168" s="91"/>
      <c r="LUR168" s="89"/>
      <c r="LUT168" s="91"/>
      <c r="LUW168" s="89"/>
      <c r="LUY168" s="91"/>
      <c r="LVB168" s="89"/>
      <c r="LVD168" s="91"/>
      <c r="LVG168" s="89"/>
      <c r="LVI168" s="91"/>
      <c r="LVL168" s="89"/>
      <c r="LVN168" s="91"/>
      <c r="LVQ168" s="89"/>
      <c r="LVS168" s="91"/>
      <c r="LVV168" s="89"/>
      <c r="LVX168" s="91"/>
      <c r="LWA168" s="89"/>
      <c r="LWC168" s="91"/>
      <c r="LWF168" s="89"/>
      <c r="LWH168" s="91"/>
      <c r="LWK168" s="89"/>
      <c r="LWM168" s="91"/>
      <c r="LWP168" s="89"/>
      <c r="LWR168" s="91"/>
      <c r="LWU168" s="89"/>
      <c r="LWW168" s="91"/>
      <c r="LWZ168" s="89"/>
      <c r="LXB168" s="91"/>
      <c r="LXE168" s="89"/>
      <c r="LXG168" s="91"/>
      <c r="LXJ168" s="89"/>
      <c r="LXL168" s="91"/>
      <c r="LXO168" s="89"/>
      <c r="LXQ168" s="91"/>
      <c r="LXT168" s="89"/>
      <c r="LXV168" s="91"/>
      <c r="LXY168" s="89"/>
      <c r="LYA168" s="91"/>
      <c r="LYD168" s="89"/>
      <c r="LYF168" s="91"/>
      <c r="LYI168" s="89"/>
      <c r="LYK168" s="91"/>
      <c r="LYN168" s="89"/>
      <c r="LYP168" s="91"/>
      <c r="LYS168" s="89"/>
      <c r="LYU168" s="91"/>
      <c r="LYX168" s="89"/>
      <c r="LYZ168" s="91"/>
      <c r="LZC168" s="89"/>
      <c r="LZE168" s="91"/>
      <c r="LZH168" s="89"/>
      <c r="LZJ168" s="91"/>
      <c r="LZM168" s="89"/>
      <c r="LZO168" s="91"/>
      <c r="LZR168" s="89"/>
      <c r="LZT168" s="91"/>
      <c r="LZW168" s="89"/>
      <c r="LZY168" s="91"/>
      <c r="MAB168" s="89"/>
      <c r="MAD168" s="91"/>
      <c r="MAG168" s="89"/>
      <c r="MAI168" s="91"/>
      <c r="MAL168" s="89"/>
      <c r="MAN168" s="91"/>
      <c r="MAQ168" s="89"/>
      <c r="MAS168" s="91"/>
      <c r="MAV168" s="89"/>
      <c r="MAX168" s="91"/>
      <c r="MBA168" s="89"/>
      <c r="MBC168" s="91"/>
      <c r="MBF168" s="89"/>
      <c r="MBH168" s="91"/>
      <c r="MBK168" s="89"/>
      <c r="MBM168" s="91"/>
      <c r="MBP168" s="89"/>
      <c r="MBR168" s="91"/>
      <c r="MBU168" s="89"/>
      <c r="MBW168" s="91"/>
      <c r="MBZ168" s="89"/>
      <c r="MCB168" s="91"/>
      <c r="MCE168" s="89"/>
      <c r="MCG168" s="91"/>
      <c r="MCJ168" s="89"/>
      <c r="MCL168" s="91"/>
      <c r="MCO168" s="89"/>
      <c r="MCQ168" s="91"/>
      <c r="MCT168" s="89"/>
      <c r="MCV168" s="91"/>
      <c r="MCY168" s="89"/>
      <c r="MDA168" s="91"/>
      <c r="MDD168" s="89"/>
      <c r="MDF168" s="91"/>
      <c r="MDI168" s="89"/>
      <c r="MDK168" s="91"/>
      <c r="MDN168" s="89"/>
      <c r="MDP168" s="91"/>
      <c r="MDS168" s="89"/>
      <c r="MDU168" s="91"/>
      <c r="MDX168" s="89"/>
      <c r="MDZ168" s="91"/>
      <c r="MEC168" s="89"/>
      <c r="MEE168" s="91"/>
      <c r="MEH168" s="89"/>
      <c r="MEJ168" s="91"/>
      <c r="MEM168" s="89"/>
      <c r="MEO168" s="91"/>
      <c r="MER168" s="89"/>
      <c r="MET168" s="91"/>
      <c r="MEW168" s="89"/>
      <c r="MEY168" s="91"/>
      <c r="MFB168" s="89"/>
      <c r="MFD168" s="91"/>
      <c r="MFG168" s="89"/>
      <c r="MFI168" s="91"/>
      <c r="MFL168" s="89"/>
      <c r="MFN168" s="91"/>
      <c r="MFQ168" s="89"/>
      <c r="MFS168" s="91"/>
      <c r="MFV168" s="89"/>
      <c r="MFX168" s="91"/>
      <c r="MGA168" s="89"/>
      <c r="MGC168" s="91"/>
      <c r="MGF168" s="89"/>
      <c r="MGH168" s="91"/>
      <c r="MGK168" s="89"/>
      <c r="MGM168" s="91"/>
      <c r="MGP168" s="89"/>
      <c r="MGR168" s="91"/>
      <c r="MGU168" s="89"/>
      <c r="MGW168" s="91"/>
      <c r="MGZ168" s="89"/>
      <c r="MHB168" s="91"/>
      <c r="MHE168" s="89"/>
      <c r="MHG168" s="91"/>
      <c r="MHJ168" s="89"/>
      <c r="MHL168" s="91"/>
      <c r="MHO168" s="89"/>
      <c r="MHQ168" s="91"/>
      <c r="MHT168" s="89"/>
      <c r="MHV168" s="91"/>
      <c r="MHY168" s="89"/>
      <c r="MIA168" s="91"/>
      <c r="MID168" s="89"/>
      <c r="MIF168" s="91"/>
      <c r="MII168" s="89"/>
      <c r="MIK168" s="91"/>
      <c r="MIN168" s="89"/>
      <c r="MIP168" s="91"/>
      <c r="MIS168" s="89"/>
      <c r="MIU168" s="91"/>
      <c r="MIX168" s="89"/>
      <c r="MIZ168" s="91"/>
      <c r="MJC168" s="89"/>
      <c r="MJE168" s="91"/>
      <c r="MJH168" s="89"/>
      <c r="MJJ168" s="91"/>
      <c r="MJM168" s="89"/>
      <c r="MJO168" s="91"/>
      <c r="MJR168" s="89"/>
      <c r="MJT168" s="91"/>
      <c r="MJW168" s="89"/>
      <c r="MJY168" s="91"/>
      <c r="MKB168" s="89"/>
      <c r="MKD168" s="91"/>
      <c r="MKG168" s="89"/>
      <c r="MKI168" s="91"/>
      <c r="MKL168" s="89"/>
      <c r="MKN168" s="91"/>
      <c r="MKQ168" s="89"/>
      <c r="MKS168" s="91"/>
      <c r="MKV168" s="89"/>
      <c r="MKX168" s="91"/>
      <c r="MLA168" s="89"/>
      <c r="MLC168" s="91"/>
      <c r="MLF168" s="89"/>
      <c r="MLH168" s="91"/>
      <c r="MLK168" s="89"/>
      <c r="MLM168" s="91"/>
      <c r="MLP168" s="89"/>
      <c r="MLR168" s="91"/>
      <c r="MLU168" s="89"/>
      <c r="MLW168" s="91"/>
      <c r="MLZ168" s="89"/>
      <c r="MMB168" s="91"/>
      <c r="MME168" s="89"/>
      <c r="MMG168" s="91"/>
      <c r="MMJ168" s="89"/>
      <c r="MML168" s="91"/>
      <c r="MMO168" s="89"/>
      <c r="MMQ168" s="91"/>
      <c r="MMT168" s="89"/>
      <c r="MMV168" s="91"/>
      <c r="MMY168" s="89"/>
      <c r="MNA168" s="91"/>
      <c r="MND168" s="89"/>
      <c r="MNF168" s="91"/>
      <c r="MNI168" s="89"/>
      <c r="MNK168" s="91"/>
      <c r="MNN168" s="89"/>
      <c r="MNP168" s="91"/>
      <c r="MNS168" s="89"/>
      <c r="MNU168" s="91"/>
      <c r="MNX168" s="89"/>
      <c r="MNZ168" s="91"/>
      <c r="MOC168" s="89"/>
      <c r="MOE168" s="91"/>
      <c r="MOH168" s="89"/>
      <c r="MOJ168" s="91"/>
      <c r="MOM168" s="89"/>
      <c r="MOO168" s="91"/>
      <c r="MOR168" s="89"/>
      <c r="MOT168" s="91"/>
      <c r="MOW168" s="89"/>
      <c r="MOY168" s="91"/>
      <c r="MPB168" s="89"/>
      <c r="MPD168" s="91"/>
      <c r="MPG168" s="89"/>
      <c r="MPI168" s="91"/>
      <c r="MPL168" s="89"/>
      <c r="MPN168" s="91"/>
      <c r="MPQ168" s="89"/>
      <c r="MPS168" s="91"/>
      <c r="MPV168" s="89"/>
      <c r="MPX168" s="91"/>
      <c r="MQA168" s="89"/>
      <c r="MQC168" s="91"/>
      <c r="MQF168" s="89"/>
      <c r="MQH168" s="91"/>
      <c r="MQK168" s="89"/>
      <c r="MQM168" s="91"/>
      <c r="MQP168" s="89"/>
      <c r="MQR168" s="91"/>
      <c r="MQU168" s="89"/>
      <c r="MQW168" s="91"/>
      <c r="MQZ168" s="89"/>
      <c r="MRB168" s="91"/>
      <c r="MRE168" s="89"/>
      <c r="MRG168" s="91"/>
      <c r="MRJ168" s="89"/>
      <c r="MRL168" s="91"/>
      <c r="MRO168" s="89"/>
      <c r="MRQ168" s="91"/>
      <c r="MRT168" s="89"/>
      <c r="MRV168" s="91"/>
      <c r="MRY168" s="89"/>
      <c r="MSA168" s="91"/>
      <c r="MSD168" s="89"/>
      <c r="MSF168" s="91"/>
      <c r="MSI168" s="89"/>
      <c r="MSK168" s="91"/>
      <c r="MSN168" s="89"/>
      <c r="MSP168" s="91"/>
      <c r="MSS168" s="89"/>
      <c r="MSU168" s="91"/>
      <c r="MSX168" s="89"/>
      <c r="MSZ168" s="91"/>
      <c r="MTC168" s="89"/>
      <c r="MTE168" s="91"/>
      <c r="MTH168" s="89"/>
      <c r="MTJ168" s="91"/>
      <c r="MTM168" s="89"/>
      <c r="MTO168" s="91"/>
      <c r="MTR168" s="89"/>
      <c r="MTT168" s="91"/>
      <c r="MTW168" s="89"/>
      <c r="MTY168" s="91"/>
      <c r="MUB168" s="89"/>
      <c r="MUD168" s="91"/>
      <c r="MUG168" s="89"/>
      <c r="MUI168" s="91"/>
      <c r="MUL168" s="89"/>
      <c r="MUN168" s="91"/>
      <c r="MUQ168" s="89"/>
      <c r="MUS168" s="91"/>
      <c r="MUV168" s="89"/>
      <c r="MUX168" s="91"/>
      <c r="MVA168" s="89"/>
      <c r="MVC168" s="91"/>
      <c r="MVF168" s="89"/>
      <c r="MVH168" s="91"/>
      <c r="MVK168" s="89"/>
      <c r="MVM168" s="91"/>
      <c r="MVP168" s="89"/>
      <c r="MVR168" s="91"/>
      <c r="MVU168" s="89"/>
      <c r="MVW168" s="91"/>
      <c r="MVZ168" s="89"/>
      <c r="MWB168" s="91"/>
      <c r="MWE168" s="89"/>
      <c r="MWG168" s="91"/>
      <c r="MWJ168" s="89"/>
      <c r="MWL168" s="91"/>
      <c r="MWO168" s="89"/>
      <c r="MWQ168" s="91"/>
      <c r="MWT168" s="89"/>
      <c r="MWV168" s="91"/>
      <c r="MWY168" s="89"/>
      <c r="MXA168" s="91"/>
      <c r="MXD168" s="89"/>
      <c r="MXF168" s="91"/>
      <c r="MXI168" s="89"/>
      <c r="MXK168" s="91"/>
      <c r="MXN168" s="89"/>
      <c r="MXP168" s="91"/>
      <c r="MXS168" s="89"/>
      <c r="MXU168" s="91"/>
      <c r="MXX168" s="89"/>
      <c r="MXZ168" s="91"/>
      <c r="MYC168" s="89"/>
      <c r="MYE168" s="91"/>
      <c r="MYH168" s="89"/>
      <c r="MYJ168" s="91"/>
      <c r="MYM168" s="89"/>
      <c r="MYO168" s="91"/>
      <c r="MYR168" s="89"/>
      <c r="MYT168" s="91"/>
      <c r="MYW168" s="89"/>
      <c r="MYY168" s="91"/>
      <c r="MZB168" s="89"/>
      <c r="MZD168" s="91"/>
      <c r="MZG168" s="89"/>
      <c r="MZI168" s="91"/>
      <c r="MZL168" s="89"/>
      <c r="MZN168" s="91"/>
      <c r="MZQ168" s="89"/>
      <c r="MZS168" s="91"/>
      <c r="MZV168" s="89"/>
      <c r="MZX168" s="91"/>
      <c r="NAA168" s="89"/>
      <c r="NAC168" s="91"/>
      <c r="NAF168" s="89"/>
      <c r="NAH168" s="91"/>
      <c r="NAK168" s="89"/>
      <c r="NAM168" s="91"/>
      <c r="NAP168" s="89"/>
      <c r="NAR168" s="91"/>
      <c r="NAU168" s="89"/>
      <c r="NAW168" s="91"/>
      <c r="NAZ168" s="89"/>
      <c r="NBB168" s="91"/>
      <c r="NBE168" s="89"/>
      <c r="NBG168" s="91"/>
      <c r="NBJ168" s="89"/>
      <c r="NBL168" s="91"/>
      <c r="NBO168" s="89"/>
      <c r="NBQ168" s="91"/>
      <c r="NBT168" s="89"/>
      <c r="NBV168" s="91"/>
      <c r="NBY168" s="89"/>
      <c r="NCA168" s="91"/>
      <c r="NCD168" s="89"/>
      <c r="NCF168" s="91"/>
      <c r="NCI168" s="89"/>
      <c r="NCK168" s="91"/>
      <c r="NCN168" s="89"/>
      <c r="NCP168" s="91"/>
      <c r="NCS168" s="89"/>
      <c r="NCU168" s="91"/>
      <c r="NCX168" s="89"/>
      <c r="NCZ168" s="91"/>
      <c r="NDC168" s="89"/>
      <c r="NDE168" s="91"/>
      <c r="NDH168" s="89"/>
      <c r="NDJ168" s="91"/>
      <c r="NDM168" s="89"/>
      <c r="NDO168" s="91"/>
      <c r="NDR168" s="89"/>
      <c r="NDT168" s="91"/>
      <c r="NDW168" s="89"/>
      <c r="NDY168" s="91"/>
      <c r="NEB168" s="89"/>
      <c r="NED168" s="91"/>
      <c r="NEG168" s="89"/>
      <c r="NEI168" s="91"/>
      <c r="NEL168" s="89"/>
      <c r="NEN168" s="91"/>
      <c r="NEQ168" s="89"/>
      <c r="NES168" s="91"/>
      <c r="NEV168" s="89"/>
      <c r="NEX168" s="91"/>
      <c r="NFA168" s="89"/>
      <c r="NFC168" s="91"/>
      <c r="NFF168" s="89"/>
      <c r="NFH168" s="91"/>
      <c r="NFK168" s="89"/>
      <c r="NFM168" s="91"/>
      <c r="NFP168" s="89"/>
      <c r="NFR168" s="91"/>
      <c r="NFU168" s="89"/>
      <c r="NFW168" s="91"/>
      <c r="NFZ168" s="89"/>
      <c r="NGB168" s="91"/>
      <c r="NGE168" s="89"/>
      <c r="NGG168" s="91"/>
      <c r="NGJ168" s="89"/>
      <c r="NGL168" s="91"/>
      <c r="NGO168" s="89"/>
      <c r="NGQ168" s="91"/>
      <c r="NGT168" s="89"/>
      <c r="NGV168" s="91"/>
      <c r="NGY168" s="89"/>
      <c r="NHA168" s="91"/>
      <c r="NHD168" s="89"/>
      <c r="NHF168" s="91"/>
      <c r="NHI168" s="89"/>
      <c r="NHK168" s="91"/>
      <c r="NHN168" s="89"/>
      <c r="NHP168" s="91"/>
      <c r="NHS168" s="89"/>
      <c r="NHU168" s="91"/>
      <c r="NHX168" s="89"/>
      <c r="NHZ168" s="91"/>
      <c r="NIC168" s="89"/>
      <c r="NIE168" s="91"/>
      <c r="NIH168" s="89"/>
      <c r="NIJ168" s="91"/>
      <c r="NIM168" s="89"/>
      <c r="NIO168" s="91"/>
      <c r="NIR168" s="89"/>
      <c r="NIT168" s="91"/>
      <c r="NIW168" s="89"/>
      <c r="NIY168" s="91"/>
      <c r="NJB168" s="89"/>
      <c r="NJD168" s="91"/>
      <c r="NJG168" s="89"/>
      <c r="NJI168" s="91"/>
      <c r="NJL168" s="89"/>
      <c r="NJN168" s="91"/>
      <c r="NJQ168" s="89"/>
      <c r="NJS168" s="91"/>
      <c r="NJV168" s="89"/>
      <c r="NJX168" s="91"/>
      <c r="NKA168" s="89"/>
      <c r="NKC168" s="91"/>
      <c r="NKF168" s="89"/>
      <c r="NKH168" s="91"/>
      <c r="NKK168" s="89"/>
      <c r="NKM168" s="91"/>
      <c r="NKP168" s="89"/>
      <c r="NKR168" s="91"/>
      <c r="NKU168" s="89"/>
      <c r="NKW168" s="91"/>
      <c r="NKZ168" s="89"/>
      <c r="NLB168" s="91"/>
      <c r="NLE168" s="89"/>
      <c r="NLG168" s="91"/>
      <c r="NLJ168" s="89"/>
      <c r="NLL168" s="91"/>
      <c r="NLO168" s="89"/>
      <c r="NLQ168" s="91"/>
      <c r="NLT168" s="89"/>
      <c r="NLV168" s="91"/>
      <c r="NLY168" s="89"/>
      <c r="NMA168" s="91"/>
      <c r="NMD168" s="89"/>
      <c r="NMF168" s="91"/>
      <c r="NMI168" s="89"/>
      <c r="NMK168" s="91"/>
      <c r="NMN168" s="89"/>
      <c r="NMP168" s="91"/>
      <c r="NMS168" s="89"/>
      <c r="NMU168" s="91"/>
      <c r="NMX168" s="89"/>
      <c r="NMZ168" s="91"/>
      <c r="NNC168" s="89"/>
      <c r="NNE168" s="91"/>
      <c r="NNH168" s="89"/>
      <c r="NNJ168" s="91"/>
      <c r="NNM168" s="89"/>
      <c r="NNO168" s="91"/>
      <c r="NNR168" s="89"/>
      <c r="NNT168" s="91"/>
      <c r="NNW168" s="89"/>
      <c r="NNY168" s="91"/>
      <c r="NOB168" s="89"/>
      <c r="NOD168" s="91"/>
      <c r="NOG168" s="89"/>
      <c r="NOI168" s="91"/>
      <c r="NOL168" s="89"/>
      <c r="NON168" s="91"/>
      <c r="NOQ168" s="89"/>
      <c r="NOS168" s="91"/>
      <c r="NOV168" s="89"/>
      <c r="NOX168" s="91"/>
      <c r="NPA168" s="89"/>
      <c r="NPC168" s="91"/>
      <c r="NPF168" s="89"/>
      <c r="NPH168" s="91"/>
      <c r="NPK168" s="89"/>
      <c r="NPM168" s="91"/>
      <c r="NPP168" s="89"/>
      <c r="NPR168" s="91"/>
      <c r="NPU168" s="89"/>
      <c r="NPW168" s="91"/>
      <c r="NPZ168" s="89"/>
      <c r="NQB168" s="91"/>
      <c r="NQE168" s="89"/>
      <c r="NQG168" s="91"/>
      <c r="NQJ168" s="89"/>
      <c r="NQL168" s="91"/>
      <c r="NQO168" s="89"/>
      <c r="NQQ168" s="91"/>
      <c r="NQT168" s="89"/>
      <c r="NQV168" s="91"/>
      <c r="NQY168" s="89"/>
      <c r="NRA168" s="91"/>
      <c r="NRD168" s="89"/>
      <c r="NRF168" s="91"/>
      <c r="NRI168" s="89"/>
      <c r="NRK168" s="91"/>
      <c r="NRN168" s="89"/>
      <c r="NRP168" s="91"/>
      <c r="NRS168" s="89"/>
      <c r="NRU168" s="91"/>
      <c r="NRX168" s="89"/>
      <c r="NRZ168" s="91"/>
      <c r="NSC168" s="89"/>
      <c r="NSE168" s="91"/>
      <c r="NSH168" s="89"/>
      <c r="NSJ168" s="91"/>
      <c r="NSM168" s="89"/>
      <c r="NSO168" s="91"/>
      <c r="NSR168" s="89"/>
      <c r="NST168" s="91"/>
      <c r="NSW168" s="89"/>
      <c r="NSY168" s="91"/>
      <c r="NTB168" s="89"/>
      <c r="NTD168" s="91"/>
      <c r="NTG168" s="89"/>
      <c r="NTI168" s="91"/>
      <c r="NTL168" s="89"/>
      <c r="NTN168" s="91"/>
      <c r="NTQ168" s="89"/>
      <c r="NTS168" s="91"/>
      <c r="NTV168" s="89"/>
      <c r="NTX168" s="91"/>
      <c r="NUA168" s="89"/>
      <c r="NUC168" s="91"/>
      <c r="NUF168" s="89"/>
      <c r="NUH168" s="91"/>
      <c r="NUK168" s="89"/>
      <c r="NUM168" s="91"/>
      <c r="NUP168" s="89"/>
      <c r="NUR168" s="91"/>
      <c r="NUU168" s="89"/>
      <c r="NUW168" s="91"/>
      <c r="NUZ168" s="89"/>
      <c r="NVB168" s="91"/>
      <c r="NVE168" s="89"/>
      <c r="NVG168" s="91"/>
      <c r="NVJ168" s="89"/>
      <c r="NVL168" s="91"/>
      <c r="NVO168" s="89"/>
      <c r="NVQ168" s="91"/>
      <c r="NVT168" s="89"/>
      <c r="NVV168" s="91"/>
      <c r="NVY168" s="89"/>
      <c r="NWA168" s="91"/>
      <c r="NWD168" s="89"/>
      <c r="NWF168" s="91"/>
      <c r="NWI168" s="89"/>
      <c r="NWK168" s="91"/>
      <c r="NWN168" s="89"/>
      <c r="NWP168" s="91"/>
      <c r="NWS168" s="89"/>
      <c r="NWU168" s="91"/>
      <c r="NWX168" s="89"/>
      <c r="NWZ168" s="91"/>
      <c r="NXC168" s="89"/>
      <c r="NXE168" s="91"/>
      <c r="NXH168" s="89"/>
      <c r="NXJ168" s="91"/>
      <c r="NXM168" s="89"/>
      <c r="NXO168" s="91"/>
      <c r="NXR168" s="89"/>
      <c r="NXT168" s="91"/>
      <c r="NXW168" s="89"/>
      <c r="NXY168" s="91"/>
      <c r="NYB168" s="89"/>
      <c r="NYD168" s="91"/>
      <c r="NYG168" s="89"/>
      <c r="NYI168" s="91"/>
      <c r="NYL168" s="89"/>
      <c r="NYN168" s="91"/>
      <c r="NYQ168" s="89"/>
      <c r="NYS168" s="91"/>
      <c r="NYV168" s="89"/>
      <c r="NYX168" s="91"/>
      <c r="NZA168" s="89"/>
      <c r="NZC168" s="91"/>
      <c r="NZF168" s="89"/>
      <c r="NZH168" s="91"/>
      <c r="NZK168" s="89"/>
      <c r="NZM168" s="91"/>
      <c r="NZP168" s="89"/>
      <c r="NZR168" s="91"/>
      <c r="NZU168" s="89"/>
      <c r="NZW168" s="91"/>
      <c r="NZZ168" s="89"/>
      <c r="OAB168" s="91"/>
      <c r="OAE168" s="89"/>
      <c r="OAG168" s="91"/>
      <c r="OAJ168" s="89"/>
      <c r="OAL168" s="91"/>
      <c r="OAO168" s="89"/>
      <c r="OAQ168" s="91"/>
      <c r="OAT168" s="89"/>
      <c r="OAV168" s="91"/>
      <c r="OAY168" s="89"/>
      <c r="OBA168" s="91"/>
      <c r="OBD168" s="89"/>
      <c r="OBF168" s="91"/>
      <c r="OBI168" s="89"/>
      <c r="OBK168" s="91"/>
      <c r="OBN168" s="89"/>
      <c r="OBP168" s="91"/>
      <c r="OBS168" s="89"/>
      <c r="OBU168" s="91"/>
      <c r="OBX168" s="89"/>
      <c r="OBZ168" s="91"/>
      <c r="OCC168" s="89"/>
      <c r="OCE168" s="91"/>
      <c r="OCH168" s="89"/>
      <c r="OCJ168" s="91"/>
      <c r="OCM168" s="89"/>
      <c r="OCO168" s="91"/>
      <c r="OCR168" s="89"/>
      <c r="OCT168" s="91"/>
      <c r="OCW168" s="89"/>
      <c r="OCY168" s="91"/>
      <c r="ODB168" s="89"/>
      <c r="ODD168" s="91"/>
      <c r="ODG168" s="89"/>
      <c r="ODI168" s="91"/>
      <c r="ODL168" s="89"/>
      <c r="ODN168" s="91"/>
      <c r="ODQ168" s="89"/>
      <c r="ODS168" s="91"/>
      <c r="ODV168" s="89"/>
      <c r="ODX168" s="91"/>
      <c r="OEA168" s="89"/>
      <c r="OEC168" s="91"/>
      <c r="OEF168" s="89"/>
      <c r="OEH168" s="91"/>
      <c r="OEK168" s="89"/>
      <c r="OEM168" s="91"/>
      <c r="OEP168" s="89"/>
      <c r="OER168" s="91"/>
      <c r="OEU168" s="89"/>
      <c r="OEW168" s="91"/>
      <c r="OEZ168" s="89"/>
      <c r="OFB168" s="91"/>
      <c r="OFE168" s="89"/>
      <c r="OFG168" s="91"/>
      <c r="OFJ168" s="89"/>
      <c r="OFL168" s="91"/>
      <c r="OFO168" s="89"/>
      <c r="OFQ168" s="91"/>
      <c r="OFT168" s="89"/>
      <c r="OFV168" s="91"/>
      <c r="OFY168" s="89"/>
      <c r="OGA168" s="91"/>
      <c r="OGD168" s="89"/>
      <c r="OGF168" s="91"/>
      <c r="OGI168" s="89"/>
      <c r="OGK168" s="91"/>
      <c r="OGN168" s="89"/>
      <c r="OGP168" s="91"/>
      <c r="OGS168" s="89"/>
      <c r="OGU168" s="91"/>
      <c r="OGX168" s="89"/>
      <c r="OGZ168" s="91"/>
      <c r="OHC168" s="89"/>
      <c r="OHE168" s="91"/>
      <c r="OHH168" s="89"/>
      <c r="OHJ168" s="91"/>
      <c r="OHM168" s="89"/>
      <c r="OHO168" s="91"/>
      <c r="OHR168" s="89"/>
      <c r="OHT168" s="91"/>
      <c r="OHW168" s="89"/>
      <c r="OHY168" s="91"/>
      <c r="OIB168" s="89"/>
      <c r="OID168" s="91"/>
      <c r="OIG168" s="89"/>
      <c r="OII168" s="91"/>
      <c r="OIL168" s="89"/>
      <c r="OIN168" s="91"/>
      <c r="OIQ168" s="89"/>
      <c r="OIS168" s="91"/>
      <c r="OIV168" s="89"/>
      <c r="OIX168" s="91"/>
      <c r="OJA168" s="89"/>
      <c r="OJC168" s="91"/>
      <c r="OJF168" s="89"/>
      <c r="OJH168" s="91"/>
      <c r="OJK168" s="89"/>
      <c r="OJM168" s="91"/>
      <c r="OJP168" s="89"/>
      <c r="OJR168" s="91"/>
      <c r="OJU168" s="89"/>
      <c r="OJW168" s="91"/>
      <c r="OJZ168" s="89"/>
      <c r="OKB168" s="91"/>
      <c r="OKE168" s="89"/>
      <c r="OKG168" s="91"/>
      <c r="OKJ168" s="89"/>
      <c r="OKL168" s="91"/>
      <c r="OKO168" s="89"/>
      <c r="OKQ168" s="91"/>
      <c r="OKT168" s="89"/>
      <c r="OKV168" s="91"/>
      <c r="OKY168" s="89"/>
      <c r="OLA168" s="91"/>
      <c r="OLD168" s="89"/>
      <c r="OLF168" s="91"/>
      <c r="OLI168" s="89"/>
      <c r="OLK168" s="91"/>
      <c r="OLN168" s="89"/>
      <c r="OLP168" s="91"/>
      <c r="OLS168" s="89"/>
      <c r="OLU168" s="91"/>
      <c r="OLX168" s="89"/>
      <c r="OLZ168" s="91"/>
      <c r="OMC168" s="89"/>
      <c r="OME168" s="91"/>
      <c r="OMH168" s="89"/>
      <c r="OMJ168" s="91"/>
      <c r="OMM168" s="89"/>
      <c r="OMO168" s="91"/>
      <c r="OMR168" s="89"/>
      <c r="OMT168" s="91"/>
      <c r="OMW168" s="89"/>
      <c r="OMY168" s="91"/>
      <c r="ONB168" s="89"/>
      <c r="OND168" s="91"/>
      <c r="ONG168" s="89"/>
      <c r="ONI168" s="91"/>
      <c r="ONL168" s="89"/>
      <c r="ONN168" s="91"/>
      <c r="ONQ168" s="89"/>
      <c r="ONS168" s="91"/>
      <c r="ONV168" s="89"/>
      <c r="ONX168" s="91"/>
      <c r="OOA168" s="89"/>
      <c r="OOC168" s="91"/>
      <c r="OOF168" s="89"/>
      <c r="OOH168" s="91"/>
      <c r="OOK168" s="89"/>
      <c r="OOM168" s="91"/>
      <c r="OOP168" s="89"/>
      <c r="OOR168" s="91"/>
      <c r="OOU168" s="89"/>
      <c r="OOW168" s="91"/>
      <c r="OOZ168" s="89"/>
      <c r="OPB168" s="91"/>
      <c r="OPE168" s="89"/>
      <c r="OPG168" s="91"/>
      <c r="OPJ168" s="89"/>
      <c r="OPL168" s="91"/>
      <c r="OPO168" s="89"/>
      <c r="OPQ168" s="91"/>
      <c r="OPT168" s="89"/>
      <c r="OPV168" s="91"/>
      <c r="OPY168" s="89"/>
      <c r="OQA168" s="91"/>
      <c r="OQD168" s="89"/>
      <c r="OQF168" s="91"/>
      <c r="OQI168" s="89"/>
      <c r="OQK168" s="91"/>
      <c r="OQN168" s="89"/>
      <c r="OQP168" s="91"/>
      <c r="OQS168" s="89"/>
      <c r="OQU168" s="91"/>
      <c r="OQX168" s="89"/>
      <c r="OQZ168" s="91"/>
      <c r="ORC168" s="89"/>
      <c r="ORE168" s="91"/>
      <c r="ORH168" s="89"/>
      <c r="ORJ168" s="91"/>
      <c r="ORM168" s="89"/>
      <c r="ORO168" s="91"/>
      <c r="ORR168" s="89"/>
      <c r="ORT168" s="91"/>
      <c r="ORW168" s="89"/>
      <c r="ORY168" s="91"/>
      <c r="OSB168" s="89"/>
      <c r="OSD168" s="91"/>
      <c r="OSG168" s="89"/>
      <c r="OSI168" s="91"/>
      <c r="OSL168" s="89"/>
      <c r="OSN168" s="91"/>
      <c r="OSQ168" s="89"/>
      <c r="OSS168" s="91"/>
      <c r="OSV168" s="89"/>
      <c r="OSX168" s="91"/>
      <c r="OTA168" s="89"/>
      <c r="OTC168" s="91"/>
      <c r="OTF168" s="89"/>
      <c r="OTH168" s="91"/>
      <c r="OTK168" s="89"/>
      <c r="OTM168" s="91"/>
      <c r="OTP168" s="89"/>
      <c r="OTR168" s="91"/>
      <c r="OTU168" s="89"/>
      <c r="OTW168" s="91"/>
      <c r="OTZ168" s="89"/>
      <c r="OUB168" s="91"/>
      <c r="OUE168" s="89"/>
      <c r="OUG168" s="91"/>
      <c r="OUJ168" s="89"/>
      <c r="OUL168" s="91"/>
      <c r="OUO168" s="89"/>
      <c r="OUQ168" s="91"/>
      <c r="OUT168" s="89"/>
      <c r="OUV168" s="91"/>
      <c r="OUY168" s="89"/>
      <c r="OVA168" s="91"/>
      <c r="OVD168" s="89"/>
      <c r="OVF168" s="91"/>
      <c r="OVI168" s="89"/>
      <c r="OVK168" s="91"/>
      <c r="OVN168" s="89"/>
      <c r="OVP168" s="91"/>
      <c r="OVS168" s="89"/>
      <c r="OVU168" s="91"/>
      <c r="OVX168" s="89"/>
      <c r="OVZ168" s="91"/>
      <c r="OWC168" s="89"/>
      <c r="OWE168" s="91"/>
      <c r="OWH168" s="89"/>
      <c r="OWJ168" s="91"/>
      <c r="OWM168" s="89"/>
      <c r="OWO168" s="91"/>
      <c r="OWR168" s="89"/>
      <c r="OWT168" s="91"/>
      <c r="OWW168" s="89"/>
      <c r="OWY168" s="91"/>
      <c r="OXB168" s="89"/>
      <c r="OXD168" s="91"/>
      <c r="OXG168" s="89"/>
      <c r="OXI168" s="91"/>
      <c r="OXL168" s="89"/>
      <c r="OXN168" s="91"/>
      <c r="OXQ168" s="89"/>
      <c r="OXS168" s="91"/>
      <c r="OXV168" s="89"/>
      <c r="OXX168" s="91"/>
      <c r="OYA168" s="89"/>
      <c r="OYC168" s="91"/>
      <c r="OYF168" s="89"/>
      <c r="OYH168" s="91"/>
      <c r="OYK168" s="89"/>
      <c r="OYM168" s="91"/>
      <c r="OYP168" s="89"/>
      <c r="OYR168" s="91"/>
      <c r="OYU168" s="89"/>
      <c r="OYW168" s="91"/>
      <c r="OYZ168" s="89"/>
      <c r="OZB168" s="91"/>
      <c r="OZE168" s="89"/>
      <c r="OZG168" s="91"/>
      <c r="OZJ168" s="89"/>
      <c r="OZL168" s="91"/>
      <c r="OZO168" s="89"/>
      <c r="OZQ168" s="91"/>
      <c r="OZT168" s="89"/>
      <c r="OZV168" s="91"/>
      <c r="OZY168" s="89"/>
      <c r="PAA168" s="91"/>
      <c r="PAD168" s="89"/>
      <c r="PAF168" s="91"/>
      <c r="PAI168" s="89"/>
      <c r="PAK168" s="91"/>
      <c r="PAN168" s="89"/>
      <c r="PAP168" s="91"/>
      <c r="PAS168" s="89"/>
      <c r="PAU168" s="91"/>
      <c r="PAX168" s="89"/>
      <c r="PAZ168" s="91"/>
      <c r="PBC168" s="89"/>
      <c r="PBE168" s="91"/>
      <c r="PBH168" s="89"/>
      <c r="PBJ168" s="91"/>
      <c r="PBM168" s="89"/>
      <c r="PBO168" s="91"/>
      <c r="PBR168" s="89"/>
      <c r="PBT168" s="91"/>
      <c r="PBW168" s="89"/>
      <c r="PBY168" s="91"/>
      <c r="PCB168" s="89"/>
      <c r="PCD168" s="91"/>
      <c r="PCG168" s="89"/>
      <c r="PCI168" s="91"/>
      <c r="PCL168" s="89"/>
      <c r="PCN168" s="91"/>
      <c r="PCQ168" s="89"/>
      <c r="PCS168" s="91"/>
      <c r="PCV168" s="89"/>
      <c r="PCX168" s="91"/>
      <c r="PDA168" s="89"/>
      <c r="PDC168" s="91"/>
      <c r="PDF168" s="89"/>
      <c r="PDH168" s="91"/>
      <c r="PDK168" s="89"/>
      <c r="PDM168" s="91"/>
      <c r="PDP168" s="89"/>
      <c r="PDR168" s="91"/>
      <c r="PDU168" s="89"/>
      <c r="PDW168" s="91"/>
      <c r="PDZ168" s="89"/>
      <c r="PEB168" s="91"/>
      <c r="PEE168" s="89"/>
      <c r="PEG168" s="91"/>
      <c r="PEJ168" s="89"/>
      <c r="PEL168" s="91"/>
      <c r="PEO168" s="89"/>
      <c r="PEQ168" s="91"/>
      <c r="PET168" s="89"/>
      <c r="PEV168" s="91"/>
      <c r="PEY168" s="89"/>
      <c r="PFA168" s="91"/>
      <c r="PFD168" s="89"/>
      <c r="PFF168" s="91"/>
      <c r="PFI168" s="89"/>
      <c r="PFK168" s="91"/>
      <c r="PFN168" s="89"/>
      <c r="PFP168" s="91"/>
      <c r="PFS168" s="89"/>
      <c r="PFU168" s="91"/>
      <c r="PFX168" s="89"/>
      <c r="PFZ168" s="91"/>
      <c r="PGC168" s="89"/>
      <c r="PGE168" s="91"/>
      <c r="PGH168" s="89"/>
      <c r="PGJ168" s="91"/>
      <c r="PGM168" s="89"/>
      <c r="PGO168" s="91"/>
      <c r="PGR168" s="89"/>
      <c r="PGT168" s="91"/>
      <c r="PGW168" s="89"/>
      <c r="PGY168" s="91"/>
      <c r="PHB168" s="89"/>
      <c r="PHD168" s="91"/>
      <c r="PHG168" s="89"/>
      <c r="PHI168" s="91"/>
      <c r="PHL168" s="89"/>
      <c r="PHN168" s="91"/>
      <c r="PHQ168" s="89"/>
      <c r="PHS168" s="91"/>
      <c r="PHV168" s="89"/>
      <c r="PHX168" s="91"/>
      <c r="PIA168" s="89"/>
      <c r="PIC168" s="91"/>
      <c r="PIF168" s="89"/>
      <c r="PIH168" s="91"/>
      <c r="PIK168" s="89"/>
      <c r="PIM168" s="91"/>
      <c r="PIP168" s="89"/>
      <c r="PIR168" s="91"/>
      <c r="PIU168" s="89"/>
      <c r="PIW168" s="91"/>
      <c r="PIZ168" s="89"/>
      <c r="PJB168" s="91"/>
      <c r="PJE168" s="89"/>
      <c r="PJG168" s="91"/>
      <c r="PJJ168" s="89"/>
      <c r="PJL168" s="91"/>
      <c r="PJO168" s="89"/>
      <c r="PJQ168" s="91"/>
      <c r="PJT168" s="89"/>
      <c r="PJV168" s="91"/>
      <c r="PJY168" s="89"/>
      <c r="PKA168" s="91"/>
      <c r="PKD168" s="89"/>
      <c r="PKF168" s="91"/>
      <c r="PKI168" s="89"/>
      <c r="PKK168" s="91"/>
      <c r="PKN168" s="89"/>
      <c r="PKP168" s="91"/>
      <c r="PKS168" s="89"/>
      <c r="PKU168" s="91"/>
      <c r="PKX168" s="89"/>
      <c r="PKZ168" s="91"/>
      <c r="PLC168" s="89"/>
      <c r="PLE168" s="91"/>
      <c r="PLH168" s="89"/>
      <c r="PLJ168" s="91"/>
      <c r="PLM168" s="89"/>
      <c r="PLO168" s="91"/>
      <c r="PLR168" s="89"/>
      <c r="PLT168" s="91"/>
      <c r="PLW168" s="89"/>
      <c r="PLY168" s="91"/>
      <c r="PMB168" s="89"/>
      <c r="PMD168" s="91"/>
      <c r="PMG168" s="89"/>
      <c r="PMI168" s="91"/>
      <c r="PML168" s="89"/>
      <c r="PMN168" s="91"/>
      <c r="PMQ168" s="89"/>
      <c r="PMS168" s="91"/>
      <c r="PMV168" s="89"/>
      <c r="PMX168" s="91"/>
      <c r="PNA168" s="89"/>
      <c r="PNC168" s="91"/>
      <c r="PNF168" s="89"/>
      <c r="PNH168" s="91"/>
      <c r="PNK168" s="89"/>
      <c r="PNM168" s="91"/>
      <c r="PNP168" s="89"/>
      <c r="PNR168" s="91"/>
      <c r="PNU168" s="89"/>
      <c r="PNW168" s="91"/>
      <c r="PNZ168" s="89"/>
      <c r="POB168" s="91"/>
      <c r="POE168" s="89"/>
      <c r="POG168" s="91"/>
      <c r="POJ168" s="89"/>
      <c r="POL168" s="91"/>
      <c r="POO168" s="89"/>
      <c r="POQ168" s="91"/>
      <c r="POT168" s="89"/>
      <c r="POV168" s="91"/>
      <c r="POY168" s="89"/>
      <c r="PPA168" s="91"/>
      <c r="PPD168" s="89"/>
      <c r="PPF168" s="91"/>
      <c r="PPI168" s="89"/>
      <c r="PPK168" s="91"/>
      <c r="PPN168" s="89"/>
      <c r="PPP168" s="91"/>
      <c r="PPS168" s="89"/>
      <c r="PPU168" s="91"/>
      <c r="PPX168" s="89"/>
      <c r="PPZ168" s="91"/>
      <c r="PQC168" s="89"/>
      <c r="PQE168" s="91"/>
      <c r="PQH168" s="89"/>
      <c r="PQJ168" s="91"/>
      <c r="PQM168" s="89"/>
      <c r="PQO168" s="91"/>
      <c r="PQR168" s="89"/>
      <c r="PQT168" s="91"/>
      <c r="PQW168" s="89"/>
      <c r="PQY168" s="91"/>
      <c r="PRB168" s="89"/>
      <c r="PRD168" s="91"/>
      <c r="PRG168" s="89"/>
      <c r="PRI168" s="91"/>
      <c r="PRL168" s="89"/>
      <c r="PRN168" s="91"/>
      <c r="PRQ168" s="89"/>
      <c r="PRS168" s="91"/>
      <c r="PRV168" s="89"/>
      <c r="PRX168" s="91"/>
      <c r="PSA168" s="89"/>
      <c r="PSC168" s="91"/>
      <c r="PSF168" s="89"/>
      <c r="PSH168" s="91"/>
      <c r="PSK168" s="89"/>
      <c r="PSM168" s="91"/>
      <c r="PSP168" s="89"/>
      <c r="PSR168" s="91"/>
      <c r="PSU168" s="89"/>
      <c r="PSW168" s="91"/>
      <c r="PSZ168" s="89"/>
      <c r="PTB168" s="91"/>
      <c r="PTE168" s="89"/>
      <c r="PTG168" s="91"/>
      <c r="PTJ168" s="89"/>
      <c r="PTL168" s="91"/>
      <c r="PTO168" s="89"/>
      <c r="PTQ168" s="91"/>
      <c r="PTT168" s="89"/>
      <c r="PTV168" s="91"/>
      <c r="PTY168" s="89"/>
      <c r="PUA168" s="91"/>
      <c r="PUD168" s="89"/>
      <c r="PUF168" s="91"/>
      <c r="PUI168" s="89"/>
      <c r="PUK168" s="91"/>
      <c r="PUN168" s="89"/>
      <c r="PUP168" s="91"/>
      <c r="PUS168" s="89"/>
      <c r="PUU168" s="91"/>
      <c r="PUX168" s="89"/>
      <c r="PUZ168" s="91"/>
      <c r="PVC168" s="89"/>
      <c r="PVE168" s="91"/>
      <c r="PVH168" s="89"/>
      <c r="PVJ168" s="91"/>
      <c r="PVM168" s="89"/>
      <c r="PVO168" s="91"/>
      <c r="PVR168" s="89"/>
      <c r="PVT168" s="91"/>
      <c r="PVW168" s="89"/>
      <c r="PVY168" s="91"/>
      <c r="PWB168" s="89"/>
      <c r="PWD168" s="91"/>
      <c r="PWG168" s="89"/>
      <c r="PWI168" s="91"/>
      <c r="PWL168" s="89"/>
      <c r="PWN168" s="91"/>
      <c r="PWQ168" s="89"/>
      <c r="PWS168" s="91"/>
      <c r="PWV168" s="89"/>
      <c r="PWX168" s="91"/>
      <c r="PXA168" s="89"/>
      <c r="PXC168" s="91"/>
      <c r="PXF168" s="89"/>
      <c r="PXH168" s="91"/>
      <c r="PXK168" s="89"/>
      <c r="PXM168" s="91"/>
      <c r="PXP168" s="89"/>
      <c r="PXR168" s="91"/>
      <c r="PXU168" s="89"/>
      <c r="PXW168" s="91"/>
      <c r="PXZ168" s="89"/>
      <c r="PYB168" s="91"/>
      <c r="PYE168" s="89"/>
      <c r="PYG168" s="91"/>
      <c r="PYJ168" s="89"/>
      <c r="PYL168" s="91"/>
      <c r="PYO168" s="89"/>
      <c r="PYQ168" s="91"/>
      <c r="PYT168" s="89"/>
      <c r="PYV168" s="91"/>
      <c r="PYY168" s="89"/>
      <c r="PZA168" s="91"/>
      <c r="PZD168" s="89"/>
      <c r="PZF168" s="91"/>
      <c r="PZI168" s="89"/>
      <c r="PZK168" s="91"/>
      <c r="PZN168" s="89"/>
      <c r="PZP168" s="91"/>
      <c r="PZS168" s="89"/>
      <c r="PZU168" s="91"/>
      <c r="PZX168" s="89"/>
      <c r="PZZ168" s="91"/>
      <c r="QAC168" s="89"/>
      <c r="QAE168" s="91"/>
      <c r="QAH168" s="89"/>
      <c r="QAJ168" s="91"/>
      <c r="QAM168" s="89"/>
      <c r="QAO168" s="91"/>
      <c r="QAR168" s="89"/>
      <c r="QAT168" s="91"/>
      <c r="QAW168" s="89"/>
      <c r="QAY168" s="91"/>
      <c r="QBB168" s="89"/>
      <c r="QBD168" s="91"/>
      <c r="QBG168" s="89"/>
      <c r="QBI168" s="91"/>
      <c r="QBL168" s="89"/>
      <c r="QBN168" s="91"/>
      <c r="QBQ168" s="89"/>
      <c r="QBS168" s="91"/>
      <c r="QBV168" s="89"/>
      <c r="QBX168" s="91"/>
      <c r="QCA168" s="89"/>
      <c r="QCC168" s="91"/>
      <c r="QCF168" s="89"/>
      <c r="QCH168" s="91"/>
      <c r="QCK168" s="89"/>
      <c r="QCM168" s="91"/>
      <c r="QCP168" s="89"/>
      <c r="QCR168" s="91"/>
      <c r="QCU168" s="89"/>
      <c r="QCW168" s="91"/>
      <c r="QCZ168" s="89"/>
      <c r="QDB168" s="91"/>
      <c r="QDE168" s="89"/>
      <c r="QDG168" s="91"/>
      <c r="QDJ168" s="89"/>
      <c r="QDL168" s="91"/>
      <c r="QDO168" s="89"/>
      <c r="QDQ168" s="91"/>
      <c r="QDT168" s="89"/>
      <c r="QDV168" s="91"/>
      <c r="QDY168" s="89"/>
      <c r="QEA168" s="91"/>
      <c r="QED168" s="89"/>
      <c r="QEF168" s="91"/>
      <c r="QEI168" s="89"/>
      <c r="QEK168" s="91"/>
      <c r="QEN168" s="89"/>
      <c r="QEP168" s="91"/>
      <c r="QES168" s="89"/>
      <c r="QEU168" s="91"/>
      <c r="QEX168" s="89"/>
      <c r="QEZ168" s="91"/>
      <c r="QFC168" s="89"/>
      <c r="QFE168" s="91"/>
      <c r="QFH168" s="89"/>
      <c r="QFJ168" s="91"/>
      <c r="QFM168" s="89"/>
      <c r="QFO168" s="91"/>
      <c r="QFR168" s="89"/>
      <c r="QFT168" s="91"/>
      <c r="QFW168" s="89"/>
      <c r="QFY168" s="91"/>
      <c r="QGB168" s="89"/>
      <c r="QGD168" s="91"/>
      <c r="QGG168" s="89"/>
      <c r="QGI168" s="91"/>
      <c r="QGL168" s="89"/>
      <c r="QGN168" s="91"/>
      <c r="QGQ168" s="89"/>
      <c r="QGS168" s="91"/>
      <c r="QGV168" s="89"/>
      <c r="QGX168" s="91"/>
      <c r="QHA168" s="89"/>
      <c r="QHC168" s="91"/>
      <c r="QHF168" s="89"/>
      <c r="QHH168" s="91"/>
      <c r="QHK168" s="89"/>
      <c r="QHM168" s="91"/>
      <c r="QHP168" s="89"/>
      <c r="QHR168" s="91"/>
      <c r="QHU168" s="89"/>
      <c r="QHW168" s="91"/>
      <c r="QHZ168" s="89"/>
      <c r="QIB168" s="91"/>
      <c r="QIE168" s="89"/>
      <c r="QIG168" s="91"/>
      <c r="QIJ168" s="89"/>
      <c r="QIL168" s="91"/>
      <c r="QIO168" s="89"/>
      <c r="QIQ168" s="91"/>
      <c r="QIT168" s="89"/>
      <c r="QIV168" s="91"/>
      <c r="QIY168" s="89"/>
      <c r="QJA168" s="91"/>
      <c r="QJD168" s="89"/>
      <c r="QJF168" s="91"/>
      <c r="QJI168" s="89"/>
      <c r="QJK168" s="91"/>
      <c r="QJN168" s="89"/>
      <c r="QJP168" s="91"/>
      <c r="QJS168" s="89"/>
      <c r="QJU168" s="91"/>
      <c r="QJX168" s="89"/>
      <c r="QJZ168" s="91"/>
      <c r="QKC168" s="89"/>
      <c r="QKE168" s="91"/>
      <c r="QKH168" s="89"/>
      <c r="QKJ168" s="91"/>
      <c r="QKM168" s="89"/>
      <c r="QKO168" s="91"/>
      <c r="QKR168" s="89"/>
      <c r="QKT168" s="91"/>
      <c r="QKW168" s="89"/>
      <c r="QKY168" s="91"/>
      <c r="QLB168" s="89"/>
      <c r="QLD168" s="91"/>
      <c r="QLG168" s="89"/>
      <c r="QLI168" s="91"/>
      <c r="QLL168" s="89"/>
      <c r="QLN168" s="91"/>
      <c r="QLQ168" s="89"/>
      <c r="QLS168" s="91"/>
      <c r="QLV168" s="89"/>
      <c r="QLX168" s="91"/>
      <c r="QMA168" s="89"/>
      <c r="QMC168" s="91"/>
      <c r="QMF168" s="89"/>
      <c r="QMH168" s="91"/>
      <c r="QMK168" s="89"/>
      <c r="QMM168" s="91"/>
      <c r="QMP168" s="89"/>
      <c r="QMR168" s="91"/>
      <c r="QMU168" s="89"/>
      <c r="QMW168" s="91"/>
      <c r="QMZ168" s="89"/>
      <c r="QNB168" s="91"/>
      <c r="QNE168" s="89"/>
      <c r="QNG168" s="91"/>
      <c r="QNJ168" s="89"/>
      <c r="QNL168" s="91"/>
      <c r="QNO168" s="89"/>
      <c r="QNQ168" s="91"/>
      <c r="QNT168" s="89"/>
      <c r="QNV168" s="91"/>
      <c r="QNY168" s="89"/>
      <c r="QOA168" s="91"/>
      <c r="QOD168" s="89"/>
      <c r="QOF168" s="91"/>
      <c r="QOI168" s="89"/>
      <c r="QOK168" s="91"/>
      <c r="QON168" s="89"/>
      <c r="QOP168" s="91"/>
      <c r="QOS168" s="89"/>
      <c r="QOU168" s="91"/>
      <c r="QOX168" s="89"/>
      <c r="QOZ168" s="91"/>
      <c r="QPC168" s="89"/>
      <c r="QPE168" s="91"/>
      <c r="QPH168" s="89"/>
      <c r="QPJ168" s="91"/>
      <c r="QPM168" s="89"/>
      <c r="QPO168" s="91"/>
      <c r="QPR168" s="89"/>
      <c r="QPT168" s="91"/>
      <c r="QPW168" s="89"/>
      <c r="QPY168" s="91"/>
      <c r="QQB168" s="89"/>
      <c r="QQD168" s="91"/>
      <c r="QQG168" s="89"/>
      <c r="QQI168" s="91"/>
      <c r="QQL168" s="89"/>
      <c r="QQN168" s="91"/>
      <c r="QQQ168" s="89"/>
      <c r="QQS168" s="91"/>
      <c r="QQV168" s="89"/>
      <c r="QQX168" s="91"/>
      <c r="QRA168" s="89"/>
      <c r="QRC168" s="91"/>
      <c r="QRF168" s="89"/>
      <c r="QRH168" s="91"/>
      <c r="QRK168" s="89"/>
      <c r="QRM168" s="91"/>
      <c r="QRP168" s="89"/>
      <c r="QRR168" s="91"/>
      <c r="QRU168" s="89"/>
      <c r="QRW168" s="91"/>
      <c r="QRZ168" s="89"/>
      <c r="QSB168" s="91"/>
      <c r="QSE168" s="89"/>
      <c r="QSG168" s="91"/>
      <c r="QSJ168" s="89"/>
      <c r="QSL168" s="91"/>
      <c r="QSO168" s="89"/>
      <c r="QSQ168" s="91"/>
      <c r="QST168" s="89"/>
      <c r="QSV168" s="91"/>
      <c r="QSY168" s="89"/>
      <c r="QTA168" s="91"/>
      <c r="QTD168" s="89"/>
      <c r="QTF168" s="91"/>
      <c r="QTI168" s="89"/>
      <c r="QTK168" s="91"/>
      <c r="QTN168" s="89"/>
      <c r="QTP168" s="91"/>
      <c r="QTS168" s="89"/>
      <c r="QTU168" s="91"/>
      <c r="QTX168" s="89"/>
      <c r="QTZ168" s="91"/>
      <c r="QUC168" s="89"/>
      <c r="QUE168" s="91"/>
      <c r="QUH168" s="89"/>
      <c r="QUJ168" s="91"/>
      <c r="QUM168" s="89"/>
      <c r="QUO168" s="91"/>
      <c r="QUR168" s="89"/>
      <c r="QUT168" s="91"/>
      <c r="QUW168" s="89"/>
      <c r="QUY168" s="91"/>
      <c r="QVB168" s="89"/>
      <c r="QVD168" s="91"/>
      <c r="QVG168" s="89"/>
      <c r="QVI168" s="91"/>
      <c r="QVL168" s="89"/>
      <c r="QVN168" s="91"/>
      <c r="QVQ168" s="89"/>
      <c r="QVS168" s="91"/>
      <c r="QVV168" s="89"/>
      <c r="QVX168" s="91"/>
      <c r="QWA168" s="89"/>
      <c r="QWC168" s="91"/>
      <c r="QWF168" s="89"/>
      <c r="QWH168" s="91"/>
      <c r="QWK168" s="89"/>
      <c r="QWM168" s="91"/>
      <c r="QWP168" s="89"/>
      <c r="QWR168" s="91"/>
      <c r="QWU168" s="89"/>
      <c r="QWW168" s="91"/>
      <c r="QWZ168" s="89"/>
      <c r="QXB168" s="91"/>
      <c r="QXE168" s="89"/>
      <c r="QXG168" s="91"/>
      <c r="QXJ168" s="89"/>
      <c r="QXL168" s="91"/>
      <c r="QXO168" s="89"/>
      <c r="QXQ168" s="91"/>
      <c r="QXT168" s="89"/>
      <c r="QXV168" s="91"/>
      <c r="QXY168" s="89"/>
      <c r="QYA168" s="91"/>
      <c r="QYD168" s="89"/>
      <c r="QYF168" s="91"/>
      <c r="QYI168" s="89"/>
      <c r="QYK168" s="91"/>
      <c r="QYN168" s="89"/>
      <c r="QYP168" s="91"/>
      <c r="QYS168" s="89"/>
      <c r="QYU168" s="91"/>
      <c r="QYX168" s="89"/>
      <c r="QYZ168" s="91"/>
      <c r="QZC168" s="89"/>
      <c r="QZE168" s="91"/>
      <c r="QZH168" s="89"/>
      <c r="QZJ168" s="91"/>
      <c r="QZM168" s="89"/>
      <c r="QZO168" s="91"/>
      <c r="QZR168" s="89"/>
      <c r="QZT168" s="91"/>
      <c r="QZW168" s="89"/>
      <c r="QZY168" s="91"/>
      <c r="RAB168" s="89"/>
      <c r="RAD168" s="91"/>
      <c r="RAG168" s="89"/>
      <c r="RAI168" s="91"/>
      <c r="RAL168" s="89"/>
      <c r="RAN168" s="91"/>
      <c r="RAQ168" s="89"/>
      <c r="RAS168" s="91"/>
      <c r="RAV168" s="89"/>
      <c r="RAX168" s="91"/>
      <c r="RBA168" s="89"/>
      <c r="RBC168" s="91"/>
      <c r="RBF168" s="89"/>
      <c r="RBH168" s="91"/>
      <c r="RBK168" s="89"/>
      <c r="RBM168" s="91"/>
      <c r="RBP168" s="89"/>
      <c r="RBR168" s="91"/>
      <c r="RBU168" s="89"/>
      <c r="RBW168" s="91"/>
      <c r="RBZ168" s="89"/>
      <c r="RCB168" s="91"/>
      <c r="RCE168" s="89"/>
      <c r="RCG168" s="91"/>
      <c r="RCJ168" s="89"/>
      <c r="RCL168" s="91"/>
      <c r="RCO168" s="89"/>
      <c r="RCQ168" s="91"/>
      <c r="RCT168" s="89"/>
      <c r="RCV168" s="91"/>
      <c r="RCY168" s="89"/>
      <c r="RDA168" s="91"/>
      <c r="RDD168" s="89"/>
      <c r="RDF168" s="91"/>
      <c r="RDI168" s="89"/>
      <c r="RDK168" s="91"/>
      <c r="RDN168" s="89"/>
      <c r="RDP168" s="91"/>
      <c r="RDS168" s="89"/>
      <c r="RDU168" s="91"/>
      <c r="RDX168" s="89"/>
      <c r="RDZ168" s="91"/>
      <c r="REC168" s="89"/>
      <c r="REE168" s="91"/>
      <c r="REH168" s="89"/>
      <c r="REJ168" s="91"/>
      <c r="REM168" s="89"/>
      <c r="REO168" s="91"/>
      <c r="RER168" s="89"/>
      <c r="RET168" s="91"/>
      <c r="REW168" s="89"/>
      <c r="REY168" s="91"/>
      <c r="RFB168" s="89"/>
      <c r="RFD168" s="91"/>
      <c r="RFG168" s="89"/>
      <c r="RFI168" s="91"/>
      <c r="RFL168" s="89"/>
      <c r="RFN168" s="91"/>
      <c r="RFQ168" s="89"/>
      <c r="RFS168" s="91"/>
      <c r="RFV168" s="89"/>
      <c r="RFX168" s="91"/>
      <c r="RGA168" s="89"/>
      <c r="RGC168" s="91"/>
      <c r="RGF168" s="89"/>
      <c r="RGH168" s="91"/>
      <c r="RGK168" s="89"/>
      <c r="RGM168" s="91"/>
      <c r="RGP168" s="89"/>
      <c r="RGR168" s="91"/>
      <c r="RGU168" s="89"/>
      <c r="RGW168" s="91"/>
      <c r="RGZ168" s="89"/>
      <c r="RHB168" s="91"/>
      <c r="RHE168" s="89"/>
      <c r="RHG168" s="91"/>
      <c r="RHJ168" s="89"/>
      <c r="RHL168" s="91"/>
      <c r="RHO168" s="89"/>
      <c r="RHQ168" s="91"/>
      <c r="RHT168" s="89"/>
      <c r="RHV168" s="91"/>
      <c r="RHY168" s="89"/>
      <c r="RIA168" s="91"/>
      <c r="RID168" s="89"/>
      <c r="RIF168" s="91"/>
      <c r="RII168" s="89"/>
      <c r="RIK168" s="91"/>
      <c r="RIN168" s="89"/>
      <c r="RIP168" s="91"/>
      <c r="RIS168" s="89"/>
      <c r="RIU168" s="91"/>
      <c r="RIX168" s="89"/>
      <c r="RIZ168" s="91"/>
      <c r="RJC168" s="89"/>
      <c r="RJE168" s="91"/>
      <c r="RJH168" s="89"/>
      <c r="RJJ168" s="91"/>
      <c r="RJM168" s="89"/>
      <c r="RJO168" s="91"/>
      <c r="RJR168" s="89"/>
      <c r="RJT168" s="91"/>
      <c r="RJW168" s="89"/>
      <c r="RJY168" s="91"/>
      <c r="RKB168" s="89"/>
      <c r="RKD168" s="91"/>
      <c r="RKG168" s="89"/>
      <c r="RKI168" s="91"/>
      <c r="RKL168" s="89"/>
      <c r="RKN168" s="91"/>
      <c r="RKQ168" s="89"/>
      <c r="RKS168" s="91"/>
      <c r="RKV168" s="89"/>
      <c r="RKX168" s="91"/>
      <c r="RLA168" s="89"/>
      <c r="RLC168" s="91"/>
      <c r="RLF168" s="89"/>
      <c r="RLH168" s="91"/>
      <c r="RLK168" s="89"/>
      <c r="RLM168" s="91"/>
      <c r="RLP168" s="89"/>
      <c r="RLR168" s="91"/>
      <c r="RLU168" s="89"/>
      <c r="RLW168" s="91"/>
      <c r="RLZ168" s="89"/>
      <c r="RMB168" s="91"/>
      <c r="RME168" s="89"/>
      <c r="RMG168" s="91"/>
      <c r="RMJ168" s="89"/>
      <c r="RML168" s="91"/>
      <c r="RMO168" s="89"/>
      <c r="RMQ168" s="91"/>
      <c r="RMT168" s="89"/>
      <c r="RMV168" s="91"/>
      <c r="RMY168" s="89"/>
      <c r="RNA168" s="91"/>
      <c r="RND168" s="89"/>
      <c r="RNF168" s="91"/>
      <c r="RNI168" s="89"/>
      <c r="RNK168" s="91"/>
      <c r="RNN168" s="89"/>
      <c r="RNP168" s="91"/>
      <c r="RNS168" s="89"/>
      <c r="RNU168" s="91"/>
      <c r="RNX168" s="89"/>
      <c r="RNZ168" s="91"/>
      <c r="ROC168" s="89"/>
      <c r="ROE168" s="91"/>
      <c r="ROH168" s="89"/>
      <c r="ROJ168" s="91"/>
      <c r="ROM168" s="89"/>
      <c r="ROO168" s="91"/>
      <c r="ROR168" s="89"/>
      <c r="ROT168" s="91"/>
      <c r="ROW168" s="89"/>
      <c r="ROY168" s="91"/>
      <c r="RPB168" s="89"/>
      <c r="RPD168" s="91"/>
      <c r="RPG168" s="89"/>
      <c r="RPI168" s="91"/>
      <c r="RPL168" s="89"/>
      <c r="RPN168" s="91"/>
      <c r="RPQ168" s="89"/>
      <c r="RPS168" s="91"/>
      <c r="RPV168" s="89"/>
      <c r="RPX168" s="91"/>
      <c r="RQA168" s="89"/>
      <c r="RQC168" s="91"/>
      <c r="RQF168" s="89"/>
      <c r="RQH168" s="91"/>
      <c r="RQK168" s="89"/>
      <c r="RQM168" s="91"/>
      <c r="RQP168" s="89"/>
      <c r="RQR168" s="91"/>
      <c r="RQU168" s="89"/>
      <c r="RQW168" s="91"/>
      <c r="RQZ168" s="89"/>
      <c r="RRB168" s="91"/>
      <c r="RRE168" s="89"/>
      <c r="RRG168" s="91"/>
      <c r="RRJ168" s="89"/>
      <c r="RRL168" s="91"/>
      <c r="RRO168" s="89"/>
      <c r="RRQ168" s="91"/>
      <c r="RRT168" s="89"/>
      <c r="RRV168" s="91"/>
      <c r="RRY168" s="89"/>
      <c r="RSA168" s="91"/>
      <c r="RSD168" s="89"/>
      <c r="RSF168" s="91"/>
      <c r="RSI168" s="89"/>
      <c r="RSK168" s="91"/>
      <c r="RSN168" s="89"/>
      <c r="RSP168" s="91"/>
      <c r="RSS168" s="89"/>
      <c r="RSU168" s="91"/>
      <c r="RSX168" s="89"/>
      <c r="RSZ168" s="91"/>
      <c r="RTC168" s="89"/>
      <c r="RTE168" s="91"/>
      <c r="RTH168" s="89"/>
      <c r="RTJ168" s="91"/>
      <c r="RTM168" s="89"/>
      <c r="RTO168" s="91"/>
      <c r="RTR168" s="89"/>
      <c r="RTT168" s="91"/>
      <c r="RTW168" s="89"/>
      <c r="RTY168" s="91"/>
      <c r="RUB168" s="89"/>
      <c r="RUD168" s="91"/>
      <c r="RUG168" s="89"/>
      <c r="RUI168" s="91"/>
      <c r="RUL168" s="89"/>
      <c r="RUN168" s="91"/>
      <c r="RUQ168" s="89"/>
      <c r="RUS168" s="91"/>
      <c r="RUV168" s="89"/>
      <c r="RUX168" s="91"/>
      <c r="RVA168" s="89"/>
      <c r="RVC168" s="91"/>
      <c r="RVF168" s="89"/>
      <c r="RVH168" s="91"/>
      <c r="RVK168" s="89"/>
      <c r="RVM168" s="91"/>
      <c r="RVP168" s="89"/>
      <c r="RVR168" s="91"/>
      <c r="RVU168" s="89"/>
      <c r="RVW168" s="91"/>
      <c r="RVZ168" s="89"/>
      <c r="RWB168" s="91"/>
      <c r="RWE168" s="89"/>
      <c r="RWG168" s="91"/>
      <c r="RWJ168" s="89"/>
      <c r="RWL168" s="91"/>
      <c r="RWO168" s="89"/>
      <c r="RWQ168" s="91"/>
      <c r="RWT168" s="89"/>
      <c r="RWV168" s="91"/>
      <c r="RWY168" s="89"/>
      <c r="RXA168" s="91"/>
      <c r="RXD168" s="89"/>
      <c r="RXF168" s="91"/>
      <c r="RXI168" s="89"/>
      <c r="RXK168" s="91"/>
      <c r="RXN168" s="89"/>
      <c r="RXP168" s="91"/>
      <c r="RXS168" s="89"/>
      <c r="RXU168" s="91"/>
      <c r="RXX168" s="89"/>
      <c r="RXZ168" s="91"/>
      <c r="RYC168" s="89"/>
      <c r="RYE168" s="91"/>
      <c r="RYH168" s="89"/>
      <c r="RYJ168" s="91"/>
      <c r="RYM168" s="89"/>
      <c r="RYO168" s="91"/>
      <c r="RYR168" s="89"/>
      <c r="RYT168" s="91"/>
      <c r="RYW168" s="89"/>
      <c r="RYY168" s="91"/>
      <c r="RZB168" s="89"/>
      <c r="RZD168" s="91"/>
      <c r="RZG168" s="89"/>
      <c r="RZI168" s="91"/>
      <c r="RZL168" s="89"/>
      <c r="RZN168" s="91"/>
      <c r="RZQ168" s="89"/>
      <c r="RZS168" s="91"/>
      <c r="RZV168" s="89"/>
      <c r="RZX168" s="91"/>
      <c r="SAA168" s="89"/>
      <c r="SAC168" s="91"/>
      <c r="SAF168" s="89"/>
      <c r="SAH168" s="91"/>
      <c r="SAK168" s="89"/>
      <c r="SAM168" s="91"/>
      <c r="SAP168" s="89"/>
      <c r="SAR168" s="91"/>
      <c r="SAU168" s="89"/>
      <c r="SAW168" s="91"/>
      <c r="SAZ168" s="89"/>
      <c r="SBB168" s="91"/>
      <c r="SBE168" s="89"/>
      <c r="SBG168" s="91"/>
      <c r="SBJ168" s="89"/>
      <c r="SBL168" s="91"/>
      <c r="SBO168" s="89"/>
      <c r="SBQ168" s="91"/>
      <c r="SBT168" s="89"/>
      <c r="SBV168" s="91"/>
      <c r="SBY168" s="89"/>
      <c r="SCA168" s="91"/>
      <c r="SCD168" s="89"/>
      <c r="SCF168" s="91"/>
      <c r="SCI168" s="89"/>
      <c r="SCK168" s="91"/>
      <c r="SCN168" s="89"/>
      <c r="SCP168" s="91"/>
      <c r="SCS168" s="89"/>
      <c r="SCU168" s="91"/>
      <c r="SCX168" s="89"/>
      <c r="SCZ168" s="91"/>
      <c r="SDC168" s="89"/>
      <c r="SDE168" s="91"/>
      <c r="SDH168" s="89"/>
      <c r="SDJ168" s="91"/>
      <c r="SDM168" s="89"/>
      <c r="SDO168" s="91"/>
      <c r="SDR168" s="89"/>
      <c r="SDT168" s="91"/>
      <c r="SDW168" s="89"/>
      <c r="SDY168" s="91"/>
      <c r="SEB168" s="89"/>
      <c r="SED168" s="91"/>
      <c r="SEG168" s="89"/>
      <c r="SEI168" s="91"/>
      <c r="SEL168" s="89"/>
      <c r="SEN168" s="91"/>
      <c r="SEQ168" s="89"/>
      <c r="SES168" s="91"/>
      <c r="SEV168" s="89"/>
      <c r="SEX168" s="91"/>
      <c r="SFA168" s="89"/>
      <c r="SFC168" s="91"/>
      <c r="SFF168" s="89"/>
      <c r="SFH168" s="91"/>
      <c r="SFK168" s="89"/>
      <c r="SFM168" s="91"/>
      <c r="SFP168" s="89"/>
      <c r="SFR168" s="91"/>
      <c r="SFU168" s="89"/>
      <c r="SFW168" s="91"/>
      <c r="SFZ168" s="89"/>
      <c r="SGB168" s="91"/>
      <c r="SGE168" s="89"/>
      <c r="SGG168" s="91"/>
      <c r="SGJ168" s="89"/>
      <c r="SGL168" s="91"/>
      <c r="SGO168" s="89"/>
      <c r="SGQ168" s="91"/>
      <c r="SGT168" s="89"/>
      <c r="SGV168" s="91"/>
      <c r="SGY168" s="89"/>
      <c r="SHA168" s="91"/>
      <c r="SHD168" s="89"/>
      <c r="SHF168" s="91"/>
      <c r="SHI168" s="89"/>
      <c r="SHK168" s="91"/>
      <c r="SHN168" s="89"/>
      <c r="SHP168" s="91"/>
      <c r="SHS168" s="89"/>
      <c r="SHU168" s="91"/>
      <c r="SHX168" s="89"/>
      <c r="SHZ168" s="91"/>
      <c r="SIC168" s="89"/>
      <c r="SIE168" s="91"/>
      <c r="SIH168" s="89"/>
      <c r="SIJ168" s="91"/>
      <c r="SIM168" s="89"/>
      <c r="SIO168" s="91"/>
      <c r="SIR168" s="89"/>
      <c r="SIT168" s="91"/>
      <c r="SIW168" s="89"/>
      <c r="SIY168" s="91"/>
      <c r="SJB168" s="89"/>
      <c r="SJD168" s="91"/>
      <c r="SJG168" s="89"/>
      <c r="SJI168" s="91"/>
      <c r="SJL168" s="89"/>
      <c r="SJN168" s="91"/>
      <c r="SJQ168" s="89"/>
      <c r="SJS168" s="91"/>
      <c r="SJV168" s="89"/>
      <c r="SJX168" s="91"/>
      <c r="SKA168" s="89"/>
      <c r="SKC168" s="91"/>
      <c r="SKF168" s="89"/>
      <c r="SKH168" s="91"/>
      <c r="SKK168" s="89"/>
      <c r="SKM168" s="91"/>
      <c r="SKP168" s="89"/>
      <c r="SKR168" s="91"/>
      <c r="SKU168" s="89"/>
      <c r="SKW168" s="91"/>
      <c r="SKZ168" s="89"/>
      <c r="SLB168" s="91"/>
      <c r="SLE168" s="89"/>
      <c r="SLG168" s="91"/>
      <c r="SLJ168" s="89"/>
      <c r="SLL168" s="91"/>
      <c r="SLO168" s="89"/>
      <c r="SLQ168" s="91"/>
      <c r="SLT168" s="89"/>
      <c r="SLV168" s="91"/>
      <c r="SLY168" s="89"/>
      <c r="SMA168" s="91"/>
      <c r="SMD168" s="89"/>
      <c r="SMF168" s="91"/>
      <c r="SMI168" s="89"/>
      <c r="SMK168" s="91"/>
      <c r="SMN168" s="89"/>
      <c r="SMP168" s="91"/>
      <c r="SMS168" s="89"/>
      <c r="SMU168" s="91"/>
      <c r="SMX168" s="89"/>
      <c r="SMZ168" s="91"/>
      <c r="SNC168" s="89"/>
      <c r="SNE168" s="91"/>
      <c r="SNH168" s="89"/>
      <c r="SNJ168" s="91"/>
      <c r="SNM168" s="89"/>
      <c r="SNO168" s="91"/>
      <c r="SNR168" s="89"/>
      <c r="SNT168" s="91"/>
      <c r="SNW168" s="89"/>
      <c r="SNY168" s="91"/>
      <c r="SOB168" s="89"/>
      <c r="SOD168" s="91"/>
      <c r="SOG168" s="89"/>
      <c r="SOI168" s="91"/>
      <c r="SOL168" s="89"/>
      <c r="SON168" s="91"/>
      <c r="SOQ168" s="89"/>
      <c r="SOS168" s="91"/>
      <c r="SOV168" s="89"/>
      <c r="SOX168" s="91"/>
      <c r="SPA168" s="89"/>
      <c r="SPC168" s="91"/>
      <c r="SPF168" s="89"/>
      <c r="SPH168" s="91"/>
      <c r="SPK168" s="89"/>
      <c r="SPM168" s="91"/>
      <c r="SPP168" s="89"/>
      <c r="SPR168" s="91"/>
      <c r="SPU168" s="89"/>
      <c r="SPW168" s="91"/>
      <c r="SPZ168" s="89"/>
      <c r="SQB168" s="91"/>
      <c r="SQE168" s="89"/>
      <c r="SQG168" s="91"/>
      <c r="SQJ168" s="89"/>
      <c r="SQL168" s="91"/>
      <c r="SQO168" s="89"/>
      <c r="SQQ168" s="91"/>
      <c r="SQT168" s="89"/>
      <c r="SQV168" s="91"/>
      <c r="SQY168" s="89"/>
      <c r="SRA168" s="91"/>
      <c r="SRD168" s="89"/>
      <c r="SRF168" s="91"/>
      <c r="SRI168" s="89"/>
      <c r="SRK168" s="91"/>
      <c r="SRN168" s="89"/>
      <c r="SRP168" s="91"/>
      <c r="SRS168" s="89"/>
      <c r="SRU168" s="91"/>
      <c r="SRX168" s="89"/>
      <c r="SRZ168" s="91"/>
      <c r="SSC168" s="89"/>
      <c r="SSE168" s="91"/>
      <c r="SSH168" s="89"/>
      <c r="SSJ168" s="91"/>
      <c r="SSM168" s="89"/>
      <c r="SSO168" s="91"/>
      <c r="SSR168" s="89"/>
      <c r="SST168" s="91"/>
      <c r="SSW168" s="89"/>
      <c r="SSY168" s="91"/>
      <c r="STB168" s="89"/>
      <c r="STD168" s="91"/>
      <c r="STG168" s="89"/>
      <c r="STI168" s="91"/>
      <c r="STL168" s="89"/>
      <c r="STN168" s="91"/>
      <c r="STQ168" s="89"/>
      <c r="STS168" s="91"/>
      <c r="STV168" s="89"/>
      <c r="STX168" s="91"/>
      <c r="SUA168" s="89"/>
      <c r="SUC168" s="91"/>
      <c r="SUF168" s="89"/>
      <c r="SUH168" s="91"/>
      <c r="SUK168" s="89"/>
      <c r="SUM168" s="91"/>
      <c r="SUP168" s="89"/>
      <c r="SUR168" s="91"/>
      <c r="SUU168" s="89"/>
      <c r="SUW168" s="91"/>
      <c r="SUZ168" s="89"/>
      <c r="SVB168" s="91"/>
      <c r="SVE168" s="89"/>
      <c r="SVG168" s="91"/>
      <c r="SVJ168" s="89"/>
      <c r="SVL168" s="91"/>
      <c r="SVO168" s="89"/>
      <c r="SVQ168" s="91"/>
      <c r="SVT168" s="89"/>
      <c r="SVV168" s="91"/>
      <c r="SVY168" s="89"/>
      <c r="SWA168" s="91"/>
      <c r="SWD168" s="89"/>
      <c r="SWF168" s="91"/>
      <c r="SWI168" s="89"/>
      <c r="SWK168" s="91"/>
      <c r="SWN168" s="89"/>
      <c r="SWP168" s="91"/>
      <c r="SWS168" s="89"/>
      <c r="SWU168" s="91"/>
      <c r="SWX168" s="89"/>
      <c r="SWZ168" s="91"/>
      <c r="SXC168" s="89"/>
      <c r="SXE168" s="91"/>
      <c r="SXH168" s="89"/>
      <c r="SXJ168" s="91"/>
      <c r="SXM168" s="89"/>
      <c r="SXO168" s="91"/>
      <c r="SXR168" s="89"/>
      <c r="SXT168" s="91"/>
      <c r="SXW168" s="89"/>
      <c r="SXY168" s="91"/>
      <c r="SYB168" s="89"/>
      <c r="SYD168" s="91"/>
      <c r="SYG168" s="89"/>
      <c r="SYI168" s="91"/>
      <c r="SYL168" s="89"/>
      <c r="SYN168" s="91"/>
      <c r="SYQ168" s="89"/>
      <c r="SYS168" s="91"/>
      <c r="SYV168" s="89"/>
      <c r="SYX168" s="91"/>
      <c r="SZA168" s="89"/>
      <c r="SZC168" s="91"/>
      <c r="SZF168" s="89"/>
      <c r="SZH168" s="91"/>
      <c r="SZK168" s="89"/>
      <c r="SZM168" s="91"/>
      <c r="SZP168" s="89"/>
      <c r="SZR168" s="91"/>
      <c r="SZU168" s="89"/>
      <c r="SZW168" s="91"/>
      <c r="SZZ168" s="89"/>
      <c r="TAB168" s="91"/>
      <c r="TAE168" s="89"/>
      <c r="TAG168" s="91"/>
      <c r="TAJ168" s="89"/>
      <c r="TAL168" s="91"/>
      <c r="TAO168" s="89"/>
      <c r="TAQ168" s="91"/>
      <c r="TAT168" s="89"/>
      <c r="TAV168" s="91"/>
      <c r="TAY168" s="89"/>
      <c r="TBA168" s="91"/>
      <c r="TBD168" s="89"/>
      <c r="TBF168" s="91"/>
      <c r="TBI168" s="89"/>
      <c r="TBK168" s="91"/>
      <c r="TBN168" s="89"/>
      <c r="TBP168" s="91"/>
      <c r="TBS168" s="89"/>
      <c r="TBU168" s="91"/>
      <c r="TBX168" s="89"/>
      <c r="TBZ168" s="91"/>
      <c r="TCC168" s="89"/>
      <c r="TCE168" s="91"/>
      <c r="TCH168" s="89"/>
      <c r="TCJ168" s="91"/>
      <c r="TCM168" s="89"/>
      <c r="TCO168" s="91"/>
      <c r="TCR168" s="89"/>
      <c r="TCT168" s="91"/>
      <c r="TCW168" s="89"/>
      <c r="TCY168" s="91"/>
      <c r="TDB168" s="89"/>
      <c r="TDD168" s="91"/>
      <c r="TDG168" s="89"/>
      <c r="TDI168" s="91"/>
      <c r="TDL168" s="89"/>
      <c r="TDN168" s="91"/>
      <c r="TDQ168" s="89"/>
      <c r="TDS168" s="91"/>
      <c r="TDV168" s="89"/>
      <c r="TDX168" s="91"/>
      <c r="TEA168" s="89"/>
      <c r="TEC168" s="91"/>
      <c r="TEF168" s="89"/>
      <c r="TEH168" s="91"/>
      <c r="TEK168" s="89"/>
      <c r="TEM168" s="91"/>
      <c r="TEP168" s="89"/>
      <c r="TER168" s="91"/>
      <c r="TEU168" s="89"/>
      <c r="TEW168" s="91"/>
      <c r="TEZ168" s="89"/>
      <c r="TFB168" s="91"/>
      <c r="TFE168" s="89"/>
      <c r="TFG168" s="91"/>
      <c r="TFJ168" s="89"/>
      <c r="TFL168" s="91"/>
      <c r="TFO168" s="89"/>
      <c r="TFQ168" s="91"/>
      <c r="TFT168" s="89"/>
      <c r="TFV168" s="91"/>
      <c r="TFY168" s="89"/>
      <c r="TGA168" s="91"/>
      <c r="TGD168" s="89"/>
      <c r="TGF168" s="91"/>
      <c r="TGI168" s="89"/>
      <c r="TGK168" s="91"/>
      <c r="TGN168" s="89"/>
      <c r="TGP168" s="91"/>
      <c r="TGS168" s="89"/>
      <c r="TGU168" s="91"/>
      <c r="TGX168" s="89"/>
      <c r="TGZ168" s="91"/>
      <c r="THC168" s="89"/>
      <c r="THE168" s="91"/>
      <c r="THH168" s="89"/>
      <c r="THJ168" s="91"/>
      <c r="THM168" s="89"/>
      <c r="THO168" s="91"/>
      <c r="THR168" s="89"/>
      <c r="THT168" s="91"/>
      <c r="THW168" s="89"/>
      <c r="THY168" s="91"/>
      <c r="TIB168" s="89"/>
      <c r="TID168" s="91"/>
      <c r="TIG168" s="89"/>
      <c r="TII168" s="91"/>
      <c r="TIL168" s="89"/>
      <c r="TIN168" s="91"/>
      <c r="TIQ168" s="89"/>
      <c r="TIS168" s="91"/>
      <c r="TIV168" s="89"/>
      <c r="TIX168" s="91"/>
      <c r="TJA168" s="89"/>
      <c r="TJC168" s="91"/>
      <c r="TJF168" s="89"/>
      <c r="TJH168" s="91"/>
      <c r="TJK168" s="89"/>
      <c r="TJM168" s="91"/>
      <c r="TJP168" s="89"/>
      <c r="TJR168" s="91"/>
      <c r="TJU168" s="89"/>
      <c r="TJW168" s="91"/>
      <c r="TJZ168" s="89"/>
      <c r="TKB168" s="91"/>
      <c r="TKE168" s="89"/>
      <c r="TKG168" s="91"/>
      <c r="TKJ168" s="89"/>
      <c r="TKL168" s="91"/>
      <c r="TKO168" s="89"/>
      <c r="TKQ168" s="91"/>
      <c r="TKT168" s="89"/>
      <c r="TKV168" s="91"/>
      <c r="TKY168" s="89"/>
      <c r="TLA168" s="91"/>
      <c r="TLD168" s="89"/>
      <c r="TLF168" s="91"/>
      <c r="TLI168" s="89"/>
      <c r="TLK168" s="91"/>
      <c r="TLN168" s="89"/>
      <c r="TLP168" s="91"/>
      <c r="TLS168" s="89"/>
      <c r="TLU168" s="91"/>
      <c r="TLX168" s="89"/>
      <c r="TLZ168" s="91"/>
      <c r="TMC168" s="89"/>
      <c r="TME168" s="91"/>
      <c r="TMH168" s="89"/>
      <c r="TMJ168" s="91"/>
      <c r="TMM168" s="89"/>
      <c r="TMO168" s="91"/>
      <c r="TMR168" s="89"/>
      <c r="TMT168" s="91"/>
      <c r="TMW168" s="89"/>
      <c r="TMY168" s="91"/>
      <c r="TNB168" s="89"/>
      <c r="TND168" s="91"/>
      <c r="TNG168" s="89"/>
      <c r="TNI168" s="91"/>
      <c r="TNL168" s="89"/>
      <c r="TNN168" s="91"/>
      <c r="TNQ168" s="89"/>
      <c r="TNS168" s="91"/>
      <c r="TNV168" s="89"/>
      <c r="TNX168" s="91"/>
      <c r="TOA168" s="89"/>
      <c r="TOC168" s="91"/>
      <c r="TOF168" s="89"/>
      <c r="TOH168" s="91"/>
      <c r="TOK168" s="89"/>
      <c r="TOM168" s="91"/>
      <c r="TOP168" s="89"/>
      <c r="TOR168" s="91"/>
      <c r="TOU168" s="89"/>
      <c r="TOW168" s="91"/>
      <c r="TOZ168" s="89"/>
      <c r="TPB168" s="91"/>
      <c r="TPE168" s="89"/>
      <c r="TPG168" s="91"/>
      <c r="TPJ168" s="89"/>
      <c r="TPL168" s="91"/>
      <c r="TPO168" s="89"/>
      <c r="TPQ168" s="91"/>
      <c r="TPT168" s="89"/>
      <c r="TPV168" s="91"/>
      <c r="TPY168" s="89"/>
      <c r="TQA168" s="91"/>
      <c r="TQD168" s="89"/>
      <c r="TQF168" s="91"/>
      <c r="TQI168" s="89"/>
      <c r="TQK168" s="91"/>
      <c r="TQN168" s="89"/>
      <c r="TQP168" s="91"/>
      <c r="TQS168" s="89"/>
      <c r="TQU168" s="91"/>
      <c r="TQX168" s="89"/>
      <c r="TQZ168" s="91"/>
      <c r="TRC168" s="89"/>
      <c r="TRE168" s="91"/>
      <c r="TRH168" s="89"/>
      <c r="TRJ168" s="91"/>
      <c r="TRM168" s="89"/>
      <c r="TRO168" s="91"/>
      <c r="TRR168" s="89"/>
      <c r="TRT168" s="91"/>
      <c r="TRW168" s="89"/>
      <c r="TRY168" s="91"/>
      <c r="TSB168" s="89"/>
      <c r="TSD168" s="91"/>
      <c r="TSG168" s="89"/>
      <c r="TSI168" s="91"/>
      <c r="TSL168" s="89"/>
      <c r="TSN168" s="91"/>
      <c r="TSQ168" s="89"/>
      <c r="TSS168" s="91"/>
      <c r="TSV168" s="89"/>
      <c r="TSX168" s="91"/>
      <c r="TTA168" s="89"/>
      <c r="TTC168" s="91"/>
      <c r="TTF168" s="89"/>
      <c r="TTH168" s="91"/>
      <c r="TTK168" s="89"/>
      <c r="TTM168" s="91"/>
      <c r="TTP168" s="89"/>
      <c r="TTR168" s="91"/>
      <c r="TTU168" s="89"/>
      <c r="TTW168" s="91"/>
      <c r="TTZ168" s="89"/>
      <c r="TUB168" s="91"/>
      <c r="TUE168" s="89"/>
      <c r="TUG168" s="91"/>
      <c r="TUJ168" s="89"/>
      <c r="TUL168" s="91"/>
      <c r="TUO168" s="89"/>
      <c r="TUQ168" s="91"/>
      <c r="TUT168" s="89"/>
      <c r="TUV168" s="91"/>
      <c r="TUY168" s="89"/>
      <c r="TVA168" s="91"/>
      <c r="TVD168" s="89"/>
      <c r="TVF168" s="91"/>
      <c r="TVI168" s="89"/>
      <c r="TVK168" s="91"/>
      <c r="TVN168" s="89"/>
      <c r="TVP168" s="91"/>
      <c r="TVS168" s="89"/>
      <c r="TVU168" s="91"/>
      <c r="TVX168" s="89"/>
      <c r="TVZ168" s="91"/>
      <c r="TWC168" s="89"/>
      <c r="TWE168" s="91"/>
      <c r="TWH168" s="89"/>
      <c r="TWJ168" s="91"/>
      <c r="TWM168" s="89"/>
      <c r="TWO168" s="91"/>
      <c r="TWR168" s="89"/>
      <c r="TWT168" s="91"/>
      <c r="TWW168" s="89"/>
      <c r="TWY168" s="91"/>
      <c r="TXB168" s="89"/>
      <c r="TXD168" s="91"/>
      <c r="TXG168" s="89"/>
      <c r="TXI168" s="91"/>
      <c r="TXL168" s="89"/>
      <c r="TXN168" s="91"/>
      <c r="TXQ168" s="89"/>
      <c r="TXS168" s="91"/>
      <c r="TXV168" s="89"/>
      <c r="TXX168" s="91"/>
      <c r="TYA168" s="89"/>
      <c r="TYC168" s="91"/>
      <c r="TYF168" s="89"/>
      <c r="TYH168" s="91"/>
      <c r="TYK168" s="89"/>
      <c r="TYM168" s="91"/>
      <c r="TYP168" s="89"/>
      <c r="TYR168" s="91"/>
      <c r="TYU168" s="89"/>
      <c r="TYW168" s="91"/>
      <c r="TYZ168" s="89"/>
      <c r="TZB168" s="91"/>
      <c r="TZE168" s="89"/>
      <c r="TZG168" s="91"/>
      <c r="TZJ168" s="89"/>
      <c r="TZL168" s="91"/>
      <c r="TZO168" s="89"/>
      <c r="TZQ168" s="91"/>
      <c r="TZT168" s="89"/>
      <c r="TZV168" s="91"/>
      <c r="TZY168" s="89"/>
      <c r="UAA168" s="91"/>
      <c r="UAD168" s="89"/>
      <c r="UAF168" s="91"/>
      <c r="UAI168" s="89"/>
      <c r="UAK168" s="91"/>
      <c r="UAN168" s="89"/>
      <c r="UAP168" s="91"/>
      <c r="UAS168" s="89"/>
      <c r="UAU168" s="91"/>
      <c r="UAX168" s="89"/>
      <c r="UAZ168" s="91"/>
      <c r="UBC168" s="89"/>
      <c r="UBE168" s="91"/>
      <c r="UBH168" s="89"/>
      <c r="UBJ168" s="91"/>
      <c r="UBM168" s="89"/>
      <c r="UBO168" s="91"/>
      <c r="UBR168" s="89"/>
      <c r="UBT168" s="91"/>
      <c r="UBW168" s="89"/>
      <c r="UBY168" s="91"/>
      <c r="UCB168" s="89"/>
      <c r="UCD168" s="91"/>
      <c r="UCG168" s="89"/>
      <c r="UCI168" s="91"/>
      <c r="UCL168" s="89"/>
      <c r="UCN168" s="91"/>
      <c r="UCQ168" s="89"/>
      <c r="UCS168" s="91"/>
      <c r="UCV168" s="89"/>
      <c r="UCX168" s="91"/>
      <c r="UDA168" s="89"/>
      <c r="UDC168" s="91"/>
      <c r="UDF168" s="89"/>
      <c r="UDH168" s="91"/>
      <c r="UDK168" s="89"/>
      <c r="UDM168" s="91"/>
      <c r="UDP168" s="89"/>
      <c r="UDR168" s="91"/>
      <c r="UDU168" s="89"/>
      <c r="UDW168" s="91"/>
      <c r="UDZ168" s="89"/>
      <c r="UEB168" s="91"/>
      <c r="UEE168" s="89"/>
      <c r="UEG168" s="91"/>
      <c r="UEJ168" s="89"/>
      <c r="UEL168" s="91"/>
      <c r="UEO168" s="89"/>
      <c r="UEQ168" s="91"/>
      <c r="UET168" s="89"/>
      <c r="UEV168" s="91"/>
      <c r="UEY168" s="89"/>
      <c r="UFA168" s="91"/>
      <c r="UFD168" s="89"/>
      <c r="UFF168" s="91"/>
      <c r="UFI168" s="89"/>
      <c r="UFK168" s="91"/>
      <c r="UFN168" s="89"/>
      <c r="UFP168" s="91"/>
      <c r="UFS168" s="89"/>
      <c r="UFU168" s="91"/>
      <c r="UFX168" s="89"/>
      <c r="UFZ168" s="91"/>
      <c r="UGC168" s="89"/>
      <c r="UGE168" s="91"/>
      <c r="UGH168" s="89"/>
      <c r="UGJ168" s="91"/>
      <c r="UGM168" s="89"/>
      <c r="UGO168" s="91"/>
      <c r="UGR168" s="89"/>
      <c r="UGT168" s="91"/>
      <c r="UGW168" s="89"/>
      <c r="UGY168" s="91"/>
      <c r="UHB168" s="89"/>
      <c r="UHD168" s="91"/>
      <c r="UHG168" s="89"/>
      <c r="UHI168" s="91"/>
      <c r="UHL168" s="89"/>
      <c r="UHN168" s="91"/>
      <c r="UHQ168" s="89"/>
      <c r="UHS168" s="91"/>
      <c r="UHV168" s="89"/>
      <c r="UHX168" s="91"/>
      <c r="UIA168" s="89"/>
      <c r="UIC168" s="91"/>
      <c r="UIF168" s="89"/>
      <c r="UIH168" s="91"/>
      <c r="UIK168" s="89"/>
      <c r="UIM168" s="91"/>
      <c r="UIP168" s="89"/>
      <c r="UIR168" s="91"/>
      <c r="UIU168" s="89"/>
      <c r="UIW168" s="91"/>
      <c r="UIZ168" s="89"/>
      <c r="UJB168" s="91"/>
      <c r="UJE168" s="89"/>
      <c r="UJG168" s="91"/>
      <c r="UJJ168" s="89"/>
      <c r="UJL168" s="91"/>
      <c r="UJO168" s="89"/>
      <c r="UJQ168" s="91"/>
      <c r="UJT168" s="89"/>
      <c r="UJV168" s="91"/>
      <c r="UJY168" s="89"/>
      <c r="UKA168" s="91"/>
      <c r="UKD168" s="89"/>
      <c r="UKF168" s="91"/>
      <c r="UKI168" s="89"/>
      <c r="UKK168" s="91"/>
      <c r="UKN168" s="89"/>
      <c r="UKP168" s="91"/>
      <c r="UKS168" s="89"/>
      <c r="UKU168" s="91"/>
      <c r="UKX168" s="89"/>
      <c r="UKZ168" s="91"/>
      <c r="ULC168" s="89"/>
      <c r="ULE168" s="91"/>
      <c r="ULH168" s="89"/>
      <c r="ULJ168" s="91"/>
      <c r="ULM168" s="89"/>
      <c r="ULO168" s="91"/>
      <c r="ULR168" s="89"/>
      <c r="ULT168" s="91"/>
      <c r="ULW168" s="89"/>
      <c r="ULY168" s="91"/>
      <c r="UMB168" s="89"/>
      <c r="UMD168" s="91"/>
      <c r="UMG168" s="89"/>
      <c r="UMI168" s="91"/>
      <c r="UML168" s="89"/>
      <c r="UMN168" s="91"/>
      <c r="UMQ168" s="89"/>
      <c r="UMS168" s="91"/>
      <c r="UMV168" s="89"/>
      <c r="UMX168" s="91"/>
      <c r="UNA168" s="89"/>
      <c r="UNC168" s="91"/>
      <c r="UNF168" s="89"/>
      <c r="UNH168" s="91"/>
      <c r="UNK168" s="89"/>
      <c r="UNM168" s="91"/>
      <c r="UNP168" s="89"/>
      <c r="UNR168" s="91"/>
      <c r="UNU168" s="89"/>
      <c r="UNW168" s="91"/>
      <c r="UNZ168" s="89"/>
      <c r="UOB168" s="91"/>
      <c r="UOE168" s="89"/>
      <c r="UOG168" s="91"/>
      <c r="UOJ168" s="89"/>
      <c r="UOL168" s="91"/>
      <c r="UOO168" s="89"/>
      <c r="UOQ168" s="91"/>
      <c r="UOT168" s="89"/>
      <c r="UOV168" s="91"/>
      <c r="UOY168" s="89"/>
      <c r="UPA168" s="91"/>
      <c r="UPD168" s="89"/>
      <c r="UPF168" s="91"/>
      <c r="UPI168" s="89"/>
      <c r="UPK168" s="91"/>
      <c r="UPN168" s="89"/>
      <c r="UPP168" s="91"/>
      <c r="UPS168" s="89"/>
      <c r="UPU168" s="91"/>
      <c r="UPX168" s="89"/>
      <c r="UPZ168" s="91"/>
      <c r="UQC168" s="89"/>
      <c r="UQE168" s="91"/>
      <c r="UQH168" s="89"/>
      <c r="UQJ168" s="91"/>
      <c r="UQM168" s="89"/>
      <c r="UQO168" s="91"/>
      <c r="UQR168" s="89"/>
      <c r="UQT168" s="91"/>
      <c r="UQW168" s="89"/>
      <c r="UQY168" s="91"/>
      <c r="URB168" s="89"/>
      <c r="URD168" s="91"/>
      <c r="URG168" s="89"/>
      <c r="URI168" s="91"/>
      <c r="URL168" s="89"/>
      <c r="URN168" s="91"/>
      <c r="URQ168" s="89"/>
      <c r="URS168" s="91"/>
      <c r="URV168" s="89"/>
      <c r="URX168" s="91"/>
      <c r="USA168" s="89"/>
      <c r="USC168" s="91"/>
      <c r="USF168" s="89"/>
      <c r="USH168" s="91"/>
      <c r="USK168" s="89"/>
      <c r="USM168" s="91"/>
      <c r="USP168" s="89"/>
      <c r="USR168" s="91"/>
      <c r="USU168" s="89"/>
      <c r="USW168" s="91"/>
      <c r="USZ168" s="89"/>
      <c r="UTB168" s="91"/>
      <c r="UTE168" s="89"/>
      <c r="UTG168" s="91"/>
      <c r="UTJ168" s="89"/>
      <c r="UTL168" s="91"/>
      <c r="UTO168" s="89"/>
      <c r="UTQ168" s="91"/>
      <c r="UTT168" s="89"/>
      <c r="UTV168" s="91"/>
      <c r="UTY168" s="89"/>
      <c r="UUA168" s="91"/>
      <c r="UUD168" s="89"/>
      <c r="UUF168" s="91"/>
      <c r="UUI168" s="89"/>
      <c r="UUK168" s="91"/>
      <c r="UUN168" s="89"/>
      <c r="UUP168" s="91"/>
      <c r="UUS168" s="89"/>
      <c r="UUU168" s="91"/>
      <c r="UUX168" s="89"/>
      <c r="UUZ168" s="91"/>
      <c r="UVC168" s="89"/>
      <c r="UVE168" s="91"/>
      <c r="UVH168" s="89"/>
      <c r="UVJ168" s="91"/>
      <c r="UVM168" s="89"/>
      <c r="UVO168" s="91"/>
      <c r="UVR168" s="89"/>
      <c r="UVT168" s="91"/>
      <c r="UVW168" s="89"/>
      <c r="UVY168" s="91"/>
      <c r="UWB168" s="89"/>
      <c r="UWD168" s="91"/>
      <c r="UWG168" s="89"/>
      <c r="UWI168" s="91"/>
      <c r="UWL168" s="89"/>
      <c r="UWN168" s="91"/>
      <c r="UWQ168" s="89"/>
      <c r="UWS168" s="91"/>
      <c r="UWV168" s="89"/>
      <c r="UWX168" s="91"/>
      <c r="UXA168" s="89"/>
      <c r="UXC168" s="91"/>
      <c r="UXF168" s="89"/>
      <c r="UXH168" s="91"/>
      <c r="UXK168" s="89"/>
      <c r="UXM168" s="91"/>
      <c r="UXP168" s="89"/>
      <c r="UXR168" s="91"/>
      <c r="UXU168" s="89"/>
      <c r="UXW168" s="91"/>
      <c r="UXZ168" s="89"/>
      <c r="UYB168" s="91"/>
      <c r="UYE168" s="89"/>
      <c r="UYG168" s="91"/>
      <c r="UYJ168" s="89"/>
      <c r="UYL168" s="91"/>
      <c r="UYO168" s="89"/>
      <c r="UYQ168" s="91"/>
      <c r="UYT168" s="89"/>
      <c r="UYV168" s="91"/>
      <c r="UYY168" s="89"/>
      <c r="UZA168" s="91"/>
      <c r="UZD168" s="89"/>
      <c r="UZF168" s="91"/>
      <c r="UZI168" s="89"/>
      <c r="UZK168" s="91"/>
      <c r="UZN168" s="89"/>
      <c r="UZP168" s="91"/>
      <c r="UZS168" s="89"/>
      <c r="UZU168" s="91"/>
      <c r="UZX168" s="89"/>
      <c r="UZZ168" s="91"/>
      <c r="VAC168" s="89"/>
      <c r="VAE168" s="91"/>
      <c r="VAH168" s="89"/>
      <c r="VAJ168" s="91"/>
      <c r="VAM168" s="89"/>
      <c r="VAO168" s="91"/>
      <c r="VAR168" s="89"/>
      <c r="VAT168" s="91"/>
      <c r="VAW168" s="89"/>
      <c r="VAY168" s="91"/>
      <c r="VBB168" s="89"/>
      <c r="VBD168" s="91"/>
      <c r="VBG168" s="89"/>
      <c r="VBI168" s="91"/>
      <c r="VBL168" s="89"/>
      <c r="VBN168" s="91"/>
      <c r="VBQ168" s="89"/>
      <c r="VBS168" s="91"/>
      <c r="VBV168" s="89"/>
      <c r="VBX168" s="91"/>
      <c r="VCA168" s="89"/>
      <c r="VCC168" s="91"/>
      <c r="VCF168" s="89"/>
      <c r="VCH168" s="91"/>
      <c r="VCK168" s="89"/>
      <c r="VCM168" s="91"/>
      <c r="VCP168" s="89"/>
      <c r="VCR168" s="91"/>
      <c r="VCU168" s="89"/>
      <c r="VCW168" s="91"/>
      <c r="VCZ168" s="89"/>
      <c r="VDB168" s="91"/>
      <c r="VDE168" s="89"/>
      <c r="VDG168" s="91"/>
      <c r="VDJ168" s="89"/>
      <c r="VDL168" s="91"/>
      <c r="VDO168" s="89"/>
      <c r="VDQ168" s="91"/>
      <c r="VDT168" s="89"/>
      <c r="VDV168" s="91"/>
      <c r="VDY168" s="89"/>
      <c r="VEA168" s="91"/>
      <c r="VED168" s="89"/>
      <c r="VEF168" s="91"/>
      <c r="VEI168" s="89"/>
      <c r="VEK168" s="91"/>
      <c r="VEN168" s="89"/>
      <c r="VEP168" s="91"/>
      <c r="VES168" s="89"/>
      <c r="VEU168" s="91"/>
      <c r="VEX168" s="89"/>
      <c r="VEZ168" s="91"/>
      <c r="VFC168" s="89"/>
      <c r="VFE168" s="91"/>
      <c r="VFH168" s="89"/>
      <c r="VFJ168" s="91"/>
      <c r="VFM168" s="89"/>
      <c r="VFO168" s="91"/>
      <c r="VFR168" s="89"/>
      <c r="VFT168" s="91"/>
      <c r="VFW168" s="89"/>
      <c r="VFY168" s="91"/>
      <c r="VGB168" s="89"/>
      <c r="VGD168" s="91"/>
      <c r="VGG168" s="89"/>
      <c r="VGI168" s="91"/>
      <c r="VGL168" s="89"/>
      <c r="VGN168" s="91"/>
      <c r="VGQ168" s="89"/>
      <c r="VGS168" s="91"/>
      <c r="VGV168" s="89"/>
      <c r="VGX168" s="91"/>
      <c r="VHA168" s="89"/>
      <c r="VHC168" s="91"/>
      <c r="VHF168" s="89"/>
      <c r="VHH168" s="91"/>
      <c r="VHK168" s="89"/>
      <c r="VHM168" s="91"/>
      <c r="VHP168" s="89"/>
      <c r="VHR168" s="91"/>
      <c r="VHU168" s="89"/>
      <c r="VHW168" s="91"/>
      <c r="VHZ168" s="89"/>
      <c r="VIB168" s="91"/>
      <c r="VIE168" s="89"/>
      <c r="VIG168" s="91"/>
      <c r="VIJ168" s="89"/>
      <c r="VIL168" s="91"/>
      <c r="VIO168" s="89"/>
      <c r="VIQ168" s="91"/>
      <c r="VIT168" s="89"/>
      <c r="VIV168" s="91"/>
      <c r="VIY168" s="89"/>
      <c r="VJA168" s="91"/>
      <c r="VJD168" s="89"/>
      <c r="VJF168" s="91"/>
      <c r="VJI168" s="89"/>
      <c r="VJK168" s="91"/>
      <c r="VJN168" s="89"/>
      <c r="VJP168" s="91"/>
      <c r="VJS168" s="89"/>
      <c r="VJU168" s="91"/>
      <c r="VJX168" s="89"/>
      <c r="VJZ168" s="91"/>
      <c r="VKC168" s="89"/>
      <c r="VKE168" s="91"/>
      <c r="VKH168" s="89"/>
      <c r="VKJ168" s="91"/>
      <c r="VKM168" s="89"/>
      <c r="VKO168" s="91"/>
      <c r="VKR168" s="89"/>
      <c r="VKT168" s="91"/>
      <c r="VKW168" s="89"/>
      <c r="VKY168" s="91"/>
      <c r="VLB168" s="89"/>
      <c r="VLD168" s="91"/>
      <c r="VLG168" s="89"/>
      <c r="VLI168" s="91"/>
      <c r="VLL168" s="89"/>
      <c r="VLN168" s="91"/>
      <c r="VLQ168" s="89"/>
      <c r="VLS168" s="91"/>
      <c r="VLV168" s="89"/>
      <c r="VLX168" s="91"/>
      <c r="VMA168" s="89"/>
      <c r="VMC168" s="91"/>
      <c r="VMF168" s="89"/>
      <c r="VMH168" s="91"/>
      <c r="VMK168" s="89"/>
      <c r="VMM168" s="91"/>
      <c r="VMP168" s="89"/>
      <c r="VMR168" s="91"/>
      <c r="VMU168" s="89"/>
      <c r="VMW168" s="91"/>
      <c r="VMZ168" s="89"/>
      <c r="VNB168" s="91"/>
      <c r="VNE168" s="89"/>
      <c r="VNG168" s="91"/>
      <c r="VNJ168" s="89"/>
      <c r="VNL168" s="91"/>
      <c r="VNO168" s="89"/>
      <c r="VNQ168" s="91"/>
      <c r="VNT168" s="89"/>
      <c r="VNV168" s="91"/>
      <c r="VNY168" s="89"/>
      <c r="VOA168" s="91"/>
      <c r="VOD168" s="89"/>
      <c r="VOF168" s="91"/>
      <c r="VOI168" s="89"/>
      <c r="VOK168" s="91"/>
      <c r="VON168" s="89"/>
      <c r="VOP168" s="91"/>
      <c r="VOS168" s="89"/>
      <c r="VOU168" s="91"/>
      <c r="VOX168" s="89"/>
      <c r="VOZ168" s="91"/>
      <c r="VPC168" s="89"/>
      <c r="VPE168" s="91"/>
      <c r="VPH168" s="89"/>
      <c r="VPJ168" s="91"/>
      <c r="VPM168" s="89"/>
      <c r="VPO168" s="91"/>
      <c r="VPR168" s="89"/>
      <c r="VPT168" s="91"/>
      <c r="VPW168" s="89"/>
      <c r="VPY168" s="91"/>
      <c r="VQB168" s="89"/>
      <c r="VQD168" s="91"/>
      <c r="VQG168" s="89"/>
      <c r="VQI168" s="91"/>
      <c r="VQL168" s="89"/>
      <c r="VQN168" s="91"/>
      <c r="VQQ168" s="89"/>
      <c r="VQS168" s="91"/>
      <c r="VQV168" s="89"/>
      <c r="VQX168" s="91"/>
      <c r="VRA168" s="89"/>
      <c r="VRC168" s="91"/>
      <c r="VRF168" s="89"/>
      <c r="VRH168" s="91"/>
      <c r="VRK168" s="89"/>
      <c r="VRM168" s="91"/>
      <c r="VRP168" s="89"/>
      <c r="VRR168" s="91"/>
      <c r="VRU168" s="89"/>
      <c r="VRW168" s="91"/>
      <c r="VRZ168" s="89"/>
      <c r="VSB168" s="91"/>
      <c r="VSE168" s="89"/>
      <c r="VSG168" s="91"/>
      <c r="VSJ168" s="89"/>
      <c r="VSL168" s="91"/>
      <c r="VSO168" s="89"/>
      <c r="VSQ168" s="91"/>
      <c r="VST168" s="89"/>
      <c r="VSV168" s="91"/>
      <c r="VSY168" s="89"/>
      <c r="VTA168" s="91"/>
      <c r="VTD168" s="89"/>
      <c r="VTF168" s="91"/>
      <c r="VTI168" s="89"/>
      <c r="VTK168" s="91"/>
      <c r="VTN168" s="89"/>
      <c r="VTP168" s="91"/>
      <c r="VTS168" s="89"/>
      <c r="VTU168" s="91"/>
      <c r="VTX168" s="89"/>
      <c r="VTZ168" s="91"/>
      <c r="VUC168" s="89"/>
      <c r="VUE168" s="91"/>
      <c r="VUH168" s="89"/>
      <c r="VUJ168" s="91"/>
      <c r="VUM168" s="89"/>
      <c r="VUO168" s="91"/>
      <c r="VUR168" s="89"/>
      <c r="VUT168" s="91"/>
      <c r="VUW168" s="89"/>
      <c r="VUY168" s="91"/>
      <c r="VVB168" s="89"/>
      <c r="VVD168" s="91"/>
      <c r="VVG168" s="89"/>
      <c r="VVI168" s="91"/>
      <c r="VVL168" s="89"/>
      <c r="VVN168" s="91"/>
      <c r="VVQ168" s="89"/>
      <c r="VVS168" s="91"/>
      <c r="VVV168" s="89"/>
      <c r="VVX168" s="91"/>
      <c r="VWA168" s="89"/>
      <c r="VWC168" s="91"/>
      <c r="VWF168" s="89"/>
      <c r="VWH168" s="91"/>
      <c r="VWK168" s="89"/>
      <c r="VWM168" s="91"/>
      <c r="VWP168" s="89"/>
      <c r="VWR168" s="91"/>
      <c r="VWU168" s="89"/>
      <c r="VWW168" s="91"/>
      <c r="VWZ168" s="89"/>
      <c r="VXB168" s="91"/>
      <c r="VXE168" s="89"/>
      <c r="VXG168" s="91"/>
      <c r="VXJ168" s="89"/>
      <c r="VXL168" s="91"/>
      <c r="VXO168" s="89"/>
      <c r="VXQ168" s="91"/>
      <c r="VXT168" s="89"/>
      <c r="VXV168" s="91"/>
      <c r="VXY168" s="89"/>
      <c r="VYA168" s="91"/>
      <c r="VYD168" s="89"/>
      <c r="VYF168" s="91"/>
      <c r="VYI168" s="89"/>
      <c r="VYK168" s="91"/>
      <c r="VYN168" s="89"/>
      <c r="VYP168" s="91"/>
      <c r="VYS168" s="89"/>
      <c r="VYU168" s="91"/>
      <c r="VYX168" s="89"/>
      <c r="VYZ168" s="91"/>
      <c r="VZC168" s="89"/>
      <c r="VZE168" s="91"/>
      <c r="VZH168" s="89"/>
      <c r="VZJ168" s="91"/>
      <c r="VZM168" s="89"/>
      <c r="VZO168" s="91"/>
      <c r="VZR168" s="89"/>
      <c r="VZT168" s="91"/>
      <c r="VZW168" s="89"/>
      <c r="VZY168" s="91"/>
      <c r="WAB168" s="89"/>
      <c r="WAD168" s="91"/>
      <c r="WAG168" s="89"/>
      <c r="WAI168" s="91"/>
      <c r="WAL168" s="89"/>
      <c r="WAN168" s="91"/>
      <c r="WAQ168" s="89"/>
      <c r="WAS168" s="91"/>
      <c r="WAV168" s="89"/>
      <c r="WAX168" s="91"/>
      <c r="WBA168" s="89"/>
      <c r="WBC168" s="91"/>
      <c r="WBF168" s="89"/>
      <c r="WBH168" s="91"/>
      <c r="WBK168" s="89"/>
      <c r="WBM168" s="91"/>
      <c r="WBP168" s="89"/>
      <c r="WBR168" s="91"/>
      <c r="WBU168" s="89"/>
      <c r="WBW168" s="91"/>
      <c r="WBZ168" s="89"/>
      <c r="WCB168" s="91"/>
      <c r="WCE168" s="89"/>
      <c r="WCG168" s="91"/>
      <c r="WCJ168" s="89"/>
      <c r="WCL168" s="91"/>
      <c r="WCO168" s="89"/>
      <c r="WCQ168" s="91"/>
      <c r="WCT168" s="89"/>
      <c r="WCV168" s="91"/>
      <c r="WCY168" s="89"/>
      <c r="WDA168" s="91"/>
      <c r="WDD168" s="89"/>
      <c r="WDF168" s="91"/>
      <c r="WDI168" s="89"/>
      <c r="WDK168" s="91"/>
      <c r="WDN168" s="89"/>
      <c r="WDP168" s="91"/>
      <c r="WDS168" s="89"/>
      <c r="WDU168" s="91"/>
      <c r="WDX168" s="89"/>
      <c r="WDZ168" s="91"/>
      <c r="WEC168" s="89"/>
      <c r="WEE168" s="91"/>
      <c r="WEH168" s="89"/>
      <c r="WEJ168" s="91"/>
      <c r="WEM168" s="89"/>
      <c r="WEO168" s="91"/>
      <c r="WER168" s="89"/>
      <c r="WET168" s="91"/>
      <c r="WEW168" s="89"/>
      <c r="WEY168" s="91"/>
      <c r="WFB168" s="89"/>
      <c r="WFD168" s="91"/>
      <c r="WFG168" s="89"/>
      <c r="WFI168" s="91"/>
      <c r="WFL168" s="89"/>
      <c r="WFN168" s="91"/>
      <c r="WFQ168" s="89"/>
      <c r="WFS168" s="91"/>
      <c r="WFV168" s="89"/>
      <c r="WFX168" s="91"/>
      <c r="WGA168" s="89"/>
      <c r="WGC168" s="91"/>
      <c r="WGF168" s="89"/>
      <c r="WGH168" s="91"/>
      <c r="WGK168" s="89"/>
      <c r="WGM168" s="91"/>
      <c r="WGP168" s="89"/>
      <c r="WGR168" s="91"/>
      <c r="WGU168" s="89"/>
      <c r="WGW168" s="91"/>
      <c r="WGZ168" s="89"/>
      <c r="WHB168" s="91"/>
      <c r="WHE168" s="89"/>
      <c r="WHG168" s="91"/>
      <c r="WHJ168" s="89"/>
      <c r="WHL168" s="91"/>
      <c r="WHO168" s="89"/>
      <c r="WHQ168" s="91"/>
      <c r="WHT168" s="89"/>
      <c r="WHV168" s="91"/>
      <c r="WHY168" s="89"/>
      <c r="WIA168" s="91"/>
      <c r="WID168" s="89"/>
      <c r="WIF168" s="91"/>
      <c r="WII168" s="89"/>
      <c r="WIK168" s="91"/>
      <c r="WIN168" s="89"/>
      <c r="WIP168" s="91"/>
      <c r="WIS168" s="89"/>
      <c r="WIU168" s="91"/>
      <c r="WIX168" s="89"/>
      <c r="WIZ168" s="91"/>
      <c r="WJC168" s="89"/>
      <c r="WJE168" s="91"/>
      <c r="WJH168" s="89"/>
      <c r="WJJ168" s="91"/>
      <c r="WJM168" s="89"/>
      <c r="WJO168" s="91"/>
      <c r="WJR168" s="89"/>
      <c r="WJT168" s="91"/>
      <c r="WJW168" s="89"/>
      <c r="WJY168" s="91"/>
      <c r="WKB168" s="89"/>
      <c r="WKD168" s="91"/>
      <c r="WKG168" s="89"/>
      <c r="WKI168" s="91"/>
      <c r="WKL168" s="89"/>
      <c r="WKN168" s="91"/>
      <c r="WKQ168" s="89"/>
      <c r="WKS168" s="91"/>
      <c r="WKV168" s="89"/>
      <c r="WKX168" s="91"/>
      <c r="WLA168" s="89"/>
      <c r="WLC168" s="91"/>
      <c r="WLF168" s="89"/>
      <c r="WLH168" s="91"/>
      <c r="WLK168" s="89"/>
      <c r="WLM168" s="91"/>
      <c r="WLP168" s="89"/>
      <c r="WLR168" s="91"/>
      <c r="WLU168" s="89"/>
      <c r="WLW168" s="91"/>
      <c r="WLZ168" s="89"/>
      <c r="WMB168" s="91"/>
      <c r="WME168" s="89"/>
      <c r="WMG168" s="91"/>
      <c r="WMJ168" s="89"/>
      <c r="WML168" s="91"/>
      <c r="WMO168" s="89"/>
      <c r="WMQ168" s="91"/>
      <c r="WMT168" s="89"/>
      <c r="WMV168" s="91"/>
      <c r="WMY168" s="89"/>
      <c r="WNA168" s="91"/>
      <c r="WND168" s="89"/>
      <c r="WNF168" s="91"/>
      <c r="WNI168" s="89"/>
      <c r="WNK168" s="91"/>
      <c r="WNN168" s="89"/>
      <c r="WNP168" s="91"/>
      <c r="WNS168" s="89"/>
      <c r="WNU168" s="91"/>
      <c r="WNX168" s="89"/>
      <c r="WNZ168" s="91"/>
      <c r="WOC168" s="89"/>
      <c r="WOE168" s="91"/>
      <c r="WOH168" s="89"/>
      <c r="WOJ168" s="91"/>
      <c r="WOM168" s="89"/>
      <c r="WOO168" s="91"/>
      <c r="WOR168" s="89"/>
      <c r="WOT168" s="91"/>
      <c r="WOW168" s="89"/>
      <c r="WOY168" s="91"/>
      <c r="WPB168" s="89"/>
      <c r="WPD168" s="91"/>
      <c r="WPG168" s="89"/>
      <c r="WPI168" s="91"/>
      <c r="WPL168" s="89"/>
      <c r="WPN168" s="91"/>
      <c r="WPQ168" s="89"/>
      <c r="WPS168" s="91"/>
      <c r="WPV168" s="89"/>
      <c r="WPX168" s="91"/>
      <c r="WQA168" s="89"/>
      <c r="WQC168" s="91"/>
      <c r="WQF168" s="89"/>
      <c r="WQH168" s="91"/>
      <c r="WQK168" s="89"/>
      <c r="WQM168" s="91"/>
      <c r="WQP168" s="89"/>
      <c r="WQR168" s="91"/>
      <c r="WQU168" s="89"/>
      <c r="WQW168" s="91"/>
      <c r="WQZ168" s="89"/>
      <c r="WRB168" s="91"/>
      <c r="WRE168" s="89"/>
      <c r="WRG168" s="91"/>
      <c r="WRJ168" s="89"/>
      <c r="WRL168" s="91"/>
      <c r="WRO168" s="89"/>
      <c r="WRQ168" s="91"/>
      <c r="WRT168" s="89"/>
      <c r="WRV168" s="91"/>
      <c r="WRY168" s="89"/>
      <c r="WSA168" s="91"/>
      <c r="WSD168" s="89"/>
      <c r="WSF168" s="91"/>
      <c r="WSI168" s="89"/>
      <c r="WSK168" s="91"/>
      <c r="WSN168" s="89"/>
      <c r="WSP168" s="91"/>
      <c r="WSS168" s="89"/>
      <c r="WSU168" s="91"/>
      <c r="WSX168" s="89"/>
      <c r="WSZ168" s="91"/>
      <c r="WTC168" s="89"/>
      <c r="WTE168" s="91"/>
      <c r="WTH168" s="89"/>
      <c r="WTJ168" s="91"/>
      <c r="WTM168" s="89"/>
      <c r="WTO168" s="91"/>
      <c r="WTR168" s="89"/>
      <c r="WTT168" s="91"/>
      <c r="WTW168" s="89"/>
      <c r="WTY168" s="91"/>
      <c r="WUB168" s="89"/>
      <c r="WUD168" s="91"/>
      <c r="WUG168" s="89"/>
      <c r="WUI168" s="91"/>
      <c r="WUL168" s="89"/>
      <c r="WUN168" s="91"/>
      <c r="WUQ168" s="89"/>
      <c r="WUS168" s="91"/>
      <c r="WUV168" s="89"/>
      <c r="WUX168" s="91"/>
      <c r="WVA168" s="89"/>
      <c r="WVC168" s="91"/>
      <c r="WVF168" s="89"/>
      <c r="WVH168" s="91"/>
      <c r="WVK168" s="89"/>
      <c r="WVM168" s="91"/>
      <c r="WVP168" s="89"/>
      <c r="WVR168" s="91"/>
      <c r="WVU168" s="89"/>
      <c r="WVW168" s="91"/>
      <c r="WVZ168" s="89"/>
      <c r="WWB168" s="91"/>
      <c r="WWE168" s="89"/>
      <c r="WWG168" s="91"/>
      <c r="WWJ168" s="89"/>
      <c r="WWL168" s="91"/>
      <c r="WWO168" s="89"/>
      <c r="WWQ168" s="91"/>
      <c r="WWT168" s="89"/>
      <c r="WWV168" s="91"/>
      <c r="WWY168" s="89"/>
      <c r="WXA168" s="91"/>
      <c r="WXD168" s="89"/>
      <c r="WXF168" s="91"/>
      <c r="WXI168" s="89"/>
      <c r="WXK168" s="91"/>
      <c r="WXN168" s="89"/>
      <c r="WXP168" s="91"/>
      <c r="WXS168" s="89"/>
      <c r="WXU168" s="91"/>
      <c r="WXX168" s="89"/>
      <c r="WXZ168" s="91"/>
      <c r="WYC168" s="89"/>
      <c r="WYE168" s="91"/>
      <c r="WYH168" s="89"/>
      <c r="WYJ168" s="91"/>
      <c r="WYM168" s="89"/>
      <c r="WYO168" s="91"/>
      <c r="WYR168" s="89"/>
      <c r="WYT168" s="91"/>
      <c r="WYW168" s="89"/>
      <c r="WYY168" s="91"/>
      <c r="WZB168" s="89"/>
      <c r="WZD168" s="91"/>
      <c r="WZG168" s="89"/>
      <c r="WZI168" s="91"/>
      <c r="WZL168" s="89"/>
      <c r="WZN168" s="91"/>
      <c r="WZQ168" s="89"/>
      <c r="WZS168" s="91"/>
      <c r="WZV168" s="89"/>
      <c r="WZX168" s="91"/>
      <c r="XAA168" s="89"/>
      <c r="XAC168" s="91"/>
      <c r="XAF168" s="89"/>
      <c r="XAH168" s="91"/>
      <c r="XAK168" s="89"/>
      <c r="XAM168" s="91"/>
      <c r="XAP168" s="89"/>
      <c r="XAR168" s="91"/>
      <c r="XAU168" s="89"/>
      <c r="XAW168" s="91"/>
      <c r="XAZ168" s="89"/>
      <c r="XBB168" s="91"/>
      <c r="XBE168" s="89"/>
      <c r="XBG168" s="91"/>
      <c r="XBJ168" s="89"/>
      <c r="XBL168" s="91"/>
      <c r="XBO168" s="89"/>
      <c r="XBQ168" s="91"/>
      <c r="XBT168" s="89"/>
      <c r="XBV168" s="91"/>
      <c r="XBY168" s="89"/>
      <c r="XCA168" s="91"/>
      <c r="XCD168" s="89"/>
      <c r="XCF168" s="91"/>
      <c r="XCI168" s="89"/>
      <c r="XCK168" s="91"/>
      <c r="XCN168" s="89"/>
      <c r="XCP168" s="91"/>
      <c r="XCS168" s="89"/>
      <c r="XCU168" s="91"/>
      <c r="XCX168" s="89"/>
      <c r="XCZ168" s="91"/>
      <c r="XDC168" s="89"/>
      <c r="XDE168" s="91"/>
      <c r="XDH168" s="89"/>
      <c r="XDJ168" s="91"/>
      <c r="XDM168" s="89"/>
      <c r="XDO168" s="91"/>
      <c r="XDR168" s="89"/>
      <c r="XDT168" s="91"/>
      <c r="XDW168" s="89"/>
      <c r="XDY168" s="91"/>
      <c r="XEB168" s="89"/>
      <c r="XED168" s="91"/>
      <c r="XEG168" s="89"/>
      <c r="XEI168" s="91"/>
      <c r="XEL168" s="89"/>
      <c r="XEN168" s="91"/>
      <c r="XEQ168" s="89"/>
      <c r="XES168" s="91"/>
      <c r="XEV168" s="89"/>
      <c r="XEX168" s="91"/>
      <c r="XFA168" s="89"/>
      <c r="XFC168" s="91"/>
    </row>
    <row r="169" spans="1:1023 1026:2048 2051:3071 3073:4096 4098:5118 5121:6143 6146:7168 7171:8191 8193:9216 9218:10238 10241:11263 11266:12288 12291:13311 13313:14336 14338:15358 15361:16383" x14ac:dyDescent="0.2">
      <c r="A169" s="48">
        <v>45707</v>
      </c>
      <c r="B169" s="37" t="s">
        <v>262</v>
      </c>
      <c r="C169" s="46">
        <v>153719.01</v>
      </c>
      <c r="D169" s="37" t="s">
        <v>263</v>
      </c>
      <c r="E169" s="37" t="s">
        <v>271</v>
      </c>
    </row>
    <row r="170" spans="1:1023 1026:2048 2051:3071 3073:4096 4098:5118 5121:6143 6146:7168 7171:8191 8193:9216 9218:10238 10241:11263 11266:12288 12291:13311 13313:14336 14338:15358 15361:16383" s="90" customFormat="1" x14ac:dyDescent="0.2">
      <c r="A170" s="89"/>
      <c r="B170" s="90" t="str">
        <f>+D169</f>
        <v>Marketing</v>
      </c>
      <c r="C170" s="91">
        <f>SUM(C169)</f>
        <v>153719.01</v>
      </c>
      <c r="F170" s="89"/>
      <c r="H170" s="91"/>
      <c r="K170" s="89"/>
      <c r="M170" s="91"/>
      <c r="P170" s="89"/>
      <c r="R170" s="91"/>
      <c r="U170" s="89"/>
      <c r="W170" s="91"/>
      <c r="Z170" s="89"/>
      <c r="AB170" s="91"/>
      <c r="AE170" s="89"/>
      <c r="AG170" s="91"/>
      <c r="AJ170" s="89"/>
      <c r="AL170" s="91"/>
      <c r="AO170" s="89"/>
      <c r="AQ170" s="91"/>
      <c r="AT170" s="89"/>
      <c r="AV170" s="91"/>
      <c r="AY170" s="89"/>
      <c r="BA170" s="91"/>
      <c r="BD170" s="89"/>
      <c r="BF170" s="91"/>
      <c r="BI170" s="89"/>
      <c r="BK170" s="91"/>
      <c r="BN170" s="89"/>
      <c r="BP170" s="91"/>
      <c r="BS170" s="89"/>
      <c r="BU170" s="91"/>
      <c r="BX170" s="89"/>
      <c r="BZ170" s="91"/>
      <c r="CC170" s="89"/>
      <c r="CE170" s="91"/>
      <c r="CH170" s="89"/>
      <c r="CJ170" s="91"/>
      <c r="CM170" s="89"/>
      <c r="CO170" s="91"/>
      <c r="CR170" s="89"/>
      <c r="CT170" s="91"/>
      <c r="CW170" s="89"/>
      <c r="CY170" s="91"/>
      <c r="DB170" s="89"/>
      <c r="DD170" s="91"/>
      <c r="DG170" s="89"/>
      <c r="DI170" s="91"/>
      <c r="DL170" s="89"/>
      <c r="DN170" s="91"/>
      <c r="DQ170" s="89"/>
      <c r="DS170" s="91"/>
      <c r="DV170" s="89"/>
      <c r="DX170" s="91"/>
      <c r="EA170" s="89"/>
      <c r="EC170" s="91"/>
      <c r="EF170" s="89"/>
      <c r="EH170" s="91"/>
      <c r="EK170" s="89"/>
      <c r="EM170" s="91"/>
      <c r="EP170" s="89"/>
      <c r="ER170" s="91"/>
      <c r="EU170" s="89"/>
      <c r="EW170" s="91"/>
      <c r="EZ170" s="89"/>
      <c r="FB170" s="91"/>
      <c r="FE170" s="89"/>
      <c r="FG170" s="91"/>
      <c r="FJ170" s="89"/>
      <c r="FL170" s="91"/>
      <c r="FO170" s="89"/>
      <c r="FQ170" s="91"/>
      <c r="FT170" s="89"/>
      <c r="FV170" s="91"/>
      <c r="FY170" s="89"/>
      <c r="GA170" s="91"/>
      <c r="GD170" s="89"/>
      <c r="GF170" s="91"/>
      <c r="GI170" s="89"/>
      <c r="GK170" s="91"/>
      <c r="GN170" s="89"/>
      <c r="GP170" s="91"/>
      <c r="GS170" s="89"/>
      <c r="GU170" s="91"/>
      <c r="GX170" s="89"/>
      <c r="GZ170" s="91"/>
      <c r="HC170" s="89"/>
      <c r="HE170" s="91"/>
      <c r="HH170" s="89"/>
      <c r="HJ170" s="91"/>
      <c r="HM170" s="89"/>
      <c r="HO170" s="91"/>
      <c r="HR170" s="89"/>
      <c r="HT170" s="91"/>
      <c r="HW170" s="89"/>
      <c r="HY170" s="91"/>
      <c r="IB170" s="89"/>
      <c r="ID170" s="91"/>
      <c r="IG170" s="89"/>
      <c r="II170" s="91"/>
      <c r="IL170" s="89"/>
      <c r="IN170" s="91"/>
      <c r="IQ170" s="89"/>
      <c r="IS170" s="91"/>
      <c r="IV170" s="89"/>
      <c r="IX170" s="91"/>
      <c r="JA170" s="89"/>
      <c r="JC170" s="91"/>
      <c r="JF170" s="89"/>
      <c r="JH170" s="91"/>
      <c r="JK170" s="89"/>
      <c r="JM170" s="91"/>
      <c r="JP170" s="89"/>
      <c r="JR170" s="91"/>
      <c r="JU170" s="89"/>
      <c r="JW170" s="91"/>
      <c r="JZ170" s="89"/>
      <c r="KB170" s="91"/>
      <c r="KE170" s="89"/>
      <c r="KG170" s="91"/>
      <c r="KJ170" s="89"/>
      <c r="KL170" s="91"/>
      <c r="KO170" s="89"/>
      <c r="KQ170" s="91"/>
      <c r="KT170" s="89"/>
      <c r="KV170" s="91"/>
      <c r="KY170" s="89"/>
      <c r="LA170" s="91"/>
      <c r="LD170" s="89"/>
      <c r="LF170" s="91"/>
      <c r="LI170" s="89"/>
      <c r="LK170" s="91"/>
      <c r="LN170" s="89"/>
      <c r="LP170" s="91"/>
      <c r="LS170" s="89"/>
      <c r="LU170" s="91"/>
      <c r="LX170" s="89"/>
      <c r="LZ170" s="91"/>
      <c r="MC170" s="89"/>
      <c r="ME170" s="91"/>
      <c r="MH170" s="89"/>
      <c r="MJ170" s="91"/>
      <c r="MM170" s="89"/>
      <c r="MO170" s="91"/>
      <c r="MR170" s="89"/>
      <c r="MT170" s="91"/>
      <c r="MW170" s="89"/>
      <c r="MY170" s="91"/>
      <c r="NB170" s="89"/>
      <c r="ND170" s="91"/>
      <c r="NG170" s="89"/>
      <c r="NI170" s="91"/>
      <c r="NL170" s="89"/>
      <c r="NN170" s="91"/>
      <c r="NQ170" s="89"/>
      <c r="NS170" s="91"/>
      <c r="NV170" s="89"/>
      <c r="NX170" s="91"/>
      <c r="OA170" s="89"/>
      <c r="OC170" s="91"/>
      <c r="OF170" s="89"/>
      <c r="OH170" s="91"/>
      <c r="OK170" s="89"/>
      <c r="OM170" s="91"/>
      <c r="OP170" s="89"/>
      <c r="OR170" s="91"/>
      <c r="OU170" s="89"/>
      <c r="OW170" s="91"/>
      <c r="OZ170" s="89"/>
      <c r="PB170" s="91"/>
      <c r="PE170" s="89"/>
      <c r="PG170" s="91"/>
      <c r="PJ170" s="89"/>
      <c r="PL170" s="91"/>
      <c r="PO170" s="89"/>
      <c r="PQ170" s="91"/>
      <c r="PT170" s="89"/>
      <c r="PV170" s="91"/>
      <c r="PY170" s="89"/>
      <c r="QA170" s="91"/>
      <c r="QD170" s="89"/>
      <c r="QF170" s="91"/>
      <c r="QI170" s="89"/>
      <c r="QK170" s="91"/>
      <c r="QN170" s="89"/>
      <c r="QP170" s="91"/>
      <c r="QS170" s="89"/>
      <c r="QU170" s="91"/>
      <c r="QX170" s="89"/>
      <c r="QZ170" s="91"/>
      <c r="RC170" s="89"/>
      <c r="RE170" s="91"/>
      <c r="RH170" s="89"/>
      <c r="RJ170" s="91"/>
      <c r="RM170" s="89"/>
      <c r="RO170" s="91"/>
      <c r="RR170" s="89"/>
      <c r="RT170" s="91"/>
      <c r="RW170" s="89"/>
      <c r="RY170" s="91"/>
      <c r="SB170" s="89"/>
      <c r="SD170" s="91"/>
      <c r="SG170" s="89"/>
      <c r="SI170" s="91"/>
      <c r="SL170" s="89"/>
      <c r="SN170" s="91"/>
      <c r="SQ170" s="89"/>
      <c r="SS170" s="91"/>
      <c r="SV170" s="89"/>
      <c r="SX170" s="91"/>
      <c r="TA170" s="89"/>
      <c r="TC170" s="91"/>
      <c r="TF170" s="89"/>
      <c r="TH170" s="91"/>
      <c r="TK170" s="89"/>
      <c r="TM170" s="91"/>
      <c r="TP170" s="89"/>
      <c r="TR170" s="91"/>
      <c r="TU170" s="89"/>
      <c r="TW170" s="91"/>
      <c r="TZ170" s="89"/>
      <c r="UB170" s="91"/>
      <c r="UE170" s="89"/>
      <c r="UG170" s="91"/>
      <c r="UJ170" s="89"/>
      <c r="UL170" s="91"/>
      <c r="UO170" s="89"/>
      <c r="UQ170" s="91"/>
      <c r="UT170" s="89"/>
      <c r="UV170" s="91"/>
      <c r="UY170" s="89"/>
      <c r="VA170" s="91"/>
      <c r="VD170" s="89"/>
      <c r="VF170" s="91"/>
      <c r="VI170" s="89"/>
      <c r="VK170" s="91"/>
      <c r="VN170" s="89"/>
      <c r="VP170" s="91"/>
      <c r="VS170" s="89"/>
      <c r="VU170" s="91"/>
      <c r="VX170" s="89"/>
      <c r="VZ170" s="91"/>
      <c r="WC170" s="89"/>
      <c r="WE170" s="91"/>
      <c r="WH170" s="89"/>
      <c r="WJ170" s="91"/>
      <c r="WM170" s="89"/>
      <c r="WO170" s="91"/>
      <c r="WR170" s="89"/>
      <c r="WT170" s="91"/>
      <c r="WW170" s="89"/>
      <c r="WY170" s="91"/>
      <c r="XB170" s="89"/>
      <c r="XD170" s="91"/>
      <c r="XG170" s="89"/>
      <c r="XI170" s="91"/>
      <c r="XL170" s="89"/>
      <c r="XN170" s="91"/>
      <c r="XQ170" s="89"/>
      <c r="XS170" s="91"/>
      <c r="XV170" s="89"/>
      <c r="XX170" s="91"/>
      <c r="YA170" s="89"/>
      <c r="YC170" s="91"/>
      <c r="YF170" s="89"/>
      <c r="YH170" s="91"/>
      <c r="YK170" s="89"/>
      <c r="YM170" s="91"/>
      <c r="YP170" s="89"/>
      <c r="YR170" s="91"/>
      <c r="YU170" s="89"/>
      <c r="YW170" s="91"/>
      <c r="YZ170" s="89"/>
      <c r="ZB170" s="91"/>
      <c r="ZE170" s="89"/>
      <c r="ZG170" s="91"/>
      <c r="ZJ170" s="89"/>
      <c r="ZL170" s="91"/>
      <c r="ZO170" s="89"/>
      <c r="ZQ170" s="91"/>
      <c r="ZT170" s="89"/>
      <c r="ZV170" s="91"/>
      <c r="ZY170" s="89"/>
      <c r="AAA170" s="91"/>
      <c r="AAD170" s="89"/>
      <c r="AAF170" s="91"/>
      <c r="AAI170" s="89"/>
      <c r="AAK170" s="91"/>
      <c r="AAN170" s="89"/>
      <c r="AAP170" s="91"/>
      <c r="AAS170" s="89"/>
      <c r="AAU170" s="91"/>
      <c r="AAX170" s="89"/>
      <c r="AAZ170" s="91"/>
      <c r="ABC170" s="89"/>
      <c r="ABE170" s="91"/>
      <c r="ABH170" s="89"/>
      <c r="ABJ170" s="91"/>
      <c r="ABM170" s="89"/>
      <c r="ABO170" s="91"/>
      <c r="ABR170" s="89"/>
      <c r="ABT170" s="91"/>
      <c r="ABW170" s="89"/>
      <c r="ABY170" s="91"/>
      <c r="ACB170" s="89"/>
      <c r="ACD170" s="91"/>
      <c r="ACG170" s="89"/>
      <c r="ACI170" s="91"/>
      <c r="ACL170" s="89"/>
      <c r="ACN170" s="91"/>
      <c r="ACQ170" s="89"/>
      <c r="ACS170" s="91"/>
      <c r="ACV170" s="89"/>
      <c r="ACX170" s="91"/>
      <c r="ADA170" s="89"/>
      <c r="ADC170" s="91"/>
      <c r="ADF170" s="89"/>
      <c r="ADH170" s="91"/>
      <c r="ADK170" s="89"/>
      <c r="ADM170" s="91"/>
      <c r="ADP170" s="89"/>
      <c r="ADR170" s="91"/>
      <c r="ADU170" s="89"/>
      <c r="ADW170" s="91"/>
      <c r="ADZ170" s="89"/>
      <c r="AEB170" s="91"/>
      <c r="AEE170" s="89"/>
      <c r="AEG170" s="91"/>
      <c r="AEJ170" s="89"/>
      <c r="AEL170" s="91"/>
      <c r="AEO170" s="89"/>
      <c r="AEQ170" s="91"/>
      <c r="AET170" s="89"/>
      <c r="AEV170" s="91"/>
      <c r="AEY170" s="89"/>
      <c r="AFA170" s="91"/>
      <c r="AFD170" s="89"/>
      <c r="AFF170" s="91"/>
      <c r="AFI170" s="89"/>
      <c r="AFK170" s="91"/>
      <c r="AFN170" s="89"/>
      <c r="AFP170" s="91"/>
      <c r="AFS170" s="89"/>
      <c r="AFU170" s="91"/>
      <c r="AFX170" s="89"/>
      <c r="AFZ170" s="91"/>
      <c r="AGC170" s="89"/>
      <c r="AGE170" s="91"/>
      <c r="AGH170" s="89"/>
      <c r="AGJ170" s="91"/>
      <c r="AGM170" s="89"/>
      <c r="AGO170" s="91"/>
      <c r="AGR170" s="89"/>
      <c r="AGT170" s="91"/>
      <c r="AGW170" s="89"/>
      <c r="AGY170" s="91"/>
      <c r="AHB170" s="89"/>
      <c r="AHD170" s="91"/>
      <c r="AHG170" s="89"/>
      <c r="AHI170" s="91"/>
      <c r="AHL170" s="89"/>
      <c r="AHN170" s="91"/>
      <c r="AHQ170" s="89"/>
      <c r="AHS170" s="91"/>
      <c r="AHV170" s="89"/>
      <c r="AHX170" s="91"/>
      <c r="AIA170" s="89"/>
      <c r="AIC170" s="91"/>
      <c r="AIF170" s="89"/>
      <c r="AIH170" s="91"/>
      <c r="AIK170" s="89"/>
      <c r="AIM170" s="91"/>
      <c r="AIP170" s="89"/>
      <c r="AIR170" s="91"/>
      <c r="AIU170" s="89"/>
      <c r="AIW170" s="91"/>
      <c r="AIZ170" s="89"/>
      <c r="AJB170" s="91"/>
      <c r="AJE170" s="89"/>
      <c r="AJG170" s="91"/>
      <c r="AJJ170" s="89"/>
      <c r="AJL170" s="91"/>
      <c r="AJO170" s="89"/>
      <c r="AJQ170" s="91"/>
      <c r="AJT170" s="89"/>
      <c r="AJV170" s="91"/>
      <c r="AJY170" s="89"/>
      <c r="AKA170" s="91"/>
      <c r="AKD170" s="89"/>
      <c r="AKF170" s="91"/>
      <c r="AKI170" s="89"/>
      <c r="AKK170" s="91"/>
      <c r="AKN170" s="89"/>
      <c r="AKP170" s="91"/>
      <c r="AKS170" s="89"/>
      <c r="AKU170" s="91"/>
      <c r="AKX170" s="89"/>
      <c r="AKZ170" s="91"/>
      <c r="ALC170" s="89"/>
      <c r="ALE170" s="91"/>
      <c r="ALH170" s="89"/>
      <c r="ALJ170" s="91"/>
      <c r="ALM170" s="89"/>
      <c r="ALO170" s="91"/>
      <c r="ALR170" s="89"/>
      <c r="ALT170" s="91"/>
      <c r="ALW170" s="89"/>
      <c r="ALY170" s="91"/>
      <c r="AMB170" s="89"/>
      <c r="AMD170" s="91"/>
      <c r="AMG170" s="89"/>
      <c r="AMI170" s="91"/>
      <c r="AML170" s="89"/>
      <c r="AMN170" s="91"/>
      <c r="AMQ170" s="89"/>
      <c r="AMS170" s="91"/>
      <c r="AMV170" s="89"/>
      <c r="AMX170" s="91"/>
      <c r="ANA170" s="89"/>
      <c r="ANC170" s="91"/>
      <c r="ANF170" s="89"/>
      <c r="ANH170" s="91"/>
      <c r="ANK170" s="89"/>
      <c r="ANM170" s="91"/>
      <c r="ANP170" s="89"/>
      <c r="ANR170" s="91"/>
      <c r="ANU170" s="89"/>
      <c r="ANW170" s="91"/>
      <c r="ANZ170" s="89"/>
      <c r="AOB170" s="91"/>
      <c r="AOE170" s="89"/>
      <c r="AOG170" s="91"/>
      <c r="AOJ170" s="89"/>
      <c r="AOL170" s="91"/>
      <c r="AOO170" s="89"/>
      <c r="AOQ170" s="91"/>
      <c r="AOT170" s="89"/>
      <c r="AOV170" s="91"/>
      <c r="AOY170" s="89"/>
      <c r="APA170" s="91"/>
      <c r="APD170" s="89"/>
      <c r="APF170" s="91"/>
      <c r="API170" s="89"/>
      <c r="APK170" s="91"/>
      <c r="APN170" s="89"/>
      <c r="APP170" s="91"/>
      <c r="APS170" s="89"/>
      <c r="APU170" s="91"/>
      <c r="APX170" s="89"/>
      <c r="APZ170" s="91"/>
      <c r="AQC170" s="89"/>
      <c r="AQE170" s="91"/>
      <c r="AQH170" s="89"/>
      <c r="AQJ170" s="91"/>
      <c r="AQM170" s="89"/>
      <c r="AQO170" s="91"/>
      <c r="AQR170" s="89"/>
      <c r="AQT170" s="91"/>
      <c r="AQW170" s="89"/>
      <c r="AQY170" s="91"/>
      <c r="ARB170" s="89"/>
      <c r="ARD170" s="91"/>
      <c r="ARG170" s="89"/>
      <c r="ARI170" s="91"/>
      <c r="ARL170" s="89"/>
      <c r="ARN170" s="91"/>
      <c r="ARQ170" s="89"/>
      <c r="ARS170" s="91"/>
      <c r="ARV170" s="89"/>
      <c r="ARX170" s="91"/>
      <c r="ASA170" s="89"/>
      <c r="ASC170" s="91"/>
      <c r="ASF170" s="89"/>
      <c r="ASH170" s="91"/>
      <c r="ASK170" s="89"/>
      <c r="ASM170" s="91"/>
      <c r="ASP170" s="89"/>
      <c r="ASR170" s="91"/>
      <c r="ASU170" s="89"/>
      <c r="ASW170" s="91"/>
      <c r="ASZ170" s="89"/>
      <c r="ATB170" s="91"/>
      <c r="ATE170" s="89"/>
      <c r="ATG170" s="91"/>
      <c r="ATJ170" s="89"/>
      <c r="ATL170" s="91"/>
      <c r="ATO170" s="89"/>
      <c r="ATQ170" s="91"/>
      <c r="ATT170" s="89"/>
      <c r="ATV170" s="91"/>
      <c r="ATY170" s="89"/>
      <c r="AUA170" s="91"/>
      <c r="AUD170" s="89"/>
      <c r="AUF170" s="91"/>
      <c r="AUI170" s="89"/>
      <c r="AUK170" s="91"/>
      <c r="AUN170" s="89"/>
      <c r="AUP170" s="91"/>
      <c r="AUS170" s="89"/>
      <c r="AUU170" s="91"/>
      <c r="AUX170" s="89"/>
      <c r="AUZ170" s="91"/>
      <c r="AVC170" s="89"/>
      <c r="AVE170" s="91"/>
      <c r="AVH170" s="89"/>
      <c r="AVJ170" s="91"/>
      <c r="AVM170" s="89"/>
      <c r="AVO170" s="91"/>
      <c r="AVR170" s="89"/>
      <c r="AVT170" s="91"/>
      <c r="AVW170" s="89"/>
      <c r="AVY170" s="91"/>
      <c r="AWB170" s="89"/>
      <c r="AWD170" s="91"/>
      <c r="AWG170" s="89"/>
      <c r="AWI170" s="91"/>
      <c r="AWL170" s="89"/>
      <c r="AWN170" s="91"/>
      <c r="AWQ170" s="89"/>
      <c r="AWS170" s="91"/>
      <c r="AWV170" s="89"/>
      <c r="AWX170" s="91"/>
      <c r="AXA170" s="89"/>
      <c r="AXC170" s="91"/>
      <c r="AXF170" s="89"/>
      <c r="AXH170" s="91"/>
      <c r="AXK170" s="89"/>
      <c r="AXM170" s="91"/>
      <c r="AXP170" s="89"/>
      <c r="AXR170" s="91"/>
      <c r="AXU170" s="89"/>
      <c r="AXW170" s="91"/>
      <c r="AXZ170" s="89"/>
      <c r="AYB170" s="91"/>
      <c r="AYE170" s="89"/>
      <c r="AYG170" s="91"/>
      <c r="AYJ170" s="89"/>
      <c r="AYL170" s="91"/>
      <c r="AYO170" s="89"/>
      <c r="AYQ170" s="91"/>
      <c r="AYT170" s="89"/>
      <c r="AYV170" s="91"/>
      <c r="AYY170" s="89"/>
      <c r="AZA170" s="91"/>
      <c r="AZD170" s="89"/>
      <c r="AZF170" s="91"/>
      <c r="AZI170" s="89"/>
      <c r="AZK170" s="91"/>
      <c r="AZN170" s="89"/>
      <c r="AZP170" s="91"/>
      <c r="AZS170" s="89"/>
      <c r="AZU170" s="91"/>
      <c r="AZX170" s="89"/>
      <c r="AZZ170" s="91"/>
      <c r="BAC170" s="89"/>
      <c r="BAE170" s="91"/>
      <c r="BAH170" s="89"/>
      <c r="BAJ170" s="91"/>
      <c r="BAM170" s="89"/>
      <c r="BAO170" s="91"/>
      <c r="BAR170" s="89"/>
      <c r="BAT170" s="91"/>
      <c r="BAW170" s="89"/>
      <c r="BAY170" s="91"/>
      <c r="BBB170" s="89"/>
      <c r="BBD170" s="91"/>
      <c r="BBG170" s="89"/>
      <c r="BBI170" s="91"/>
      <c r="BBL170" s="89"/>
      <c r="BBN170" s="91"/>
      <c r="BBQ170" s="89"/>
      <c r="BBS170" s="91"/>
      <c r="BBV170" s="89"/>
      <c r="BBX170" s="91"/>
      <c r="BCA170" s="89"/>
      <c r="BCC170" s="91"/>
      <c r="BCF170" s="89"/>
      <c r="BCH170" s="91"/>
      <c r="BCK170" s="89"/>
      <c r="BCM170" s="91"/>
      <c r="BCP170" s="89"/>
      <c r="BCR170" s="91"/>
      <c r="BCU170" s="89"/>
      <c r="BCW170" s="91"/>
      <c r="BCZ170" s="89"/>
      <c r="BDB170" s="91"/>
      <c r="BDE170" s="89"/>
      <c r="BDG170" s="91"/>
      <c r="BDJ170" s="89"/>
      <c r="BDL170" s="91"/>
      <c r="BDO170" s="89"/>
      <c r="BDQ170" s="91"/>
      <c r="BDT170" s="89"/>
      <c r="BDV170" s="91"/>
      <c r="BDY170" s="89"/>
      <c r="BEA170" s="91"/>
      <c r="BED170" s="89"/>
      <c r="BEF170" s="91"/>
      <c r="BEI170" s="89"/>
      <c r="BEK170" s="91"/>
      <c r="BEN170" s="89"/>
      <c r="BEP170" s="91"/>
      <c r="BES170" s="89"/>
      <c r="BEU170" s="91"/>
      <c r="BEX170" s="89"/>
      <c r="BEZ170" s="91"/>
      <c r="BFC170" s="89"/>
      <c r="BFE170" s="91"/>
      <c r="BFH170" s="89"/>
      <c r="BFJ170" s="91"/>
      <c r="BFM170" s="89"/>
      <c r="BFO170" s="91"/>
      <c r="BFR170" s="89"/>
      <c r="BFT170" s="91"/>
      <c r="BFW170" s="89"/>
      <c r="BFY170" s="91"/>
      <c r="BGB170" s="89"/>
      <c r="BGD170" s="91"/>
      <c r="BGG170" s="89"/>
      <c r="BGI170" s="91"/>
      <c r="BGL170" s="89"/>
      <c r="BGN170" s="91"/>
      <c r="BGQ170" s="89"/>
      <c r="BGS170" s="91"/>
      <c r="BGV170" s="89"/>
      <c r="BGX170" s="91"/>
      <c r="BHA170" s="89"/>
      <c r="BHC170" s="91"/>
      <c r="BHF170" s="89"/>
      <c r="BHH170" s="91"/>
      <c r="BHK170" s="89"/>
      <c r="BHM170" s="91"/>
      <c r="BHP170" s="89"/>
      <c r="BHR170" s="91"/>
      <c r="BHU170" s="89"/>
      <c r="BHW170" s="91"/>
      <c r="BHZ170" s="89"/>
      <c r="BIB170" s="91"/>
      <c r="BIE170" s="89"/>
      <c r="BIG170" s="91"/>
      <c r="BIJ170" s="89"/>
      <c r="BIL170" s="91"/>
      <c r="BIO170" s="89"/>
      <c r="BIQ170" s="91"/>
      <c r="BIT170" s="89"/>
      <c r="BIV170" s="91"/>
      <c r="BIY170" s="89"/>
      <c r="BJA170" s="91"/>
      <c r="BJD170" s="89"/>
      <c r="BJF170" s="91"/>
      <c r="BJI170" s="89"/>
      <c r="BJK170" s="91"/>
      <c r="BJN170" s="89"/>
      <c r="BJP170" s="91"/>
      <c r="BJS170" s="89"/>
      <c r="BJU170" s="91"/>
      <c r="BJX170" s="89"/>
      <c r="BJZ170" s="91"/>
      <c r="BKC170" s="89"/>
      <c r="BKE170" s="91"/>
      <c r="BKH170" s="89"/>
      <c r="BKJ170" s="91"/>
      <c r="BKM170" s="89"/>
      <c r="BKO170" s="91"/>
      <c r="BKR170" s="89"/>
      <c r="BKT170" s="91"/>
      <c r="BKW170" s="89"/>
      <c r="BKY170" s="91"/>
      <c r="BLB170" s="89"/>
      <c r="BLD170" s="91"/>
      <c r="BLG170" s="89"/>
      <c r="BLI170" s="91"/>
      <c r="BLL170" s="89"/>
      <c r="BLN170" s="91"/>
      <c r="BLQ170" s="89"/>
      <c r="BLS170" s="91"/>
      <c r="BLV170" s="89"/>
      <c r="BLX170" s="91"/>
      <c r="BMA170" s="89"/>
      <c r="BMC170" s="91"/>
      <c r="BMF170" s="89"/>
      <c r="BMH170" s="91"/>
      <c r="BMK170" s="89"/>
      <c r="BMM170" s="91"/>
      <c r="BMP170" s="89"/>
      <c r="BMR170" s="91"/>
      <c r="BMU170" s="89"/>
      <c r="BMW170" s="91"/>
      <c r="BMZ170" s="89"/>
      <c r="BNB170" s="91"/>
      <c r="BNE170" s="89"/>
      <c r="BNG170" s="91"/>
      <c r="BNJ170" s="89"/>
      <c r="BNL170" s="91"/>
      <c r="BNO170" s="89"/>
      <c r="BNQ170" s="91"/>
      <c r="BNT170" s="89"/>
      <c r="BNV170" s="91"/>
      <c r="BNY170" s="89"/>
      <c r="BOA170" s="91"/>
      <c r="BOD170" s="89"/>
      <c r="BOF170" s="91"/>
      <c r="BOI170" s="89"/>
      <c r="BOK170" s="91"/>
      <c r="BON170" s="89"/>
      <c r="BOP170" s="91"/>
      <c r="BOS170" s="89"/>
      <c r="BOU170" s="91"/>
      <c r="BOX170" s="89"/>
      <c r="BOZ170" s="91"/>
      <c r="BPC170" s="89"/>
      <c r="BPE170" s="91"/>
      <c r="BPH170" s="89"/>
      <c r="BPJ170" s="91"/>
      <c r="BPM170" s="89"/>
      <c r="BPO170" s="91"/>
      <c r="BPR170" s="89"/>
      <c r="BPT170" s="91"/>
      <c r="BPW170" s="89"/>
      <c r="BPY170" s="91"/>
      <c r="BQB170" s="89"/>
      <c r="BQD170" s="91"/>
      <c r="BQG170" s="89"/>
      <c r="BQI170" s="91"/>
      <c r="BQL170" s="89"/>
      <c r="BQN170" s="91"/>
      <c r="BQQ170" s="89"/>
      <c r="BQS170" s="91"/>
      <c r="BQV170" s="89"/>
      <c r="BQX170" s="91"/>
      <c r="BRA170" s="89"/>
      <c r="BRC170" s="91"/>
      <c r="BRF170" s="89"/>
      <c r="BRH170" s="91"/>
      <c r="BRK170" s="89"/>
      <c r="BRM170" s="91"/>
      <c r="BRP170" s="89"/>
      <c r="BRR170" s="91"/>
      <c r="BRU170" s="89"/>
      <c r="BRW170" s="91"/>
      <c r="BRZ170" s="89"/>
      <c r="BSB170" s="91"/>
      <c r="BSE170" s="89"/>
      <c r="BSG170" s="91"/>
      <c r="BSJ170" s="89"/>
      <c r="BSL170" s="91"/>
      <c r="BSO170" s="89"/>
      <c r="BSQ170" s="91"/>
      <c r="BST170" s="89"/>
      <c r="BSV170" s="91"/>
      <c r="BSY170" s="89"/>
      <c r="BTA170" s="91"/>
      <c r="BTD170" s="89"/>
      <c r="BTF170" s="91"/>
      <c r="BTI170" s="89"/>
      <c r="BTK170" s="91"/>
      <c r="BTN170" s="89"/>
      <c r="BTP170" s="91"/>
      <c r="BTS170" s="89"/>
      <c r="BTU170" s="91"/>
      <c r="BTX170" s="89"/>
      <c r="BTZ170" s="91"/>
      <c r="BUC170" s="89"/>
      <c r="BUE170" s="91"/>
      <c r="BUH170" s="89"/>
      <c r="BUJ170" s="91"/>
      <c r="BUM170" s="89"/>
      <c r="BUO170" s="91"/>
      <c r="BUR170" s="89"/>
      <c r="BUT170" s="91"/>
      <c r="BUW170" s="89"/>
      <c r="BUY170" s="91"/>
      <c r="BVB170" s="89"/>
      <c r="BVD170" s="91"/>
      <c r="BVG170" s="89"/>
      <c r="BVI170" s="91"/>
      <c r="BVL170" s="89"/>
      <c r="BVN170" s="91"/>
      <c r="BVQ170" s="89"/>
      <c r="BVS170" s="91"/>
      <c r="BVV170" s="89"/>
      <c r="BVX170" s="91"/>
      <c r="BWA170" s="89"/>
      <c r="BWC170" s="91"/>
      <c r="BWF170" s="89"/>
      <c r="BWH170" s="91"/>
      <c r="BWK170" s="89"/>
      <c r="BWM170" s="91"/>
      <c r="BWP170" s="89"/>
      <c r="BWR170" s="91"/>
      <c r="BWU170" s="89"/>
      <c r="BWW170" s="91"/>
      <c r="BWZ170" s="89"/>
      <c r="BXB170" s="91"/>
      <c r="BXE170" s="89"/>
      <c r="BXG170" s="91"/>
      <c r="BXJ170" s="89"/>
      <c r="BXL170" s="91"/>
      <c r="BXO170" s="89"/>
      <c r="BXQ170" s="91"/>
      <c r="BXT170" s="89"/>
      <c r="BXV170" s="91"/>
      <c r="BXY170" s="89"/>
      <c r="BYA170" s="91"/>
      <c r="BYD170" s="89"/>
      <c r="BYF170" s="91"/>
      <c r="BYI170" s="89"/>
      <c r="BYK170" s="91"/>
      <c r="BYN170" s="89"/>
      <c r="BYP170" s="91"/>
      <c r="BYS170" s="89"/>
      <c r="BYU170" s="91"/>
      <c r="BYX170" s="89"/>
      <c r="BYZ170" s="91"/>
      <c r="BZC170" s="89"/>
      <c r="BZE170" s="91"/>
      <c r="BZH170" s="89"/>
      <c r="BZJ170" s="91"/>
      <c r="BZM170" s="89"/>
      <c r="BZO170" s="91"/>
      <c r="BZR170" s="89"/>
      <c r="BZT170" s="91"/>
      <c r="BZW170" s="89"/>
      <c r="BZY170" s="91"/>
      <c r="CAB170" s="89"/>
      <c r="CAD170" s="91"/>
      <c r="CAG170" s="89"/>
      <c r="CAI170" s="91"/>
      <c r="CAL170" s="89"/>
      <c r="CAN170" s="91"/>
      <c r="CAQ170" s="89"/>
      <c r="CAS170" s="91"/>
      <c r="CAV170" s="89"/>
      <c r="CAX170" s="91"/>
      <c r="CBA170" s="89"/>
      <c r="CBC170" s="91"/>
      <c r="CBF170" s="89"/>
      <c r="CBH170" s="91"/>
      <c r="CBK170" s="89"/>
      <c r="CBM170" s="91"/>
      <c r="CBP170" s="89"/>
      <c r="CBR170" s="91"/>
      <c r="CBU170" s="89"/>
      <c r="CBW170" s="91"/>
      <c r="CBZ170" s="89"/>
      <c r="CCB170" s="91"/>
      <c r="CCE170" s="89"/>
      <c r="CCG170" s="91"/>
      <c r="CCJ170" s="89"/>
      <c r="CCL170" s="91"/>
      <c r="CCO170" s="89"/>
      <c r="CCQ170" s="91"/>
      <c r="CCT170" s="89"/>
      <c r="CCV170" s="91"/>
      <c r="CCY170" s="89"/>
      <c r="CDA170" s="91"/>
      <c r="CDD170" s="89"/>
      <c r="CDF170" s="91"/>
      <c r="CDI170" s="89"/>
      <c r="CDK170" s="91"/>
      <c r="CDN170" s="89"/>
      <c r="CDP170" s="91"/>
      <c r="CDS170" s="89"/>
      <c r="CDU170" s="91"/>
      <c r="CDX170" s="89"/>
      <c r="CDZ170" s="91"/>
      <c r="CEC170" s="89"/>
      <c r="CEE170" s="91"/>
      <c r="CEH170" s="89"/>
      <c r="CEJ170" s="91"/>
      <c r="CEM170" s="89"/>
      <c r="CEO170" s="91"/>
      <c r="CER170" s="89"/>
      <c r="CET170" s="91"/>
      <c r="CEW170" s="89"/>
      <c r="CEY170" s="91"/>
      <c r="CFB170" s="89"/>
      <c r="CFD170" s="91"/>
      <c r="CFG170" s="89"/>
      <c r="CFI170" s="91"/>
      <c r="CFL170" s="89"/>
      <c r="CFN170" s="91"/>
      <c r="CFQ170" s="89"/>
      <c r="CFS170" s="91"/>
      <c r="CFV170" s="89"/>
      <c r="CFX170" s="91"/>
      <c r="CGA170" s="89"/>
      <c r="CGC170" s="91"/>
      <c r="CGF170" s="89"/>
      <c r="CGH170" s="91"/>
      <c r="CGK170" s="89"/>
      <c r="CGM170" s="91"/>
      <c r="CGP170" s="89"/>
      <c r="CGR170" s="91"/>
      <c r="CGU170" s="89"/>
      <c r="CGW170" s="91"/>
      <c r="CGZ170" s="89"/>
      <c r="CHB170" s="91"/>
      <c r="CHE170" s="89"/>
      <c r="CHG170" s="91"/>
      <c r="CHJ170" s="89"/>
      <c r="CHL170" s="91"/>
      <c r="CHO170" s="89"/>
      <c r="CHQ170" s="91"/>
      <c r="CHT170" s="89"/>
      <c r="CHV170" s="91"/>
      <c r="CHY170" s="89"/>
      <c r="CIA170" s="91"/>
      <c r="CID170" s="89"/>
      <c r="CIF170" s="91"/>
      <c r="CII170" s="89"/>
      <c r="CIK170" s="91"/>
      <c r="CIN170" s="89"/>
      <c r="CIP170" s="91"/>
      <c r="CIS170" s="89"/>
      <c r="CIU170" s="91"/>
      <c r="CIX170" s="89"/>
      <c r="CIZ170" s="91"/>
      <c r="CJC170" s="89"/>
      <c r="CJE170" s="91"/>
      <c r="CJH170" s="89"/>
      <c r="CJJ170" s="91"/>
      <c r="CJM170" s="89"/>
      <c r="CJO170" s="91"/>
      <c r="CJR170" s="89"/>
      <c r="CJT170" s="91"/>
      <c r="CJW170" s="89"/>
      <c r="CJY170" s="91"/>
      <c r="CKB170" s="89"/>
      <c r="CKD170" s="91"/>
      <c r="CKG170" s="89"/>
      <c r="CKI170" s="91"/>
      <c r="CKL170" s="89"/>
      <c r="CKN170" s="91"/>
      <c r="CKQ170" s="89"/>
      <c r="CKS170" s="91"/>
      <c r="CKV170" s="89"/>
      <c r="CKX170" s="91"/>
      <c r="CLA170" s="89"/>
      <c r="CLC170" s="91"/>
      <c r="CLF170" s="89"/>
      <c r="CLH170" s="91"/>
      <c r="CLK170" s="89"/>
      <c r="CLM170" s="91"/>
      <c r="CLP170" s="89"/>
      <c r="CLR170" s="91"/>
      <c r="CLU170" s="89"/>
      <c r="CLW170" s="91"/>
      <c r="CLZ170" s="89"/>
      <c r="CMB170" s="91"/>
      <c r="CME170" s="89"/>
      <c r="CMG170" s="91"/>
      <c r="CMJ170" s="89"/>
      <c r="CML170" s="91"/>
      <c r="CMO170" s="89"/>
      <c r="CMQ170" s="91"/>
      <c r="CMT170" s="89"/>
      <c r="CMV170" s="91"/>
      <c r="CMY170" s="89"/>
      <c r="CNA170" s="91"/>
      <c r="CND170" s="89"/>
      <c r="CNF170" s="91"/>
      <c r="CNI170" s="89"/>
      <c r="CNK170" s="91"/>
      <c r="CNN170" s="89"/>
      <c r="CNP170" s="91"/>
      <c r="CNS170" s="89"/>
      <c r="CNU170" s="91"/>
      <c r="CNX170" s="89"/>
      <c r="CNZ170" s="91"/>
      <c r="COC170" s="89"/>
      <c r="COE170" s="91"/>
      <c r="COH170" s="89"/>
      <c r="COJ170" s="91"/>
      <c r="COM170" s="89"/>
      <c r="COO170" s="91"/>
      <c r="COR170" s="89"/>
      <c r="COT170" s="91"/>
      <c r="COW170" s="89"/>
      <c r="COY170" s="91"/>
      <c r="CPB170" s="89"/>
      <c r="CPD170" s="91"/>
      <c r="CPG170" s="89"/>
      <c r="CPI170" s="91"/>
      <c r="CPL170" s="89"/>
      <c r="CPN170" s="91"/>
      <c r="CPQ170" s="89"/>
      <c r="CPS170" s="91"/>
      <c r="CPV170" s="89"/>
      <c r="CPX170" s="91"/>
      <c r="CQA170" s="89"/>
      <c r="CQC170" s="91"/>
      <c r="CQF170" s="89"/>
      <c r="CQH170" s="91"/>
      <c r="CQK170" s="89"/>
      <c r="CQM170" s="91"/>
      <c r="CQP170" s="89"/>
      <c r="CQR170" s="91"/>
      <c r="CQU170" s="89"/>
      <c r="CQW170" s="91"/>
      <c r="CQZ170" s="89"/>
      <c r="CRB170" s="91"/>
      <c r="CRE170" s="89"/>
      <c r="CRG170" s="91"/>
      <c r="CRJ170" s="89"/>
      <c r="CRL170" s="91"/>
      <c r="CRO170" s="89"/>
      <c r="CRQ170" s="91"/>
      <c r="CRT170" s="89"/>
      <c r="CRV170" s="91"/>
      <c r="CRY170" s="89"/>
      <c r="CSA170" s="91"/>
      <c r="CSD170" s="89"/>
      <c r="CSF170" s="91"/>
      <c r="CSI170" s="89"/>
      <c r="CSK170" s="91"/>
      <c r="CSN170" s="89"/>
      <c r="CSP170" s="91"/>
      <c r="CSS170" s="89"/>
      <c r="CSU170" s="91"/>
      <c r="CSX170" s="89"/>
      <c r="CSZ170" s="91"/>
      <c r="CTC170" s="89"/>
      <c r="CTE170" s="91"/>
      <c r="CTH170" s="89"/>
      <c r="CTJ170" s="91"/>
      <c r="CTM170" s="89"/>
      <c r="CTO170" s="91"/>
      <c r="CTR170" s="89"/>
      <c r="CTT170" s="91"/>
      <c r="CTW170" s="89"/>
      <c r="CTY170" s="91"/>
      <c r="CUB170" s="89"/>
      <c r="CUD170" s="91"/>
      <c r="CUG170" s="89"/>
      <c r="CUI170" s="91"/>
      <c r="CUL170" s="89"/>
      <c r="CUN170" s="91"/>
      <c r="CUQ170" s="89"/>
      <c r="CUS170" s="91"/>
      <c r="CUV170" s="89"/>
      <c r="CUX170" s="91"/>
      <c r="CVA170" s="89"/>
      <c r="CVC170" s="91"/>
      <c r="CVF170" s="89"/>
      <c r="CVH170" s="91"/>
      <c r="CVK170" s="89"/>
      <c r="CVM170" s="91"/>
      <c r="CVP170" s="89"/>
      <c r="CVR170" s="91"/>
      <c r="CVU170" s="89"/>
      <c r="CVW170" s="91"/>
      <c r="CVZ170" s="89"/>
      <c r="CWB170" s="91"/>
      <c r="CWE170" s="89"/>
      <c r="CWG170" s="91"/>
      <c r="CWJ170" s="89"/>
      <c r="CWL170" s="91"/>
      <c r="CWO170" s="89"/>
      <c r="CWQ170" s="91"/>
      <c r="CWT170" s="89"/>
      <c r="CWV170" s="91"/>
      <c r="CWY170" s="89"/>
      <c r="CXA170" s="91"/>
      <c r="CXD170" s="89"/>
      <c r="CXF170" s="91"/>
      <c r="CXI170" s="89"/>
      <c r="CXK170" s="91"/>
      <c r="CXN170" s="89"/>
      <c r="CXP170" s="91"/>
      <c r="CXS170" s="89"/>
      <c r="CXU170" s="91"/>
      <c r="CXX170" s="89"/>
      <c r="CXZ170" s="91"/>
      <c r="CYC170" s="89"/>
      <c r="CYE170" s="91"/>
      <c r="CYH170" s="89"/>
      <c r="CYJ170" s="91"/>
      <c r="CYM170" s="89"/>
      <c r="CYO170" s="91"/>
      <c r="CYR170" s="89"/>
      <c r="CYT170" s="91"/>
      <c r="CYW170" s="89"/>
      <c r="CYY170" s="91"/>
      <c r="CZB170" s="89"/>
      <c r="CZD170" s="91"/>
      <c r="CZG170" s="89"/>
      <c r="CZI170" s="91"/>
      <c r="CZL170" s="89"/>
      <c r="CZN170" s="91"/>
      <c r="CZQ170" s="89"/>
      <c r="CZS170" s="91"/>
      <c r="CZV170" s="89"/>
      <c r="CZX170" s="91"/>
      <c r="DAA170" s="89"/>
      <c r="DAC170" s="91"/>
      <c r="DAF170" s="89"/>
      <c r="DAH170" s="91"/>
      <c r="DAK170" s="89"/>
      <c r="DAM170" s="91"/>
      <c r="DAP170" s="89"/>
      <c r="DAR170" s="91"/>
      <c r="DAU170" s="89"/>
      <c r="DAW170" s="91"/>
      <c r="DAZ170" s="89"/>
      <c r="DBB170" s="91"/>
      <c r="DBE170" s="89"/>
      <c r="DBG170" s="91"/>
      <c r="DBJ170" s="89"/>
      <c r="DBL170" s="91"/>
      <c r="DBO170" s="89"/>
      <c r="DBQ170" s="91"/>
      <c r="DBT170" s="89"/>
      <c r="DBV170" s="91"/>
      <c r="DBY170" s="89"/>
      <c r="DCA170" s="91"/>
      <c r="DCD170" s="89"/>
      <c r="DCF170" s="91"/>
      <c r="DCI170" s="89"/>
      <c r="DCK170" s="91"/>
      <c r="DCN170" s="89"/>
      <c r="DCP170" s="91"/>
      <c r="DCS170" s="89"/>
      <c r="DCU170" s="91"/>
      <c r="DCX170" s="89"/>
      <c r="DCZ170" s="91"/>
      <c r="DDC170" s="89"/>
      <c r="DDE170" s="91"/>
      <c r="DDH170" s="89"/>
      <c r="DDJ170" s="91"/>
      <c r="DDM170" s="89"/>
      <c r="DDO170" s="91"/>
      <c r="DDR170" s="89"/>
      <c r="DDT170" s="91"/>
      <c r="DDW170" s="89"/>
      <c r="DDY170" s="91"/>
      <c r="DEB170" s="89"/>
      <c r="DED170" s="91"/>
      <c r="DEG170" s="89"/>
      <c r="DEI170" s="91"/>
      <c r="DEL170" s="89"/>
      <c r="DEN170" s="91"/>
      <c r="DEQ170" s="89"/>
      <c r="DES170" s="91"/>
      <c r="DEV170" s="89"/>
      <c r="DEX170" s="91"/>
      <c r="DFA170" s="89"/>
      <c r="DFC170" s="91"/>
      <c r="DFF170" s="89"/>
      <c r="DFH170" s="91"/>
      <c r="DFK170" s="89"/>
      <c r="DFM170" s="91"/>
      <c r="DFP170" s="89"/>
      <c r="DFR170" s="91"/>
      <c r="DFU170" s="89"/>
      <c r="DFW170" s="91"/>
      <c r="DFZ170" s="89"/>
      <c r="DGB170" s="91"/>
      <c r="DGE170" s="89"/>
      <c r="DGG170" s="91"/>
      <c r="DGJ170" s="89"/>
      <c r="DGL170" s="91"/>
      <c r="DGO170" s="89"/>
      <c r="DGQ170" s="91"/>
      <c r="DGT170" s="89"/>
      <c r="DGV170" s="91"/>
      <c r="DGY170" s="89"/>
      <c r="DHA170" s="91"/>
      <c r="DHD170" s="89"/>
      <c r="DHF170" s="91"/>
      <c r="DHI170" s="89"/>
      <c r="DHK170" s="91"/>
      <c r="DHN170" s="89"/>
      <c r="DHP170" s="91"/>
      <c r="DHS170" s="89"/>
      <c r="DHU170" s="91"/>
      <c r="DHX170" s="89"/>
      <c r="DHZ170" s="91"/>
      <c r="DIC170" s="89"/>
      <c r="DIE170" s="91"/>
      <c r="DIH170" s="89"/>
      <c r="DIJ170" s="91"/>
      <c r="DIM170" s="89"/>
      <c r="DIO170" s="91"/>
      <c r="DIR170" s="89"/>
      <c r="DIT170" s="91"/>
      <c r="DIW170" s="89"/>
      <c r="DIY170" s="91"/>
      <c r="DJB170" s="89"/>
      <c r="DJD170" s="91"/>
      <c r="DJG170" s="89"/>
      <c r="DJI170" s="91"/>
      <c r="DJL170" s="89"/>
      <c r="DJN170" s="91"/>
      <c r="DJQ170" s="89"/>
      <c r="DJS170" s="91"/>
      <c r="DJV170" s="89"/>
      <c r="DJX170" s="91"/>
      <c r="DKA170" s="89"/>
      <c r="DKC170" s="91"/>
      <c r="DKF170" s="89"/>
      <c r="DKH170" s="91"/>
      <c r="DKK170" s="89"/>
      <c r="DKM170" s="91"/>
      <c r="DKP170" s="89"/>
      <c r="DKR170" s="91"/>
      <c r="DKU170" s="89"/>
      <c r="DKW170" s="91"/>
      <c r="DKZ170" s="89"/>
      <c r="DLB170" s="91"/>
      <c r="DLE170" s="89"/>
      <c r="DLG170" s="91"/>
      <c r="DLJ170" s="89"/>
      <c r="DLL170" s="91"/>
      <c r="DLO170" s="89"/>
      <c r="DLQ170" s="91"/>
      <c r="DLT170" s="89"/>
      <c r="DLV170" s="91"/>
      <c r="DLY170" s="89"/>
      <c r="DMA170" s="91"/>
      <c r="DMD170" s="89"/>
      <c r="DMF170" s="91"/>
      <c r="DMI170" s="89"/>
      <c r="DMK170" s="91"/>
      <c r="DMN170" s="89"/>
      <c r="DMP170" s="91"/>
      <c r="DMS170" s="89"/>
      <c r="DMU170" s="91"/>
      <c r="DMX170" s="89"/>
      <c r="DMZ170" s="91"/>
      <c r="DNC170" s="89"/>
      <c r="DNE170" s="91"/>
      <c r="DNH170" s="89"/>
      <c r="DNJ170" s="91"/>
      <c r="DNM170" s="89"/>
      <c r="DNO170" s="91"/>
      <c r="DNR170" s="89"/>
      <c r="DNT170" s="91"/>
      <c r="DNW170" s="89"/>
      <c r="DNY170" s="91"/>
      <c r="DOB170" s="89"/>
      <c r="DOD170" s="91"/>
      <c r="DOG170" s="89"/>
      <c r="DOI170" s="91"/>
      <c r="DOL170" s="89"/>
      <c r="DON170" s="91"/>
      <c r="DOQ170" s="89"/>
      <c r="DOS170" s="91"/>
      <c r="DOV170" s="89"/>
      <c r="DOX170" s="91"/>
      <c r="DPA170" s="89"/>
      <c r="DPC170" s="91"/>
      <c r="DPF170" s="89"/>
      <c r="DPH170" s="91"/>
      <c r="DPK170" s="89"/>
      <c r="DPM170" s="91"/>
      <c r="DPP170" s="89"/>
      <c r="DPR170" s="91"/>
      <c r="DPU170" s="89"/>
      <c r="DPW170" s="91"/>
      <c r="DPZ170" s="89"/>
      <c r="DQB170" s="91"/>
      <c r="DQE170" s="89"/>
      <c r="DQG170" s="91"/>
      <c r="DQJ170" s="89"/>
      <c r="DQL170" s="91"/>
      <c r="DQO170" s="89"/>
      <c r="DQQ170" s="91"/>
      <c r="DQT170" s="89"/>
      <c r="DQV170" s="91"/>
      <c r="DQY170" s="89"/>
      <c r="DRA170" s="91"/>
      <c r="DRD170" s="89"/>
      <c r="DRF170" s="91"/>
      <c r="DRI170" s="89"/>
      <c r="DRK170" s="91"/>
      <c r="DRN170" s="89"/>
      <c r="DRP170" s="91"/>
      <c r="DRS170" s="89"/>
      <c r="DRU170" s="91"/>
      <c r="DRX170" s="89"/>
      <c r="DRZ170" s="91"/>
      <c r="DSC170" s="89"/>
      <c r="DSE170" s="91"/>
      <c r="DSH170" s="89"/>
      <c r="DSJ170" s="91"/>
      <c r="DSM170" s="89"/>
      <c r="DSO170" s="91"/>
      <c r="DSR170" s="89"/>
      <c r="DST170" s="91"/>
      <c r="DSW170" s="89"/>
      <c r="DSY170" s="91"/>
      <c r="DTB170" s="89"/>
      <c r="DTD170" s="91"/>
      <c r="DTG170" s="89"/>
      <c r="DTI170" s="91"/>
      <c r="DTL170" s="89"/>
      <c r="DTN170" s="91"/>
      <c r="DTQ170" s="89"/>
      <c r="DTS170" s="91"/>
      <c r="DTV170" s="89"/>
      <c r="DTX170" s="91"/>
      <c r="DUA170" s="89"/>
      <c r="DUC170" s="91"/>
      <c r="DUF170" s="89"/>
      <c r="DUH170" s="91"/>
      <c r="DUK170" s="89"/>
      <c r="DUM170" s="91"/>
      <c r="DUP170" s="89"/>
      <c r="DUR170" s="91"/>
      <c r="DUU170" s="89"/>
      <c r="DUW170" s="91"/>
      <c r="DUZ170" s="89"/>
      <c r="DVB170" s="91"/>
      <c r="DVE170" s="89"/>
      <c r="DVG170" s="91"/>
      <c r="DVJ170" s="89"/>
      <c r="DVL170" s="91"/>
      <c r="DVO170" s="89"/>
      <c r="DVQ170" s="91"/>
      <c r="DVT170" s="89"/>
      <c r="DVV170" s="91"/>
      <c r="DVY170" s="89"/>
      <c r="DWA170" s="91"/>
      <c r="DWD170" s="89"/>
      <c r="DWF170" s="91"/>
      <c r="DWI170" s="89"/>
      <c r="DWK170" s="91"/>
      <c r="DWN170" s="89"/>
      <c r="DWP170" s="91"/>
      <c r="DWS170" s="89"/>
      <c r="DWU170" s="91"/>
      <c r="DWX170" s="89"/>
      <c r="DWZ170" s="91"/>
      <c r="DXC170" s="89"/>
      <c r="DXE170" s="91"/>
      <c r="DXH170" s="89"/>
      <c r="DXJ170" s="91"/>
      <c r="DXM170" s="89"/>
      <c r="DXO170" s="91"/>
      <c r="DXR170" s="89"/>
      <c r="DXT170" s="91"/>
      <c r="DXW170" s="89"/>
      <c r="DXY170" s="91"/>
      <c r="DYB170" s="89"/>
      <c r="DYD170" s="91"/>
      <c r="DYG170" s="89"/>
      <c r="DYI170" s="91"/>
      <c r="DYL170" s="89"/>
      <c r="DYN170" s="91"/>
      <c r="DYQ170" s="89"/>
      <c r="DYS170" s="91"/>
      <c r="DYV170" s="89"/>
      <c r="DYX170" s="91"/>
      <c r="DZA170" s="89"/>
      <c r="DZC170" s="91"/>
      <c r="DZF170" s="89"/>
      <c r="DZH170" s="91"/>
      <c r="DZK170" s="89"/>
      <c r="DZM170" s="91"/>
      <c r="DZP170" s="89"/>
      <c r="DZR170" s="91"/>
      <c r="DZU170" s="89"/>
      <c r="DZW170" s="91"/>
      <c r="DZZ170" s="89"/>
      <c r="EAB170" s="91"/>
      <c r="EAE170" s="89"/>
      <c r="EAG170" s="91"/>
      <c r="EAJ170" s="89"/>
      <c r="EAL170" s="91"/>
      <c r="EAO170" s="89"/>
      <c r="EAQ170" s="91"/>
      <c r="EAT170" s="89"/>
      <c r="EAV170" s="91"/>
      <c r="EAY170" s="89"/>
      <c r="EBA170" s="91"/>
      <c r="EBD170" s="89"/>
      <c r="EBF170" s="91"/>
      <c r="EBI170" s="89"/>
      <c r="EBK170" s="91"/>
      <c r="EBN170" s="89"/>
      <c r="EBP170" s="91"/>
      <c r="EBS170" s="89"/>
      <c r="EBU170" s="91"/>
      <c r="EBX170" s="89"/>
      <c r="EBZ170" s="91"/>
      <c r="ECC170" s="89"/>
      <c r="ECE170" s="91"/>
      <c r="ECH170" s="89"/>
      <c r="ECJ170" s="91"/>
      <c r="ECM170" s="89"/>
      <c r="ECO170" s="91"/>
      <c r="ECR170" s="89"/>
      <c r="ECT170" s="91"/>
      <c r="ECW170" s="89"/>
      <c r="ECY170" s="91"/>
      <c r="EDB170" s="89"/>
      <c r="EDD170" s="91"/>
      <c r="EDG170" s="89"/>
      <c r="EDI170" s="91"/>
      <c r="EDL170" s="89"/>
      <c r="EDN170" s="91"/>
      <c r="EDQ170" s="89"/>
      <c r="EDS170" s="91"/>
      <c r="EDV170" s="89"/>
      <c r="EDX170" s="91"/>
      <c r="EEA170" s="89"/>
      <c r="EEC170" s="91"/>
      <c r="EEF170" s="89"/>
      <c r="EEH170" s="91"/>
      <c r="EEK170" s="89"/>
      <c r="EEM170" s="91"/>
      <c r="EEP170" s="89"/>
      <c r="EER170" s="91"/>
      <c r="EEU170" s="89"/>
      <c r="EEW170" s="91"/>
      <c r="EEZ170" s="89"/>
      <c r="EFB170" s="91"/>
      <c r="EFE170" s="89"/>
      <c r="EFG170" s="91"/>
      <c r="EFJ170" s="89"/>
      <c r="EFL170" s="91"/>
      <c r="EFO170" s="89"/>
      <c r="EFQ170" s="91"/>
      <c r="EFT170" s="89"/>
      <c r="EFV170" s="91"/>
      <c r="EFY170" s="89"/>
      <c r="EGA170" s="91"/>
      <c r="EGD170" s="89"/>
      <c r="EGF170" s="91"/>
      <c r="EGI170" s="89"/>
      <c r="EGK170" s="91"/>
      <c r="EGN170" s="89"/>
      <c r="EGP170" s="91"/>
      <c r="EGS170" s="89"/>
      <c r="EGU170" s="91"/>
      <c r="EGX170" s="89"/>
      <c r="EGZ170" s="91"/>
      <c r="EHC170" s="89"/>
      <c r="EHE170" s="91"/>
      <c r="EHH170" s="89"/>
      <c r="EHJ170" s="91"/>
      <c r="EHM170" s="89"/>
      <c r="EHO170" s="91"/>
      <c r="EHR170" s="89"/>
      <c r="EHT170" s="91"/>
      <c r="EHW170" s="89"/>
      <c r="EHY170" s="91"/>
      <c r="EIB170" s="89"/>
      <c r="EID170" s="91"/>
      <c r="EIG170" s="89"/>
      <c r="EII170" s="91"/>
      <c r="EIL170" s="89"/>
      <c r="EIN170" s="91"/>
      <c r="EIQ170" s="89"/>
      <c r="EIS170" s="91"/>
      <c r="EIV170" s="89"/>
      <c r="EIX170" s="91"/>
      <c r="EJA170" s="89"/>
      <c r="EJC170" s="91"/>
      <c r="EJF170" s="89"/>
      <c r="EJH170" s="91"/>
      <c r="EJK170" s="89"/>
      <c r="EJM170" s="91"/>
      <c r="EJP170" s="89"/>
      <c r="EJR170" s="91"/>
      <c r="EJU170" s="89"/>
      <c r="EJW170" s="91"/>
      <c r="EJZ170" s="89"/>
      <c r="EKB170" s="91"/>
      <c r="EKE170" s="89"/>
      <c r="EKG170" s="91"/>
      <c r="EKJ170" s="89"/>
      <c r="EKL170" s="91"/>
      <c r="EKO170" s="89"/>
      <c r="EKQ170" s="91"/>
      <c r="EKT170" s="89"/>
      <c r="EKV170" s="91"/>
      <c r="EKY170" s="89"/>
      <c r="ELA170" s="91"/>
      <c r="ELD170" s="89"/>
      <c r="ELF170" s="91"/>
      <c r="ELI170" s="89"/>
      <c r="ELK170" s="91"/>
      <c r="ELN170" s="89"/>
      <c r="ELP170" s="91"/>
      <c r="ELS170" s="89"/>
      <c r="ELU170" s="91"/>
      <c r="ELX170" s="89"/>
      <c r="ELZ170" s="91"/>
      <c r="EMC170" s="89"/>
      <c r="EME170" s="91"/>
      <c r="EMH170" s="89"/>
      <c r="EMJ170" s="91"/>
      <c r="EMM170" s="89"/>
      <c r="EMO170" s="91"/>
      <c r="EMR170" s="89"/>
      <c r="EMT170" s="91"/>
      <c r="EMW170" s="89"/>
      <c r="EMY170" s="91"/>
      <c r="ENB170" s="89"/>
      <c r="END170" s="91"/>
      <c r="ENG170" s="89"/>
      <c r="ENI170" s="91"/>
      <c r="ENL170" s="89"/>
      <c r="ENN170" s="91"/>
      <c r="ENQ170" s="89"/>
      <c r="ENS170" s="91"/>
      <c r="ENV170" s="89"/>
      <c r="ENX170" s="91"/>
      <c r="EOA170" s="89"/>
      <c r="EOC170" s="91"/>
      <c r="EOF170" s="89"/>
      <c r="EOH170" s="91"/>
      <c r="EOK170" s="89"/>
      <c r="EOM170" s="91"/>
      <c r="EOP170" s="89"/>
      <c r="EOR170" s="91"/>
      <c r="EOU170" s="89"/>
      <c r="EOW170" s="91"/>
      <c r="EOZ170" s="89"/>
      <c r="EPB170" s="91"/>
      <c r="EPE170" s="89"/>
      <c r="EPG170" s="91"/>
      <c r="EPJ170" s="89"/>
      <c r="EPL170" s="91"/>
      <c r="EPO170" s="89"/>
      <c r="EPQ170" s="91"/>
      <c r="EPT170" s="89"/>
      <c r="EPV170" s="91"/>
      <c r="EPY170" s="89"/>
      <c r="EQA170" s="91"/>
      <c r="EQD170" s="89"/>
      <c r="EQF170" s="91"/>
      <c r="EQI170" s="89"/>
      <c r="EQK170" s="91"/>
      <c r="EQN170" s="89"/>
      <c r="EQP170" s="91"/>
      <c r="EQS170" s="89"/>
      <c r="EQU170" s="91"/>
      <c r="EQX170" s="89"/>
      <c r="EQZ170" s="91"/>
      <c r="ERC170" s="89"/>
      <c r="ERE170" s="91"/>
      <c r="ERH170" s="89"/>
      <c r="ERJ170" s="91"/>
      <c r="ERM170" s="89"/>
      <c r="ERO170" s="91"/>
      <c r="ERR170" s="89"/>
      <c r="ERT170" s="91"/>
      <c r="ERW170" s="89"/>
      <c r="ERY170" s="91"/>
      <c r="ESB170" s="89"/>
      <c r="ESD170" s="91"/>
      <c r="ESG170" s="89"/>
      <c r="ESI170" s="91"/>
      <c r="ESL170" s="89"/>
      <c r="ESN170" s="91"/>
      <c r="ESQ170" s="89"/>
      <c r="ESS170" s="91"/>
      <c r="ESV170" s="89"/>
      <c r="ESX170" s="91"/>
      <c r="ETA170" s="89"/>
      <c r="ETC170" s="91"/>
      <c r="ETF170" s="89"/>
      <c r="ETH170" s="91"/>
      <c r="ETK170" s="89"/>
      <c r="ETM170" s="91"/>
      <c r="ETP170" s="89"/>
      <c r="ETR170" s="91"/>
      <c r="ETU170" s="89"/>
      <c r="ETW170" s="91"/>
      <c r="ETZ170" s="89"/>
      <c r="EUB170" s="91"/>
      <c r="EUE170" s="89"/>
      <c r="EUG170" s="91"/>
      <c r="EUJ170" s="89"/>
      <c r="EUL170" s="91"/>
      <c r="EUO170" s="89"/>
      <c r="EUQ170" s="91"/>
      <c r="EUT170" s="89"/>
      <c r="EUV170" s="91"/>
      <c r="EUY170" s="89"/>
      <c r="EVA170" s="91"/>
      <c r="EVD170" s="89"/>
      <c r="EVF170" s="91"/>
      <c r="EVI170" s="89"/>
      <c r="EVK170" s="91"/>
      <c r="EVN170" s="89"/>
      <c r="EVP170" s="91"/>
      <c r="EVS170" s="89"/>
      <c r="EVU170" s="91"/>
      <c r="EVX170" s="89"/>
      <c r="EVZ170" s="91"/>
      <c r="EWC170" s="89"/>
      <c r="EWE170" s="91"/>
      <c r="EWH170" s="89"/>
      <c r="EWJ170" s="91"/>
      <c r="EWM170" s="89"/>
      <c r="EWO170" s="91"/>
      <c r="EWR170" s="89"/>
      <c r="EWT170" s="91"/>
      <c r="EWW170" s="89"/>
      <c r="EWY170" s="91"/>
      <c r="EXB170" s="89"/>
      <c r="EXD170" s="91"/>
      <c r="EXG170" s="89"/>
      <c r="EXI170" s="91"/>
      <c r="EXL170" s="89"/>
      <c r="EXN170" s="91"/>
      <c r="EXQ170" s="89"/>
      <c r="EXS170" s="91"/>
      <c r="EXV170" s="89"/>
      <c r="EXX170" s="91"/>
      <c r="EYA170" s="89"/>
      <c r="EYC170" s="91"/>
      <c r="EYF170" s="89"/>
      <c r="EYH170" s="91"/>
      <c r="EYK170" s="89"/>
      <c r="EYM170" s="91"/>
      <c r="EYP170" s="89"/>
      <c r="EYR170" s="91"/>
      <c r="EYU170" s="89"/>
      <c r="EYW170" s="91"/>
      <c r="EYZ170" s="89"/>
      <c r="EZB170" s="91"/>
      <c r="EZE170" s="89"/>
      <c r="EZG170" s="91"/>
      <c r="EZJ170" s="89"/>
      <c r="EZL170" s="91"/>
      <c r="EZO170" s="89"/>
      <c r="EZQ170" s="91"/>
      <c r="EZT170" s="89"/>
      <c r="EZV170" s="91"/>
      <c r="EZY170" s="89"/>
      <c r="FAA170" s="91"/>
      <c r="FAD170" s="89"/>
      <c r="FAF170" s="91"/>
      <c r="FAI170" s="89"/>
      <c r="FAK170" s="91"/>
      <c r="FAN170" s="89"/>
      <c r="FAP170" s="91"/>
      <c r="FAS170" s="89"/>
      <c r="FAU170" s="91"/>
      <c r="FAX170" s="89"/>
      <c r="FAZ170" s="91"/>
      <c r="FBC170" s="89"/>
      <c r="FBE170" s="91"/>
      <c r="FBH170" s="89"/>
      <c r="FBJ170" s="91"/>
      <c r="FBM170" s="89"/>
      <c r="FBO170" s="91"/>
      <c r="FBR170" s="89"/>
      <c r="FBT170" s="91"/>
      <c r="FBW170" s="89"/>
      <c r="FBY170" s="91"/>
      <c r="FCB170" s="89"/>
      <c r="FCD170" s="91"/>
      <c r="FCG170" s="89"/>
      <c r="FCI170" s="91"/>
      <c r="FCL170" s="89"/>
      <c r="FCN170" s="91"/>
      <c r="FCQ170" s="89"/>
      <c r="FCS170" s="91"/>
      <c r="FCV170" s="89"/>
      <c r="FCX170" s="91"/>
      <c r="FDA170" s="89"/>
      <c r="FDC170" s="91"/>
      <c r="FDF170" s="89"/>
      <c r="FDH170" s="91"/>
      <c r="FDK170" s="89"/>
      <c r="FDM170" s="91"/>
      <c r="FDP170" s="89"/>
      <c r="FDR170" s="91"/>
      <c r="FDU170" s="89"/>
      <c r="FDW170" s="91"/>
      <c r="FDZ170" s="89"/>
      <c r="FEB170" s="91"/>
      <c r="FEE170" s="89"/>
      <c r="FEG170" s="91"/>
      <c r="FEJ170" s="89"/>
      <c r="FEL170" s="91"/>
      <c r="FEO170" s="89"/>
      <c r="FEQ170" s="91"/>
      <c r="FET170" s="89"/>
      <c r="FEV170" s="91"/>
      <c r="FEY170" s="89"/>
      <c r="FFA170" s="91"/>
      <c r="FFD170" s="89"/>
      <c r="FFF170" s="91"/>
      <c r="FFI170" s="89"/>
      <c r="FFK170" s="91"/>
      <c r="FFN170" s="89"/>
      <c r="FFP170" s="91"/>
      <c r="FFS170" s="89"/>
      <c r="FFU170" s="91"/>
      <c r="FFX170" s="89"/>
      <c r="FFZ170" s="91"/>
      <c r="FGC170" s="89"/>
      <c r="FGE170" s="91"/>
      <c r="FGH170" s="89"/>
      <c r="FGJ170" s="91"/>
      <c r="FGM170" s="89"/>
      <c r="FGO170" s="91"/>
      <c r="FGR170" s="89"/>
      <c r="FGT170" s="91"/>
      <c r="FGW170" s="89"/>
      <c r="FGY170" s="91"/>
      <c r="FHB170" s="89"/>
      <c r="FHD170" s="91"/>
      <c r="FHG170" s="89"/>
      <c r="FHI170" s="91"/>
      <c r="FHL170" s="89"/>
      <c r="FHN170" s="91"/>
      <c r="FHQ170" s="89"/>
      <c r="FHS170" s="91"/>
      <c r="FHV170" s="89"/>
      <c r="FHX170" s="91"/>
      <c r="FIA170" s="89"/>
      <c r="FIC170" s="91"/>
      <c r="FIF170" s="89"/>
      <c r="FIH170" s="91"/>
      <c r="FIK170" s="89"/>
      <c r="FIM170" s="91"/>
      <c r="FIP170" s="89"/>
      <c r="FIR170" s="91"/>
      <c r="FIU170" s="89"/>
      <c r="FIW170" s="91"/>
      <c r="FIZ170" s="89"/>
      <c r="FJB170" s="91"/>
      <c r="FJE170" s="89"/>
      <c r="FJG170" s="91"/>
      <c r="FJJ170" s="89"/>
      <c r="FJL170" s="91"/>
      <c r="FJO170" s="89"/>
      <c r="FJQ170" s="91"/>
      <c r="FJT170" s="89"/>
      <c r="FJV170" s="91"/>
      <c r="FJY170" s="89"/>
      <c r="FKA170" s="91"/>
      <c r="FKD170" s="89"/>
      <c r="FKF170" s="91"/>
      <c r="FKI170" s="89"/>
      <c r="FKK170" s="91"/>
      <c r="FKN170" s="89"/>
      <c r="FKP170" s="91"/>
      <c r="FKS170" s="89"/>
      <c r="FKU170" s="91"/>
      <c r="FKX170" s="89"/>
      <c r="FKZ170" s="91"/>
      <c r="FLC170" s="89"/>
      <c r="FLE170" s="91"/>
      <c r="FLH170" s="89"/>
      <c r="FLJ170" s="91"/>
      <c r="FLM170" s="89"/>
      <c r="FLO170" s="91"/>
      <c r="FLR170" s="89"/>
      <c r="FLT170" s="91"/>
      <c r="FLW170" s="89"/>
      <c r="FLY170" s="91"/>
      <c r="FMB170" s="89"/>
      <c r="FMD170" s="91"/>
      <c r="FMG170" s="89"/>
      <c r="FMI170" s="91"/>
      <c r="FML170" s="89"/>
      <c r="FMN170" s="91"/>
      <c r="FMQ170" s="89"/>
      <c r="FMS170" s="91"/>
      <c r="FMV170" s="89"/>
      <c r="FMX170" s="91"/>
      <c r="FNA170" s="89"/>
      <c r="FNC170" s="91"/>
      <c r="FNF170" s="89"/>
      <c r="FNH170" s="91"/>
      <c r="FNK170" s="89"/>
      <c r="FNM170" s="91"/>
      <c r="FNP170" s="89"/>
      <c r="FNR170" s="91"/>
      <c r="FNU170" s="89"/>
      <c r="FNW170" s="91"/>
      <c r="FNZ170" s="89"/>
      <c r="FOB170" s="91"/>
      <c r="FOE170" s="89"/>
      <c r="FOG170" s="91"/>
      <c r="FOJ170" s="89"/>
      <c r="FOL170" s="91"/>
      <c r="FOO170" s="89"/>
      <c r="FOQ170" s="91"/>
      <c r="FOT170" s="89"/>
      <c r="FOV170" s="91"/>
      <c r="FOY170" s="89"/>
      <c r="FPA170" s="91"/>
      <c r="FPD170" s="89"/>
      <c r="FPF170" s="91"/>
      <c r="FPI170" s="89"/>
      <c r="FPK170" s="91"/>
      <c r="FPN170" s="89"/>
      <c r="FPP170" s="91"/>
      <c r="FPS170" s="89"/>
      <c r="FPU170" s="91"/>
      <c r="FPX170" s="89"/>
      <c r="FPZ170" s="91"/>
      <c r="FQC170" s="89"/>
      <c r="FQE170" s="91"/>
      <c r="FQH170" s="89"/>
      <c r="FQJ170" s="91"/>
      <c r="FQM170" s="89"/>
      <c r="FQO170" s="91"/>
      <c r="FQR170" s="89"/>
      <c r="FQT170" s="91"/>
      <c r="FQW170" s="89"/>
      <c r="FQY170" s="91"/>
      <c r="FRB170" s="89"/>
      <c r="FRD170" s="91"/>
      <c r="FRG170" s="89"/>
      <c r="FRI170" s="91"/>
      <c r="FRL170" s="89"/>
      <c r="FRN170" s="91"/>
      <c r="FRQ170" s="89"/>
      <c r="FRS170" s="91"/>
      <c r="FRV170" s="89"/>
      <c r="FRX170" s="91"/>
      <c r="FSA170" s="89"/>
      <c r="FSC170" s="91"/>
      <c r="FSF170" s="89"/>
      <c r="FSH170" s="91"/>
      <c r="FSK170" s="89"/>
      <c r="FSM170" s="91"/>
      <c r="FSP170" s="89"/>
      <c r="FSR170" s="91"/>
      <c r="FSU170" s="89"/>
      <c r="FSW170" s="91"/>
      <c r="FSZ170" s="89"/>
      <c r="FTB170" s="91"/>
      <c r="FTE170" s="89"/>
      <c r="FTG170" s="91"/>
      <c r="FTJ170" s="89"/>
      <c r="FTL170" s="91"/>
      <c r="FTO170" s="89"/>
      <c r="FTQ170" s="91"/>
      <c r="FTT170" s="89"/>
      <c r="FTV170" s="91"/>
      <c r="FTY170" s="89"/>
      <c r="FUA170" s="91"/>
      <c r="FUD170" s="89"/>
      <c r="FUF170" s="91"/>
      <c r="FUI170" s="89"/>
      <c r="FUK170" s="91"/>
      <c r="FUN170" s="89"/>
      <c r="FUP170" s="91"/>
      <c r="FUS170" s="89"/>
      <c r="FUU170" s="91"/>
      <c r="FUX170" s="89"/>
      <c r="FUZ170" s="91"/>
      <c r="FVC170" s="89"/>
      <c r="FVE170" s="91"/>
      <c r="FVH170" s="89"/>
      <c r="FVJ170" s="91"/>
      <c r="FVM170" s="89"/>
      <c r="FVO170" s="91"/>
      <c r="FVR170" s="89"/>
      <c r="FVT170" s="91"/>
      <c r="FVW170" s="89"/>
      <c r="FVY170" s="91"/>
      <c r="FWB170" s="89"/>
      <c r="FWD170" s="91"/>
      <c r="FWG170" s="89"/>
      <c r="FWI170" s="91"/>
      <c r="FWL170" s="89"/>
      <c r="FWN170" s="91"/>
      <c r="FWQ170" s="89"/>
      <c r="FWS170" s="91"/>
      <c r="FWV170" s="89"/>
      <c r="FWX170" s="91"/>
      <c r="FXA170" s="89"/>
      <c r="FXC170" s="91"/>
      <c r="FXF170" s="89"/>
      <c r="FXH170" s="91"/>
      <c r="FXK170" s="89"/>
      <c r="FXM170" s="91"/>
      <c r="FXP170" s="89"/>
      <c r="FXR170" s="91"/>
      <c r="FXU170" s="89"/>
      <c r="FXW170" s="91"/>
      <c r="FXZ170" s="89"/>
      <c r="FYB170" s="91"/>
      <c r="FYE170" s="89"/>
      <c r="FYG170" s="91"/>
      <c r="FYJ170" s="89"/>
      <c r="FYL170" s="91"/>
      <c r="FYO170" s="89"/>
      <c r="FYQ170" s="91"/>
      <c r="FYT170" s="89"/>
      <c r="FYV170" s="91"/>
      <c r="FYY170" s="89"/>
      <c r="FZA170" s="91"/>
      <c r="FZD170" s="89"/>
      <c r="FZF170" s="91"/>
      <c r="FZI170" s="89"/>
      <c r="FZK170" s="91"/>
      <c r="FZN170" s="89"/>
      <c r="FZP170" s="91"/>
      <c r="FZS170" s="89"/>
      <c r="FZU170" s="91"/>
      <c r="FZX170" s="89"/>
      <c r="FZZ170" s="91"/>
      <c r="GAC170" s="89"/>
      <c r="GAE170" s="91"/>
      <c r="GAH170" s="89"/>
      <c r="GAJ170" s="91"/>
      <c r="GAM170" s="89"/>
      <c r="GAO170" s="91"/>
      <c r="GAR170" s="89"/>
      <c r="GAT170" s="91"/>
      <c r="GAW170" s="89"/>
      <c r="GAY170" s="91"/>
      <c r="GBB170" s="89"/>
      <c r="GBD170" s="91"/>
      <c r="GBG170" s="89"/>
      <c r="GBI170" s="91"/>
      <c r="GBL170" s="89"/>
      <c r="GBN170" s="91"/>
      <c r="GBQ170" s="89"/>
      <c r="GBS170" s="91"/>
      <c r="GBV170" s="89"/>
      <c r="GBX170" s="91"/>
      <c r="GCA170" s="89"/>
      <c r="GCC170" s="91"/>
      <c r="GCF170" s="89"/>
      <c r="GCH170" s="91"/>
      <c r="GCK170" s="89"/>
      <c r="GCM170" s="91"/>
      <c r="GCP170" s="89"/>
      <c r="GCR170" s="91"/>
      <c r="GCU170" s="89"/>
      <c r="GCW170" s="91"/>
      <c r="GCZ170" s="89"/>
      <c r="GDB170" s="91"/>
      <c r="GDE170" s="89"/>
      <c r="GDG170" s="91"/>
      <c r="GDJ170" s="89"/>
      <c r="GDL170" s="91"/>
      <c r="GDO170" s="89"/>
      <c r="GDQ170" s="91"/>
      <c r="GDT170" s="89"/>
      <c r="GDV170" s="91"/>
      <c r="GDY170" s="89"/>
      <c r="GEA170" s="91"/>
      <c r="GED170" s="89"/>
      <c r="GEF170" s="91"/>
      <c r="GEI170" s="89"/>
      <c r="GEK170" s="91"/>
      <c r="GEN170" s="89"/>
      <c r="GEP170" s="91"/>
      <c r="GES170" s="89"/>
      <c r="GEU170" s="91"/>
      <c r="GEX170" s="89"/>
      <c r="GEZ170" s="91"/>
      <c r="GFC170" s="89"/>
      <c r="GFE170" s="91"/>
      <c r="GFH170" s="89"/>
      <c r="GFJ170" s="91"/>
      <c r="GFM170" s="89"/>
      <c r="GFO170" s="91"/>
      <c r="GFR170" s="89"/>
      <c r="GFT170" s="91"/>
      <c r="GFW170" s="89"/>
      <c r="GFY170" s="91"/>
      <c r="GGB170" s="89"/>
      <c r="GGD170" s="91"/>
      <c r="GGG170" s="89"/>
      <c r="GGI170" s="91"/>
      <c r="GGL170" s="89"/>
      <c r="GGN170" s="91"/>
      <c r="GGQ170" s="89"/>
      <c r="GGS170" s="91"/>
      <c r="GGV170" s="89"/>
      <c r="GGX170" s="91"/>
      <c r="GHA170" s="89"/>
      <c r="GHC170" s="91"/>
      <c r="GHF170" s="89"/>
      <c r="GHH170" s="91"/>
      <c r="GHK170" s="89"/>
      <c r="GHM170" s="91"/>
      <c r="GHP170" s="89"/>
      <c r="GHR170" s="91"/>
      <c r="GHU170" s="89"/>
      <c r="GHW170" s="91"/>
      <c r="GHZ170" s="89"/>
      <c r="GIB170" s="91"/>
      <c r="GIE170" s="89"/>
      <c r="GIG170" s="91"/>
      <c r="GIJ170" s="89"/>
      <c r="GIL170" s="91"/>
      <c r="GIO170" s="89"/>
      <c r="GIQ170" s="91"/>
      <c r="GIT170" s="89"/>
      <c r="GIV170" s="91"/>
      <c r="GIY170" s="89"/>
      <c r="GJA170" s="91"/>
      <c r="GJD170" s="89"/>
      <c r="GJF170" s="91"/>
      <c r="GJI170" s="89"/>
      <c r="GJK170" s="91"/>
      <c r="GJN170" s="89"/>
      <c r="GJP170" s="91"/>
      <c r="GJS170" s="89"/>
      <c r="GJU170" s="91"/>
      <c r="GJX170" s="89"/>
      <c r="GJZ170" s="91"/>
      <c r="GKC170" s="89"/>
      <c r="GKE170" s="91"/>
      <c r="GKH170" s="89"/>
      <c r="GKJ170" s="91"/>
      <c r="GKM170" s="89"/>
      <c r="GKO170" s="91"/>
      <c r="GKR170" s="89"/>
      <c r="GKT170" s="91"/>
      <c r="GKW170" s="89"/>
      <c r="GKY170" s="91"/>
      <c r="GLB170" s="89"/>
      <c r="GLD170" s="91"/>
      <c r="GLG170" s="89"/>
      <c r="GLI170" s="91"/>
      <c r="GLL170" s="89"/>
      <c r="GLN170" s="91"/>
      <c r="GLQ170" s="89"/>
      <c r="GLS170" s="91"/>
      <c r="GLV170" s="89"/>
      <c r="GLX170" s="91"/>
      <c r="GMA170" s="89"/>
      <c r="GMC170" s="91"/>
      <c r="GMF170" s="89"/>
      <c r="GMH170" s="91"/>
      <c r="GMK170" s="89"/>
      <c r="GMM170" s="91"/>
      <c r="GMP170" s="89"/>
      <c r="GMR170" s="91"/>
      <c r="GMU170" s="89"/>
      <c r="GMW170" s="91"/>
      <c r="GMZ170" s="89"/>
      <c r="GNB170" s="91"/>
      <c r="GNE170" s="89"/>
      <c r="GNG170" s="91"/>
      <c r="GNJ170" s="89"/>
      <c r="GNL170" s="91"/>
      <c r="GNO170" s="89"/>
      <c r="GNQ170" s="91"/>
      <c r="GNT170" s="89"/>
      <c r="GNV170" s="91"/>
      <c r="GNY170" s="89"/>
      <c r="GOA170" s="91"/>
      <c r="GOD170" s="89"/>
      <c r="GOF170" s="91"/>
      <c r="GOI170" s="89"/>
      <c r="GOK170" s="91"/>
      <c r="GON170" s="89"/>
      <c r="GOP170" s="91"/>
      <c r="GOS170" s="89"/>
      <c r="GOU170" s="91"/>
      <c r="GOX170" s="89"/>
      <c r="GOZ170" s="91"/>
      <c r="GPC170" s="89"/>
      <c r="GPE170" s="91"/>
      <c r="GPH170" s="89"/>
      <c r="GPJ170" s="91"/>
      <c r="GPM170" s="89"/>
      <c r="GPO170" s="91"/>
      <c r="GPR170" s="89"/>
      <c r="GPT170" s="91"/>
      <c r="GPW170" s="89"/>
      <c r="GPY170" s="91"/>
      <c r="GQB170" s="89"/>
      <c r="GQD170" s="91"/>
      <c r="GQG170" s="89"/>
      <c r="GQI170" s="91"/>
      <c r="GQL170" s="89"/>
      <c r="GQN170" s="91"/>
      <c r="GQQ170" s="89"/>
      <c r="GQS170" s="91"/>
      <c r="GQV170" s="89"/>
      <c r="GQX170" s="91"/>
      <c r="GRA170" s="89"/>
      <c r="GRC170" s="91"/>
      <c r="GRF170" s="89"/>
      <c r="GRH170" s="91"/>
      <c r="GRK170" s="89"/>
      <c r="GRM170" s="91"/>
      <c r="GRP170" s="89"/>
      <c r="GRR170" s="91"/>
      <c r="GRU170" s="89"/>
      <c r="GRW170" s="91"/>
      <c r="GRZ170" s="89"/>
      <c r="GSB170" s="91"/>
      <c r="GSE170" s="89"/>
      <c r="GSG170" s="91"/>
      <c r="GSJ170" s="89"/>
      <c r="GSL170" s="91"/>
      <c r="GSO170" s="89"/>
      <c r="GSQ170" s="91"/>
      <c r="GST170" s="89"/>
      <c r="GSV170" s="91"/>
      <c r="GSY170" s="89"/>
      <c r="GTA170" s="91"/>
      <c r="GTD170" s="89"/>
      <c r="GTF170" s="91"/>
      <c r="GTI170" s="89"/>
      <c r="GTK170" s="91"/>
      <c r="GTN170" s="89"/>
      <c r="GTP170" s="91"/>
      <c r="GTS170" s="89"/>
      <c r="GTU170" s="91"/>
      <c r="GTX170" s="89"/>
      <c r="GTZ170" s="91"/>
      <c r="GUC170" s="89"/>
      <c r="GUE170" s="91"/>
      <c r="GUH170" s="89"/>
      <c r="GUJ170" s="91"/>
      <c r="GUM170" s="89"/>
      <c r="GUO170" s="91"/>
      <c r="GUR170" s="89"/>
      <c r="GUT170" s="91"/>
      <c r="GUW170" s="89"/>
      <c r="GUY170" s="91"/>
      <c r="GVB170" s="89"/>
      <c r="GVD170" s="91"/>
      <c r="GVG170" s="89"/>
      <c r="GVI170" s="91"/>
      <c r="GVL170" s="89"/>
      <c r="GVN170" s="91"/>
      <c r="GVQ170" s="89"/>
      <c r="GVS170" s="91"/>
      <c r="GVV170" s="89"/>
      <c r="GVX170" s="91"/>
      <c r="GWA170" s="89"/>
      <c r="GWC170" s="91"/>
      <c r="GWF170" s="89"/>
      <c r="GWH170" s="91"/>
      <c r="GWK170" s="89"/>
      <c r="GWM170" s="91"/>
      <c r="GWP170" s="89"/>
      <c r="GWR170" s="91"/>
      <c r="GWU170" s="89"/>
      <c r="GWW170" s="91"/>
      <c r="GWZ170" s="89"/>
      <c r="GXB170" s="91"/>
      <c r="GXE170" s="89"/>
      <c r="GXG170" s="91"/>
      <c r="GXJ170" s="89"/>
      <c r="GXL170" s="91"/>
      <c r="GXO170" s="89"/>
      <c r="GXQ170" s="91"/>
      <c r="GXT170" s="89"/>
      <c r="GXV170" s="91"/>
      <c r="GXY170" s="89"/>
      <c r="GYA170" s="91"/>
      <c r="GYD170" s="89"/>
      <c r="GYF170" s="91"/>
      <c r="GYI170" s="89"/>
      <c r="GYK170" s="91"/>
      <c r="GYN170" s="89"/>
      <c r="GYP170" s="91"/>
      <c r="GYS170" s="89"/>
      <c r="GYU170" s="91"/>
      <c r="GYX170" s="89"/>
      <c r="GYZ170" s="91"/>
      <c r="GZC170" s="89"/>
      <c r="GZE170" s="91"/>
      <c r="GZH170" s="89"/>
      <c r="GZJ170" s="91"/>
      <c r="GZM170" s="89"/>
      <c r="GZO170" s="91"/>
      <c r="GZR170" s="89"/>
      <c r="GZT170" s="91"/>
      <c r="GZW170" s="89"/>
      <c r="GZY170" s="91"/>
      <c r="HAB170" s="89"/>
      <c r="HAD170" s="91"/>
      <c r="HAG170" s="89"/>
      <c r="HAI170" s="91"/>
      <c r="HAL170" s="89"/>
      <c r="HAN170" s="91"/>
      <c r="HAQ170" s="89"/>
      <c r="HAS170" s="91"/>
      <c r="HAV170" s="89"/>
      <c r="HAX170" s="91"/>
      <c r="HBA170" s="89"/>
      <c r="HBC170" s="91"/>
      <c r="HBF170" s="89"/>
      <c r="HBH170" s="91"/>
      <c r="HBK170" s="89"/>
      <c r="HBM170" s="91"/>
      <c r="HBP170" s="89"/>
      <c r="HBR170" s="91"/>
      <c r="HBU170" s="89"/>
      <c r="HBW170" s="91"/>
      <c r="HBZ170" s="89"/>
      <c r="HCB170" s="91"/>
      <c r="HCE170" s="89"/>
      <c r="HCG170" s="91"/>
      <c r="HCJ170" s="89"/>
      <c r="HCL170" s="91"/>
      <c r="HCO170" s="89"/>
      <c r="HCQ170" s="91"/>
      <c r="HCT170" s="89"/>
      <c r="HCV170" s="91"/>
      <c r="HCY170" s="89"/>
      <c r="HDA170" s="91"/>
      <c r="HDD170" s="89"/>
      <c r="HDF170" s="91"/>
      <c r="HDI170" s="89"/>
      <c r="HDK170" s="91"/>
      <c r="HDN170" s="89"/>
      <c r="HDP170" s="91"/>
      <c r="HDS170" s="89"/>
      <c r="HDU170" s="91"/>
      <c r="HDX170" s="89"/>
      <c r="HDZ170" s="91"/>
      <c r="HEC170" s="89"/>
      <c r="HEE170" s="91"/>
      <c r="HEH170" s="89"/>
      <c r="HEJ170" s="91"/>
      <c r="HEM170" s="89"/>
      <c r="HEO170" s="91"/>
      <c r="HER170" s="89"/>
      <c r="HET170" s="91"/>
      <c r="HEW170" s="89"/>
      <c r="HEY170" s="91"/>
      <c r="HFB170" s="89"/>
      <c r="HFD170" s="91"/>
      <c r="HFG170" s="89"/>
      <c r="HFI170" s="91"/>
      <c r="HFL170" s="89"/>
      <c r="HFN170" s="91"/>
      <c r="HFQ170" s="89"/>
      <c r="HFS170" s="91"/>
      <c r="HFV170" s="89"/>
      <c r="HFX170" s="91"/>
      <c r="HGA170" s="89"/>
      <c r="HGC170" s="91"/>
      <c r="HGF170" s="89"/>
      <c r="HGH170" s="91"/>
      <c r="HGK170" s="89"/>
      <c r="HGM170" s="91"/>
      <c r="HGP170" s="89"/>
      <c r="HGR170" s="91"/>
      <c r="HGU170" s="89"/>
      <c r="HGW170" s="91"/>
      <c r="HGZ170" s="89"/>
      <c r="HHB170" s="91"/>
      <c r="HHE170" s="89"/>
      <c r="HHG170" s="91"/>
      <c r="HHJ170" s="89"/>
      <c r="HHL170" s="91"/>
      <c r="HHO170" s="89"/>
      <c r="HHQ170" s="91"/>
      <c r="HHT170" s="89"/>
      <c r="HHV170" s="91"/>
      <c r="HHY170" s="89"/>
      <c r="HIA170" s="91"/>
      <c r="HID170" s="89"/>
      <c r="HIF170" s="91"/>
      <c r="HII170" s="89"/>
      <c r="HIK170" s="91"/>
      <c r="HIN170" s="89"/>
      <c r="HIP170" s="91"/>
      <c r="HIS170" s="89"/>
      <c r="HIU170" s="91"/>
      <c r="HIX170" s="89"/>
      <c r="HIZ170" s="91"/>
      <c r="HJC170" s="89"/>
      <c r="HJE170" s="91"/>
      <c r="HJH170" s="89"/>
      <c r="HJJ170" s="91"/>
      <c r="HJM170" s="89"/>
      <c r="HJO170" s="91"/>
      <c r="HJR170" s="89"/>
      <c r="HJT170" s="91"/>
      <c r="HJW170" s="89"/>
      <c r="HJY170" s="91"/>
      <c r="HKB170" s="89"/>
      <c r="HKD170" s="91"/>
      <c r="HKG170" s="89"/>
      <c r="HKI170" s="91"/>
      <c r="HKL170" s="89"/>
      <c r="HKN170" s="91"/>
      <c r="HKQ170" s="89"/>
      <c r="HKS170" s="91"/>
      <c r="HKV170" s="89"/>
      <c r="HKX170" s="91"/>
      <c r="HLA170" s="89"/>
      <c r="HLC170" s="91"/>
      <c r="HLF170" s="89"/>
      <c r="HLH170" s="91"/>
      <c r="HLK170" s="89"/>
      <c r="HLM170" s="91"/>
      <c r="HLP170" s="89"/>
      <c r="HLR170" s="91"/>
      <c r="HLU170" s="89"/>
      <c r="HLW170" s="91"/>
      <c r="HLZ170" s="89"/>
      <c r="HMB170" s="91"/>
      <c r="HME170" s="89"/>
      <c r="HMG170" s="91"/>
      <c r="HMJ170" s="89"/>
      <c r="HML170" s="91"/>
      <c r="HMO170" s="89"/>
      <c r="HMQ170" s="91"/>
      <c r="HMT170" s="89"/>
      <c r="HMV170" s="91"/>
      <c r="HMY170" s="89"/>
      <c r="HNA170" s="91"/>
      <c r="HND170" s="89"/>
      <c r="HNF170" s="91"/>
      <c r="HNI170" s="89"/>
      <c r="HNK170" s="91"/>
      <c r="HNN170" s="89"/>
      <c r="HNP170" s="91"/>
      <c r="HNS170" s="89"/>
      <c r="HNU170" s="91"/>
      <c r="HNX170" s="89"/>
      <c r="HNZ170" s="91"/>
      <c r="HOC170" s="89"/>
      <c r="HOE170" s="91"/>
      <c r="HOH170" s="89"/>
      <c r="HOJ170" s="91"/>
      <c r="HOM170" s="89"/>
      <c r="HOO170" s="91"/>
      <c r="HOR170" s="89"/>
      <c r="HOT170" s="91"/>
      <c r="HOW170" s="89"/>
      <c r="HOY170" s="91"/>
      <c r="HPB170" s="89"/>
      <c r="HPD170" s="91"/>
      <c r="HPG170" s="89"/>
      <c r="HPI170" s="91"/>
      <c r="HPL170" s="89"/>
      <c r="HPN170" s="91"/>
      <c r="HPQ170" s="89"/>
      <c r="HPS170" s="91"/>
      <c r="HPV170" s="89"/>
      <c r="HPX170" s="91"/>
      <c r="HQA170" s="89"/>
      <c r="HQC170" s="91"/>
      <c r="HQF170" s="89"/>
      <c r="HQH170" s="91"/>
      <c r="HQK170" s="89"/>
      <c r="HQM170" s="91"/>
      <c r="HQP170" s="89"/>
      <c r="HQR170" s="91"/>
      <c r="HQU170" s="89"/>
      <c r="HQW170" s="91"/>
      <c r="HQZ170" s="89"/>
      <c r="HRB170" s="91"/>
      <c r="HRE170" s="89"/>
      <c r="HRG170" s="91"/>
      <c r="HRJ170" s="89"/>
      <c r="HRL170" s="91"/>
      <c r="HRO170" s="89"/>
      <c r="HRQ170" s="91"/>
      <c r="HRT170" s="89"/>
      <c r="HRV170" s="91"/>
      <c r="HRY170" s="89"/>
      <c r="HSA170" s="91"/>
      <c r="HSD170" s="89"/>
      <c r="HSF170" s="91"/>
      <c r="HSI170" s="89"/>
      <c r="HSK170" s="91"/>
      <c r="HSN170" s="89"/>
      <c r="HSP170" s="91"/>
      <c r="HSS170" s="89"/>
      <c r="HSU170" s="91"/>
      <c r="HSX170" s="89"/>
      <c r="HSZ170" s="91"/>
      <c r="HTC170" s="89"/>
      <c r="HTE170" s="91"/>
      <c r="HTH170" s="89"/>
      <c r="HTJ170" s="91"/>
      <c r="HTM170" s="89"/>
      <c r="HTO170" s="91"/>
      <c r="HTR170" s="89"/>
      <c r="HTT170" s="91"/>
      <c r="HTW170" s="89"/>
      <c r="HTY170" s="91"/>
      <c r="HUB170" s="89"/>
      <c r="HUD170" s="91"/>
      <c r="HUG170" s="89"/>
      <c r="HUI170" s="91"/>
      <c r="HUL170" s="89"/>
      <c r="HUN170" s="91"/>
      <c r="HUQ170" s="89"/>
      <c r="HUS170" s="91"/>
      <c r="HUV170" s="89"/>
      <c r="HUX170" s="91"/>
      <c r="HVA170" s="89"/>
      <c r="HVC170" s="91"/>
      <c r="HVF170" s="89"/>
      <c r="HVH170" s="91"/>
      <c r="HVK170" s="89"/>
      <c r="HVM170" s="91"/>
      <c r="HVP170" s="89"/>
      <c r="HVR170" s="91"/>
      <c r="HVU170" s="89"/>
      <c r="HVW170" s="91"/>
      <c r="HVZ170" s="89"/>
      <c r="HWB170" s="91"/>
      <c r="HWE170" s="89"/>
      <c r="HWG170" s="91"/>
      <c r="HWJ170" s="89"/>
      <c r="HWL170" s="91"/>
      <c r="HWO170" s="89"/>
      <c r="HWQ170" s="91"/>
      <c r="HWT170" s="89"/>
      <c r="HWV170" s="91"/>
      <c r="HWY170" s="89"/>
      <c r="HXA170" s="91"/>
      <c r="HXD170" s="89"/>
      <c r="HXF170" s="91"/>
      <c r="HXI170" s="89"/>
      <c r="HXK170" s="91"/>
      <c r="HXN170" s="89"/>
      <c r="HXP170" s="91"/>
      <c r="HXS170" s="89"/>
      <c r="HXU170" s="91"/>
      <c r="HXX170" s="89"/>
      <c r="HXZ170" s="91"/>
      <c r="HYC170" s="89"/>
      <c r="HYE170" s="91"/>
      <c r="HYH170" s="89"/>
      <c r="HYJ170" s="91"/>
      <c r="HYM170" s="89"/>
      <c r="HYO170" s="91"/>
      <c r="HYR170" s="89"/>
      <c r="HYT170" s="91"/>
      <c r="HYW170" s="89"/>
      <c r="HYY170" s="91"/>
      <c r="HZB170" s="89"/>
      <c r="HZD170" s="91"/>
      <c r="HZG170" s="89"/>
      <c r="HZI170" s="91"/>
      <c r="HZL170" s="89"/>
      <c r="HZN170" s="91"/>
      <c r="HZQ170" s="89"/>
      <c r="HZS170" s="91"/>
      <c r="HZV170" s="89"/>
      <c r="HZX170" s="91"/>
      <c r="IAA170" s="89"/>
      <c r="IAC170" s="91"/>
      <c r="IAF170" s="89"/>
      <c r="IAH170" s="91"/>
      <c r="IAK170" s="89"/>
      <c r="IAM170" s="91"/>
      <c r="IAP170" s="89"/>
      <c r="IAR170" s="91"/>
      <c r="IAU170" s="89"/>
      <c r="IAW170" s="91"/>
      <c r="IAZ170" s="89"/>
      <c r="IBB170" s="91"/>
      <c r="IBE170" s="89"/>
      <c r="IBG170" s="91"/>
      <c r="IBJ170" s="89"/>
      <c r="IBL170" s="91"/>
      <c r="IBO170" s="89"/>
      <c r="IBQ170" s="91"/>
      <c r="IBT170" s="89"/>
      <c r="IBV170" s="91"/>
      <c r="IBY170" s="89"/>
      <c r="ICA170" s="91"/>
      <c r="ICD170" s="89"/>
      <c r="ICF170" s="91"/>
      <c r="ICI170" s="89"/>
      <c r="ICK170" s="91"/>
      <c r="ICN170" s="89"/>
      <c r="ICP170" s="91"/>
      <c r="ICS170" s="89"/>
      <c r="ICU170" s="91"/>
      <c r="ICX170" s="89"/>
      <c r="ICZ170" s="91"/>
      <c r="IDC170" s="89"/>
      <c r="IDE170" s="91"/>
      <c r="IDH170" s="89"/>
      <c r="IDJ170" s="91"/>
      <c r="IDM170" s="89"/>
      <c r="IDO170" s="91"/>
      <c r="IDR170" s="89"/>
      <c r="IDT170" s="91"/>
      <c r="IDW170" s="89"/>
      <c r="IDY170" s="91"/>
      <c r="IEB170" s="89"/>
      <c r="IED170" s="91"/>
      <c r="IEG170" s="89"/>
      <c r="IEI170" s="91"/>
      <c r="IEL170" s="89"/>
      <c r="IEN170" s="91"/>
      <c r="IEQ170" s="89"/>
      <c r="IES170" s="91"/>
      <c r="IEV170" s="89"/>
      <c r="IEX170" s="91"/>
      <c r="IFA170" s="89"/>
      <c r="IFC170" s="91"/>
      <c r="IFF170" s="89"/>
      <c r="IFH170" s="91"/>
      <c r="IFK170" s="89"/>
      <c r="IFM170" s="91"/>
      <c r="IFP170" s="89"/>
      <c r="IFR170" s="91"/>
      <c r="IFU170" s="89"/>
      <c r="IFW170" s="91"/>
      <c r="IFZ170" s="89"/>
      <c r="IGB170" s="91"/>
      <c r="IGE170" s="89"/>
      <c r="IGG170" s="91"/>
      <c r="IGJ170" s="89"/>
      <c r="IGL170" s="91"/>
      <c r="IGO170" s="89"/>
      <c r="IGQ170" s="91"/>
      <c r="IGT170" s="89"/>
      <c r="IGV170" s="91"/>
      <c r="IGY170" s="89"/>
      <c r="IHA170" s="91"/>
      <c r="IHD170" s="89"/>
      <c r="IHF170" s="91"/>
      <c r="IHI170" s="89"/>
      <c r="IHK170" s="91"/>
      <c r="IHN170" s="89"/>
      <c r="IHP170" s="91"/>
      <c r="IHS170" s="89"/>
      <c r="IHU170" s="91"/>
      <c r="IHX170" s="89"/>
      <c r="IHZ170" s="91"/>
      <c r="IIC170" s="89"/>
      <c r="IIE170" s="91"/>
      <c r="IIH170" s="89"/>
      <c r="IIJ170" s="91"/>
      <c r="IIM170" s="89"/>
      <c r="IIO170" s="91"/>
      <c r="IIR170" s="89"/>
      <c r="IIT170" s="91"/>
      <c r="IIW170" s="89"/>
      <c r="IIY170" s="91"/>
      <c r="IJB170" s="89"/>
      <c r="IJD170" s="91"/>
      <c r="IJG170" s="89"/>
      <c r="IJI170" s="91"/>
      <c r="IJL170" s="89"/>
      <c r="IJN170" s="91"/>
      <c r="IJQ170" s="89"/>
      <c r="IJS170" s="91"/>
      <c r="IJV170" s="89"/>
      <c r="IJX170" s="91"/>
      <c r="IKA170" s="89"/>
      <c r="IKC170" s="91"/>
      <c r="IKF170" s="89"/>
      <c r="IKH170" s="91"/>
      <c r="IKK170" s="89"/>
      <c r="IKM170" s="91"/>
      <c r="IKP170" s="89"/>
      <c r="IKR170" s="91"/>
      <c r="IKU170" s="89"/>
      <c r="IKW170" s="91"/>
      <c r="IKZ170" s="89"/>
      <c r="ILB170" s="91"/>
      <c r="ILE170" s="89"/>
      <c r="ILG170" s="91"/>
      <c r="ILJ170" s="89"/>
      <c r="ILL170" s="91"/>
      <c r="ILO170" s="89"/>
      <c r="ILQ170" s="91"/>
      <c r="ILT170" s="89"/>
      <c r="ILV170" s="91"/>
      <c r="ILY170" s="89"/>
      <c r="IMA170" s="91"/>
      <c r="IMD170" s="89"/>
      <c r="IMF170" s="91"/>
      <c r="IMI170" s="89"/>
      <c r="IMK170" s="91"/>
      <c r="IMN170" s="89"/>
      <c r="IMP170" s="91"/>
      <c r="IMS170" s="89"/>
      <c r="IMU170" s="91"/>
      <c r="IMX170" s="89"/>
      <c r="IMZ170" s="91"/>
      <c r="INC170" s="89"/>
      <c r="INE170" s="91"/>
      <c r="INH170" s="89"/>
      <c r="INJ170" s="91"/>
      <c r="INM170" s="89"/>
      <c r="INO170" s="91"/>
      <c r="INR170" s="89"/>
      <c r="INT170" s="91"/>
      <c r="INW170" s="89"/>
      <c r="INY170" s="91"/>
      <c r="IOB170" s="89"/>
      <c r="IOD170" s="91"/>
      <c r="IOG170" s="89"/>
      <c r="IOI170" s="91"/>
      <c r="IOL170" s="89"/>
      <c r="ION170" s="91"/>
      <c r="IOQ170" s="89"/>
      <c r="IOS170" s="91"/>
      <c r="IOV170" s="89"/>
      <c r="IOX170" s="91"/>
      <c r="IPA170" s="89"/>
      <c r="IPC170" s="91"/>
      <c r="IPF170" s="89"/>
      <c r="IPH170" s="91"/>
      <c r="IPK170" s="89"/>
      <c r="IPM170" s="91"/>
      <c r="IPP170" s="89"/>
      <c r="IPR170" s="91"/>
      <c r="IPU170" s="89"/>
      <c r="IPW170" s="91"/>
      <c r="IPZ170" s="89"/>
      <c r="IQB170" s="91"/>
      <c r="IQE170" s="89"/>
      <c r="IQG170" s="91"/>
      <c r="IQJ170" s="89"/>
      <c r="IQL170" s="91"/>
      <c r="IQO170" s="89"/>
      <c r="IQQ170" s="91"/>
      <c r="IQT170" s="89"/>
      <c r="IQV170" s="91"/>
      <c r="IQY170" s="89"/>
      <c r="IRA170" s="91"/>
      <c r="IRD170" s="89"/>
      <c r="IRF170" s="91"/>
      <c r="IRI170" s="89"/>
      <c r="IRK170" s="91"/>
      <c r="IRN170" s="89"/>
      <c r="IRP170" s="91"/>
      <c r="IRS170" s="89"/>
      <c r="IRU170" s="91"/>
      <c r="IRX170" s="89"/>
      <c r="IRZ170" s="91"/>
      <c r="ISC170" s="89"/>
      <c r="ISE170" s="91"/>
      <c r="ISH170" s="89"/>
      <c r="ISJ170" s="91"/>
      <c r="ISM170" s="89"/>
      <c r="ISO170" s="91"/>
      <c r="ISR170" s="89"/>
      <c r="IST170" s="91"/>
      <c r="ISW170" s="89"/>
      <c r="ISY170" s="91"/>
      <c r="ITB170" s="89"/>
      <c r="ITD170" s="91"/>
      <c r="ITG170" s="89"/>
      <c r="ITI170" s="91"/>
      <c r="ITL170" s="89"/>
      <c r="ITN170" s="91"/>
      <c r="ITQ170" s="89"/>
      <c r="ITS170" s="91"/>
      <c r="ITV170" s="89"/>
      <c r="ITX170" s="91"/>
      <c r="IUA170" s="89"/>
      <c r="IUC170" s="91"/>
      <c r="IUF170" s="89"/>
      <c r="IUH170" s="91"/>
      <c r="IUK170" s="89"/>
      <c r="IUM170" s="91"/>
      <c r="IUP170" s="89"/>
      <c r="IUR170" s="91"/>
      <c r="IUU170" s="89"/>
      <c r="IUW170" s="91"/>
      <c r="IUZ170" s="89"/>
      <c r="IVB170" s="91"/>
      <c r="IVE170" s="89"/>
      <c r="IVG170" s="91"/>
      <c r="IVJ170" s="89"/>
      <c r="IVL170" s="91"/>
      <c r="IVO170" s="89"/>
      <c r="IVQ170" s="91"/>
      <c r="IVT170" s="89"/>
      <c r="IVV170" s="91"/>
      <c r="IVY170" s="89"/>
      <c r="IWA170" s="91"/>
      <c r="IWD170" s="89"/>
      <c r="IWF170" s="91"/>
      <c r="IWI170" s="89"/>
      <c r="IWK170" s="91"/>
      <c r="IWN170" s="89"/>
      <c r="IWP170" s="91"/>
      <c r="IWS170" s="89"/>
      <c r="IWU170" s="91"/>
      <c r="IWX170" s="89"/>
      <c r="IWZ170" s="91"/>
      <c r="IXC170" s="89"/>
      <c r="IXE170" s="91"/>
      <c r="IXH170" s="89"/>
      <c r="IXJ170" s="91"/>
      <c r="IXM170" s="89"/>
      <c r="IXO170" s="91"/>
      <c r="IXR170" s="89"/>
      <c r="IXT170" s="91"/>
      <c r="IXW170" s="89"/>
      <c r="IXY170" s="91"/>
      <c r="IYB170" s="89"/>
      <c r="IYD170" s="91"/>
      <c r="IYG170" s="89"/>
      <c r="IYI170" s="91"/>
      <c r="IYL170" s="89"/>
      <c r="IYN170" s="91"/>
      <c r="IYQ170" s="89"/>
      <c r="IYS170" s="91"/>
      <c r="IYV170" s="89"/>
      <c r="IYX170" s="91"/>
      <c r="IZA170" s="89"/>
      <c r="IZC170" s="91"/>
      <c r="IZF170" s="89"/>
      <c r="IZH170" s="91"/>
      <c r="IZK170" s="89"/>
      <c r="IZM170" s="91"/>
      <c r="IZP170" s="89"/>
      <c r="IZR170" s="91"/>
      <c r="IZU170" s="89"/>
      <c r="IZW170" s="91"/>
      <c r="IZZ170" s="89"/>
      <c r="JAB170" s="91"/>
      <c r="JAE170" s="89"/>
      <c r="JAG170" s="91"/>
      <c r="JAJ170" s="89"/>
      <c r="JAL170" s="91"/>
      <c r="JAO170" s="89"/>
      <c r="JAQ170" s="91"/>
      <c r="JAT170" s="89"/>
      <c r="JAV170" s="91"/>
      <c r="JAY170" s="89"/>
      <c r="JBA170" s="91"/>
      <c r="JBD170" s="89"/>
      <c r="JBF170" s="91"/>
      <c r="JBI170" s="89"/>
      <c r="JBK170" s="91"/>
      <c r="JBN170" s="89"/>
      <c r="JBP170" s="91"/>
      <c r="JBS170" s="89"/>
      <c r="JBU170" s="91"/>
      <c r="JBX170" s="89"/>
      <c r="JBZ170" s="91"/>
      <c r="JCC170" s="89"/>
      <c r="JCE170" s="91"/>
      <c r="JCH170" s="89"/>
      <c r="JCJ170" s="91"/>
      <c r="JCM170" s="89"/>
      <c r="JCO170" s="91"/>
      <c r="JCR170" s="89"/>
      <c r="JCT170" s="91"/>
      <c r="JCW170" s="89"/>
      <c r="JCY170" s="91"/>
      <c r="JDB170" s="89"/>
      <c r="JDD170" s="91"/>
      <c r="JDG170" s="89"/>
      <c r="JDI170" s="91"/>
      <c r="JDL170" s="89"/>
      <c r="JDN170" s="91"/>
      <c r="JDQ170" s="89"/>
      <c r="JDS170" s="91"/>
      <c r="JDV170" s="89"/>
      <c r="JDX170" s="91"/>
      <c r="JEA170" s="89"/>
      <c r="JEC170" s="91"/>
      <c r="JEF170" s="89"/>
      <c r="JEH170" s="91"/>
      <c r="JEK170" s="89"/>
      <c r="JEM170" s="91"/>
      <c r="JEP170" s="89"/>
      <c r="JER170" s="91"/>
      <c r="JEU170" s="89"/>
      <c r="JEW170" s="91"/>
      <c r="JEZ170" s="89"/>
      <c r="JFB170" s="91"/>
      <c r="JFE170" s="89"/>
      <c r="JFG170" s="91"/>
      <c r="JFJ170" s="89"/>
      <c r="JFL170" s="91"/>
      <c r="JFO170" s="89"/>
      <c r="JFQ170" s="91"/>
      <c r="JFT170" s="89"/>
      <c r="JFV170" s="91"/>
      <c r="JFY170" s="89"/>
      <c r="JGA170" s="91"/>
      <c r="JGD170" s="89"/>
      <c r="JGF170" s="91"/>
      <c r="JGI170" s="89"/>
      <c r="JGK170" s="91"/>
      <c r="JGN170" s="89"/>
      <c r="JGP170" s="91"/>
      <c r="JGS170" s="89"/>
      <c r="JGU170" s="91"/>
      <c r="JGX170" s="89"/>
      <c r="JGZ170" s="91"/>
      <c r="JHC170" s="89"/>
      <c r="JHE170" s="91"/>
      <c r="JHH170" s="89"/>
      <c r="JHJ170" s="91"/>
      <c r="JHM170" s="89"/>
      <c r="JHO170" s="91"/>
      <c r="JHR170" s="89"/>
      <c r="JHT170" s="91"/>
      <c r="JHW170" s="89"/>
      <c r="JHY170" s="91"/>
      <c r="JIB170" s="89"/>
      <c r="JID170" s="91"/>
      <c r="JIG170" s="89"/>
      <c r="JII170" s="91"/>
      <c r="JIL170" s="89"/>
      <c r="JIN170" s="91"/>
      <c r="JIQ170" s="89"/>
      <c r="JIS170" s="91"/>
      <c r="JIV170" s="89"/>
      <c r="JIX170" s="91"/>
      <c r="JJA170" s="89"/>
      <c r="JJC170" s="91"/>
      <c r="JJF170" s="89"/>
      <c r="JJH170" s="91"/>
      <c r="JJK170" s="89"/>
      <c r="JJM170" s="91"/>
      <c r="JJP170" s="89"/>
      <c r="JJR170" s="91"/>
      <c r="JJU170" s="89"/>
      <c r="JJW170" s="91"/>
      <c r="JJZ170" s="89"/>
      <c r="JKB170" s="91"/>
      <c r="JKE170" s="89"/>
      <c r="JKG170" s="91"/>
      <c r="JKJ170" s="89"/>
      <c r="JKL170" s="91"/>
      <c r="JKO170" s="89"/>
      <c r="JKQ170" s="91"/>
      <c r="JKT170" s="89"/>
      <c r="JKV170" s="91"/>
      <c r="JKY170" s="89"/>
      <c r="JLA170" s="91"/>
      <c r="JLD170" s="89"/>
      <c r="JLF170" s="91"/>
      <c r="JLI170" s="89"/>
      <c r="JLK170" s="91"/>
      <c r="JLN170" s="89"/>
      <c r="JLP170" s="91"/>
      <c r="JLS170" s="89"/>
      <c r="JLU170" s="91"/>
      <c r="JLX170" s="89"/>
      <c r="JLZ170" s="91"/>
      <c r="JMC170" s="89"/>
      <c r="JME170" s="91"/>
      <c r="JMH170" s="89"/>
      <c r="JMJ170" s="91"/>
      <c r="JMM170" s="89"/>
      <c r="JMO170" s="91"/>
      <c r="JMR170" s="89"/>
      <c r="JMT170" s="91"/>
      <c r="JMW170" s="89"/>
      <c r="JMY170" s="91"/>
      <c r="JNB170" s="89"/>
      <c r="JND170" s="91"/>
      <c r="JNG170" s="89"/>
      <c r="JNI170" s="91"/>
      <c r="JNL170" s="89"/>
      <c r="JNN170" s="91"/>
      <c r="JNQ170" s="89"/>
      <c r="JNS170" s="91"/>
      <c r="JNV170" s="89"/>
      <c r="JNX170" s="91"/>
      <c r="JOA170" s="89"/>
      <c r="JOC170" s="91"/>
      <c r="JOF170" s="89"/>
      <c r="JOH170" s="91"/>
      <c r="JOK170" s="89"/>
      <c r="JOM170" s="91"/>
      <c r="JOP170" s="89"/>
      <c r="JOR170" s="91"/>
      <c r="JOU170" s="89"/>
      <c r="JOW170" s="91"/>
      <c r="JOZ170" s="89"/>
      <c r="JPB170" s="91"/>
      <c r="JPE170" s="89"/>
      <c r="JPG170" s="91"/>
      <c r="JPJ170" s="89"/>
      <c r="JPL170" s="91"/>
      <c r="JPO170" s="89"/>
      <c r="JPQ170" s="91"/>
      <c r="JPT170" s="89"/>
      <c r="JPV170" s="91"/>
      <c r="JPY170" s="89"/>
      <c r="JQA170" s="91"/>
      <c r="JQD170" s="89"/>
      <c r="JQF170" s="91"/>
      <c r="JQI170" s="89"/>
      <c r="JQK170" s="91"/>
      <c r="JQN170" s="89"/>
      <c r="JQP170" s="91"/>
      <c r="JQS170" s="89"/>
      <c r="JQU170" s="91"/>
      <c r="JQX170" s="89"/>
      <c r="JQZ170" s="91"/>
      <c r="JRC170" s="89"/>
      <c r="JRE170" s="91"/>
      <c r="JRH170" s="89"/>
      <c r="JRJ170" s="91"/>
      <c r="JRM170" s="89"/>
      <c r="JRO170" s="91"/>
      <c r="JRR170" s="89"/>
      <c r="JRT170" s="91"/>
      <c r="JRW170" s="89"/>
      <c r="JRY170" s="91"/>
      <c r="JSB170" s="89"/>
      <c r="JSD170" s="91"/>
      <c r="JSG170" s="89"/>
      <c r="JSI170" s="91"/>
      <c r="JSL170" s="89"/>
      <c r="JSN170" s="91"/>
      <c r="JSQ170" s="89"/>
      <c r="JSS170" s="91"/>
      <c r="JSV170" s="89"/>
      <c r="JSX170" s="91"/>
      <c r="JTA170" s="89"/>
      <c r="JTC170" s="91"/>
      <c r="JTF170" s="89"/>
      <c r="JTH170" s="91"/>
      <c r="JTK170" s="89"/>
      <c r="JTM170" s="91"/>
      <c r="JTP170" s="89"/>
      <c r="JTR170" s="91"/>
      <c r="JTU170" s="89"/>
      <c r="JTW170" s="91"/>
      <c r="JTZ170" s="89"/>
      <c r="JUB170" s="91"/>
      <c r="JUE170" s="89"/>
      <c r="JUG170" s="91"/>
      <c r="JUJ170" s="89"/>
      <c r="JUL170" s="91"/>
      <c r="JUO170" s="89"/>
      <c r="JUQ170" s="91"/>
      <c r="JUT170" s="89"/>
      <c r="JUV170" s="91"/>
      <c r="JUY170" s="89"/>
      <c r="JVA170" s="91"/>
      <c r="JVD170" s="89"/>
      <c r="JVF170" s="91"/>
      <c r="JVI170" s="89"/>
      <c r="JVK170" s="91"/>
      <c r="JVN170" s="89"/>
      <c r="JVP170" s="91"/>
      <c r="JVS170" s="89"/>
      <c r="JVU170" s="91"/>
      <c r="JVX170" s="89"/>
      <c r="JVZ170" s="91"/>
      <c r="JWC170" s="89"/>
      <c r="JWE170" s="91"/>
      <c r="JWH170" s="89"/>
      <c r="JWJ170" s="91"/>
      <c r="JWM170" s="89"/>
      <c r="JWO170" s="91"/>
      <c r="JWR170" s="89"/>
      <c r="JWT170" s="91"/>
      <c r="JWW170" s="89"/>
      <c r="JWY170" s="91"/>
      <c r="JXB170" s="89"/>
      <c r="JXD170" s="91"/>
      <c r="JXG170" s="89"/>
      <c r="JXI170" s="91"/>
      <c r="JXL170" s="89"/>
      <c r="JXN170" s="91"/>
      <c r="JXQ170" s="89"/>
      <c r="JXS170" s="91"/>
      <c r="JXV170" s="89"/>
      <c r="JXX170" s="91"/>
      <c r="JYA170" s="89"/>
      <c r="JYC170" s="91"/>
      <c r="JYF170" s="89"/>
      <c r="JYH170" s="91"/>
      <c r="JYK170" s="89"/>
      <c r="JYM170" s="91"/>
      <c r="JYP170" s="89"/>
      <c r="JYR170" s="91"/>
      <c r="JYU170" s="89"/>
      <c r="JYW170" s="91"/>
      <c r="JYZ170" s="89"/>
      <c r="JZB170" s="91"/>
      <c r="JZE170" s="89"/>
      <c r="JZG170" s="91"/>
      <c r="JZJ170" s="89"/>
      <c r="JZL170" s="91"/>
      <c r="JZO170" s="89"/>
      <c r="JZQ170" s="91"/>
      <c r="JZT170" s="89"/>
      <c r="JZV170" s="91"/>
      <c r="JZY170" s="89"/>
      <c r="KAA170" s="91"/>
      <c r="KAD170" s="89"/>
      <c r="KAF170" s="91"/>
      <c r="KAI170" s="89"/>
      <c r="KAK170" s="91"/>
      <c r="KAN170" s="89"/>
      <c r="KAP170" s="91"/>
      <c r="KAS170" s="89"/>
      <c r="KAU170" s="91"/>
      <c r="KAX170" s="89"/>
      <c r="KAZ170" s="91"/>
      <c r="KBC170" s="89"/>
      <c r="KBE170" s="91"/>
      <c r="KBH170" s="89"/>
      <c r="KBJ170" s="91"/>
      <c r="KBM170" s="89"/>
      <c r="KBO170" s="91"/>
      <c r="KBR170" s="89"/>
      <c r="KBT170" s="91"/>
      <c r="KBW170" s="89"/>
      <c r="KBY170" s="91"/>
      <c r="KCB170" s="89"/>
      <c r="KCD170" s="91"/>
      <c r="KCG170" s="89"/>
      <c r="KCI170" s="91"/>
      <c r="KCL170" s="89"/>
      <c r="KCN170" s="91"/>
      <c r="KCQ170" s="89"/>
      <c r="KCS170" s="91"/>
      <c r="KCV170" s="89"/>
      <c r="KCX170" s="91"/>
      <c r="KDA170" s="89"/>
      <c r="KDC170" s="91"/>
      <c r="KDF170" s="89"/>
      <c r="KDH170" s="91"/>
      <c r="KDK170" s="89"/>
      <c r="KDM170" s="91"/>
      <c r="KDP170" s="89"/>
      <c r="KDR170" s="91"/>
      <c r="KDU170" s="89"/>
      <c r="KDW170" s="91"/>
      <c r="KDZ170" s="89"/>
      <c r="KEB170" s="91"/>
      <c r="KEE170" s="89"/>
      <c r="KEG170" s="91"/>
      <c r="KEJ170" s="89"/>
      <c r="KEL170" s="91"/>
      <c r="KEO170" s="89"/>
      <c r="KEQ170" s="91"/>
      <c r="KET170" s="89"/>
      <c r="KEV170" s="91"/>
      <c r="KEY170" s="89"/>
      <c r="KFA170" s="91"/>
      <c r="KFD170" s="89"/>
      <c r="KFF170" s="91"/>
      <c r="KFI170" s="89"/>
      <c r="KFK170" s="91"/>
      <c r="KFN170" s="89"/>
      <c r="KFP170" s="91"/>
      <c r="KFS170" s="89"/>
      <c r="KFU170" s="91"/>
      <c r="KFX170" s="89"/>
      <c r="KFZ170" s="91"/>
      <c r="KGC170" s="89"/>
      <c r="KGE170" s="91"/>
      <c r="KGH170" s="89"/>
      <c r="KGJ170" s="91"/>
      <c r="KGM170" s="89"/>
      <c r="KGO170" s="91"/>
      <c r="KGR170" s="89"/>
      <c r="KGT170" s="91"/>
      <c r="KGW170" s="89"/>
      <c r="KGY170" s="91"/>
      <c r="KHB170" s="89"/>
      <c r="KHD170" s="91"/>
      <c r="KHG170" s="89"/>
      <c r="KHI170" s="91"/>
      <c r="KHL170" s="89"/>
      <c r="KHN170" s="91"/>
      <c r="KHQ170" s="89"/>
      <c r="KHS170" s="91"/>
      <c r="KHV170" s="89"/>
      <c r="KHX170" s="91"/>
      <c r="KIA170" s="89"/>
      <c r="KIC170" s="91"/>
      <c r="KIF170" s="89"/>
      <c r="KIH170" s="91"/>
      <c r="KIK170" s="89"/>
      <c r="KIM170" s="91"/>
      <c r="KIP170" s="89"/>
      <c r="KIR170" s="91"/>
      <c r="KIU170" s="89"/>
      <c r="KIW170" s="91"/>
      <c r="KIZ170" s="89"/>
      <c r="KJB170" s="91"/>
      <c r="KJE170" s="89"/>
      <c r="KJG170" s="91"/>
      <c r="KJJ170" s="89"/>
      <c r="KJL170" s="91"/>
      <c r="KJO170" s="89"/>
      <c r="KJQ170" s="91"/>
      <c r="KJT170" s="89"/>
      <c r="KJV170" s="91"/>
      <c r="KJY170" s="89"/>
      <c r="KKA170" s="91"/>
      <c r="KKD170" s="89"/>
      <c r="KKF170" s="91"/>
      <c r="KKI170" s="89"/>
      <c r="KKK170" s="91"/>
      <c r="KKN170" s="89"/>
      <c r="KKP170" s="91"/>
      <c r="KKS170" s="89"/>
      <c r="KKU170" s="91"/>
      <c r="KKX170" s="89"/>
      <c r="KKZ170" s="91"/>
      <c r="KLC170" s="89"/>
      <c r="KLE170" s="91"/>
      <c r="KLH170" s="89"/>
      <c r="KLJ170" s="91"/>
      <c r="KLM170" s="89"/>
      <c r="KLO170" s="91"/>
      <c r="KLR170" s="89"/>
      <c r="KLT170" s="91"/>
      <c r="KLW170" s="89"/>
      <c r="KLY170" s="91"/>
      <c r="KMB170" s="89"/>
      <c r="KMD170" s="91"/>
      <c r="KMG170" s="89"/>
      <c r="KMI170" s="91"/>
      <c r="KML170" s="89"/>
      <c r="KMN170" s="91"/>
      <c r="KMQ170" s="89"/>
      <c r="KMS170" s="91"/>
      <c r="KMV170" s="89"/>
      <c r="KMX170" s="91"/>
      <c r="KNA170" s="89"/>
      <c r="KNC170" s="91"/>
      <c r="KNF170" s="89"/>
      <c r="KNH170" s="91"/>
      <c r="KNK170" s="89"/>
      <c r="KNM170" s="91"/>
      <c r="KNP170" s="89"/>
      <c r="KNR170" s="91"/>
      <c r="KNU170" s="89"/>
      <c r="KNW170" s="91"/>
      <c r="KNZ170" s="89"/>
      <c r="KOB170" s="91"/>
      <c r="KOE170" s="89"/>
      <c r="KOG170" s="91"/>
      <c r="KOJ170" s="89"/>
      <c r="KOL170" s="91"/>
      <c r="KOO170" s="89"/>
      <c r="KOQ170" s="91"/>
      <c r="KOT170" s="89"/>
      <c r="KOV170" s="91"/>
      <c r="KOY170" s="89"/>
      <c r="KPA170" s="91"/>
      <c r="KPD170" s="89"/>
      <c r="KPF170" s="91"/>
      <c r="KPI170" s="89"/>
      <c r="KPK170" s="91"/>
      <c r="KPN170" s="89"/>
      <c r="KPP170" s="91"/>
      <c r="KPS170" s="89"/>
      <c r="KPU170" s="91"/>
      <c r="KPX170" s="89"/>
      <c r="KPZ170" s="91"/>
      <c r="KQC170" s="89"/>
      <c r="KQE170" s="91"/>
      <c r="KQH170" s="89"/>
      <c r="KQJ170" s="91"/>
      <c r="KQM170" s="89"/>
      <c r="KQO170" s="91"/>
      <c r="KQR170" s="89"/>
      <c r="KQT170" s="91"/>
      <c r="KQW170" s="89"/>
      <c r="KQY170" s="91"/>
      <c r="KRB170" s="89"/>
      <c r="KRD170" s="91"/>
      <c r="KRG170" s="89"/>
      <c r="KRI170" s="91"/>
      <c r="KRL170" s="89"/>
      <c r="KRN170" s="91"/>
      <c r="KRQ170" s="89"/>
      <c r="KRS170" s="91"/>
      <c r="KRV170" s="89"/>
      <c r="KRX170" s="91"/>
      <c r="KSA170" s="89"/>
      <c r="KSC170" s="91"/>
      <c r="KSF170" s="89"/>
      <c r="KSH170" s="91"/>
      <c r="KSK170" s="89"/>
      <c r="KSM170" s="91"/>
      <c r="KSP170" s="89"/>
      <c r="KSR170" s="91"/>
      <c r="KSU170" s="89"/>
      <c r="KSW170" s="91"/>
      <c r="KSZ170" s="89"/>
      <c r="KTB170" s="91"/>
      <c r="KTE170" s="89"/>
      <c r="KTG170" s="91"/>
      <c r="KTJ170" s="89"/>
      <c r="KTL170" s="91"/>
      <c r="KTO170" s="89"/>
      <c r="KTQ170" s="91"/>
      <c r="KTT170" s="89"/>
      <c r="KTV170" s="91"/>
      <c r="KTY170" s="89"/>
      <c r="KUA170" s="91"/>
      <c r="KUD170" s="89"/>
      <c r="KUF170" s="91"/>
      <c r="KUI170" s="89"/>
      <c r="KUK170" s="91"/>
      <c r="KUN170" s="89"/>
      <c r="KUP170" s="91"/>
      <c r="KUS170" s="89"/>
      <c r="KUU170" s="91"/>
      <c r="KUX170" s="89"/>
      <c r="KUZ170" s="91"/>
      <c r="KVC170" s="89"/>
      <c r="KVE170" s="91"/>
      <c r="KVH170" s="89"/>
      <c r="KVJ170" s="91"/>
      <c r="KVM170" s="89"/>
      <c r="KVO170" s="91"/>
      <c r="KVR170" s="89"/>
      <c r="KVT170" s="91"/>
      <c r="KVW170" s="89"/>
      <c r="KVY170" s="91"/>
      <c r="KWB170" s="89"/>
      <c r="KWD170" s="91"/>
      <c r="KWG170" s="89"/>
      <c r="KWI170" s="91"/>
      <c r="KWL170" s="89"/>
      <c r="KWN170" s="91"/>
      <c r="KWQ170" s="89"/>
      <c r="KWS170" s="91"/>
      <c r="KWV170" s="89"/>
      <c r="KWX170" s="91"/>
      <c r="KXA170" s="89"/>
      <c r="KXC170" s="91"/>
      <c r="KXF170" s="89"/>
      <c r="KXH170" s="91"/>
      <c r="KXK170" s="89"/>
      <c r="KXM170" s="91"/>
      <c r="KXP170" s="89"/>
      <c r="KXR170" s="91"/>
      <c r="KXU170" s="89"/>
      <c r="KXW170" s="91"/>
      <c r="KXZ170" s="89"/>
      <c r="KYB170" s="91"/>
      <c r="KYE170" s="89"/>
      <c r="KYG170" s="91"/>
      <c r="KYJ170" s="89"/>
      <c r="KYL170" s="91"/>
      <c r="KYO170" s="89"/>
      <c r="KYQ170" s="91"/>
      <c r="KYT170" s="89"/>
      <c r="KYV170" s="91"/>
      <c r="KYY170" s="89"/>
      <c r="KZA170" s="91"/>
      <c r="KZD170" s="89"/>
      <c r="KZF170" s="91"/>
      <c r="KZI170" s="89"/>
      <c r="KZK170" s="91"/>
      <c r="KZN170" s="89"/>
      <c r="KZP170" s="91"/>
      <c r="KZS170" s="89"/>
      <c r="KZU170" s="91"/>
      <c r="KZX170" s="89"/>
      <c r="KZZ170" s="91"/>
      <c r="LAC170" s="89"/>
      <c r="LAE170" s="91"/>
      <c r="LAH170" s="89"/>
      <c r="LAJ170" s="91"/>
      <c r="LAM170" s="89"/>
      <c r="LAO170" s="91"/>
      <c r="LAR170" s="89"/>
      <c r="LAT170" s="91"/>
      <c r="LAW170" s="89"/>
      <c r="LAY170" s="91"/>
      <c r="LBB170" s="89"/>
      <c r="LBD170" s="91"/>
      <c r="LBG170" s="89"/>
      <c r="LBI170" s="91"/>
      <c r="LBL170" s="89"/>
      <c r="LBN170" s="91"/>
      <c r="LBQ170" s="89"/>
      <c r="LBS170" s="91"/>
      <c r="LBV170" s="89"/>
      <c r="LBX170" s="91"/>
      <c r="LCA170" s="89"/>
      <c r="LCC170" s="91"/>
      <c r="LCF170" s="89"/>
      <c r="LCH170" s="91"/>
      <c r="LCK170" s="89"/>
      <c r="LCM170" s="91"/>
      <c r="LCP170" s="89"/>
      <c r="LCR170" s="91"/>
      <c r="LCU170" s="89"/>
      <c r="LCW170" s="91"/>
      <c r="LCZ170" s="89"/>
      <c r="LDB170" s="91"/>
      <c r="LDE170" s="89"/>
      <c r="LDG170" s="91"/>
      <c r="LDJ170" s="89"/>
      <c r="LDL170" s="91"/>
      <c r="LDO170" s="89"/>
      <c r="LDQ170" s="91"/>
      <c r="LDT170" s="89"/>
      <c r="LDV170" s="91"/>
      <c r="LDY170" s="89"/>
      <c r="LEA170" s="91"/>
      <c r="LED170" s="89"/>
      <c r="LEF170" s="91"/>
      <c r="LEI170" s="89"/>
      <c r="LEK170" s="91"/>
      <c r="LEN170" s="89"/>
      <c r="LEP170" s="91"/>
      <c r="LES170" s="89"/>
      <c r="LEU170" s="91"/>
      <c r="LEX170" s="89"/>
      <c r="LEZ170" s="91"/>
      <c r="LFC170" s="89"/>
      <c r="LFE170" s="91"/>
      <c r="LFH170" s="89"/>
      <c r="LFJ170" s="91"/>
      <c r="LFM170" s="89"/>
      <c r="LFO170" s="91"/>
      <c r="LFR170" s="89"/>
      <c r="LFT170" s="91"/>
      <c r="LFW170" s="89"/>
      <c r="LFY170" s="91"/>
      <c r="LGB170" s="89"/>
      <c r="LGD170" s="91"/>
      <c r="LGG170" s="89"/>
      <c r="LGI170" s="91"/>
      <c r="LGL170" s="89"/>
      <c r="LGN170" s="91"/>
      <c r="LGQ170" s="89"/>
      <c r="LGS170" s="91"/>
      <c r="LGV170" s="89"/>
      <c r="LGX170" s="91"/>
      <c r="LHA170" s="89"/>
      <c r="LHC170" s="91"/>
      <c r="LHF170" s="89"/>
      <c r="LHH170" s="91"/>
      <c r="LHK170" s="89"/>
      <c r="LHM170" s="91"/>
      <c r="LHP170" s="89"/>
      <c r="LHR170" s="91"/>
      <c r="LHU170" s="89"/>
      <c r="LHW170" s="91"/>
      <c r="LHZ170" s="89"/>
      <c r="LIB170" s="91"/>
      <c r="LIE170" s="89"/>
      <c r="LIG170" s="91"/>
      <c r="LIJ170" s="89"/>
      <c r="LIL170" s="91"/>
      <c r="LIO170" s="89"/>
      <c r="LIQ170" s="91"/>
      <c r="LIT170" s="89"/>
      <c r="LIV170" s="91"/>
      <c r="LIY170" s="89"/>
      <c r="LJA170" s="91"/>
      <c r="LJD170" s="89"/>
      <c r="LJF170" s="91"/>
      <c r="LJI170" s="89"/>
      <c r="LJK170" s="91"/>
      <c r="LJN170" s="89"/>
      <c r="LJP170" s="91"/>
      <c r="LJS170" s="89"/>
      <c r="LJU170" s="91"/>
      <c r="LJX170" s="89"/>
      <c r="LJZ170" s="91"/>
      <c r="LKC170" s="89"/>
      <c r="LKE170" s="91"/>
      <c r="LKH170" s="89"/>
      <c r="LKJ170" s="91"/>
      <c r="LKM170" s="89"/>
      <c r="LKO170" s="91"/>
      <c r="LKR170" s="89"/>
      <c r="LKT170" s="91"/>
      <c r="LKW170" s="89"/>
      <c r="LKY170" s="91"/>
      <c r="LLB170" s="89"/>
      <c r="LLD170" s="91"/>
      <c r="LLG170" s="89"/>
      <c r="LLI170" s="91"/>
      <c r="LLL170" s="89"/>
      <c r="LLN170" s="91"/>
      <c r="LLQ170" s="89"/>
      <c r="LLS170" s="91"/>
      <c r="LLV170" s="89"/>
      <c r="LLX170" s="91"/>
      <c r="LMA170" s="89"/>
      <c r="LMC170" s="91"/>
      <c r="LMF170" s="89"/>
      <c r="LMH170" s="91"/>
      <c r="LMK170" s="89"/>
      <c r="LMM170" s="91"/>
      <c r="LMP170" s="89"/>
      <c r="LMR170" s="91"/>
      <c r="LMU170" s="89"/>
      <c r="LMW170" s="91"/>
      <c r="LMZ170" s="89"/>
      <c r="LNB170" s="91"/>
      <c r="LNE170" s="89"/>
      <c r="LNG170" s="91"/>
      <c r="LNJ170" s="89"/>
      <c r="LNL170" s="91"/>
      <c r="LNO170" s="89"/>
      <c r="LNQ170" s="91"/>
      <c r="LNT170" s="89"/>
      <c r="LNV170" s="91"/>
      <c r="LNY170" s="89"/>
      <c r="LOA170" s="91"/>
      <c r="LOD170" s="89"/>
      <c r="LOF170" s="91"/>
      <c r="LOI170" s="89"/>
      <c r="LOK170" s="91"/>
      <c r="LON170" s="89"/>
      <c r="LOP170" s="91"/>
      <c r="LOS170" s="89"/>
      <c r="LOU170" s="91"/>
      <c r="LOX170" s="89"/>
      <c r="LOZ170" s="91"/>
      <c r="LPC170" s="89"/>
      <c r="LPE170" s="91"/>
      <c r="LPH170" s="89"/>
      <c r="LPJ170" s="91"/>
      <c r="LPM170" s="89"/>
      <c r="LPO170" s="91"/>
      <c r="LPR170" s="89"/>
      <c r="LPT170" s="91"/>
      <c r="LPW170" s="89"/>
      <c r="LPY170" s="91"/>
      <c r="LQB170" s="89"/>
      <c r="LQD170" s="91"/>
      <c r="LQG170" s="89"/>
      <c r="LQI170" s="91"/>
      <c r="LQL170" s="89"/>
      <c r="LQN170" s="91"/>
      <c r="LQQ170" s="89"/>
      <c r="LQS170" s="91"/>
      <c r="LQV170" s="89"/>
      <c r="LQX170" s="91"/>
      <c r="LRA170" s="89"/>
      <c r="LRC170" s="91"/>
      <c r="LRF170" s="89"/>
      <c r="LRH170" s="91"/>
      <c r="LRK170" s="89"/>
      <c r="LRM170" s="91"/>
      <c r="LRP170" s="89"/>
      <c r="LRR170" s="91"/>
      <c r="LRU170" s="89"/>
      <c r="LRW170" s="91"/>
      <c r="LRZ170" s="89"/>
      <c r="LSB170" s="91"/>
      <c r="LSE170" s="89"/>
      <c r="LSG170" s="91"/>
      <c r="LSJ170" s="89"/>
      <c r="LSL170" s="91"/>
      <c r="LSO170" s="89"/>
      <c r="LSQ170" s="91"/>
      <c r="LST170" s="89"/>
      <c r="LSV170" s="91"/>
      <c r="LSY170" s="89"/>
      <c r="LTA170" s="91"/>
      <c r="LTD170" s="89"/>
      <c r="LTF170" s="91"/>
      <c r="LTI170" s="89"/>
      <c r="LTK170" s="91"/>
      <c r="LTN170" s="89"/>
      <c r="LTP170" s="91"/>
      <c r="LTS170" s="89"/>
      <c r="LTU170" s="91"/>
      <c r="LTX170" s="89"/>
      <c r="LTZ170" s="91"/>
      <c r="LUC170" s="89"/>
      <c r="LUE170" s="91"/>
      <c r="LUH170" s="89"/>
      <c r="LUJ170" s="91"/>
      <c r="LUM170" s="89"/>
      <c r="LUO170" s="91"/>
      <c r="LUR170" s="89"/>
      <c r="LUT170" s="91"/>
      <c r="LUW170" s="89"/>
      <c r="LUY170" s="91"/>
      <c r="LVB170" s="89"/>
      <c r="LVD170" s="91"/>
      <c r="LVG170" s="89"/>
      <c r="LVI170" s="91"/>
      <c r="LVL170" s="89"/>
      <c r="LVN170" s="91"/>
      <c r="LVQ170" s="89"/>
      <c r="LVS170" s="91"/>
      <c r="LVV170" s="89"/>
      <c r="LVX170" s="91"/>
      <c r="LWA170" s="89"/>
      <c r="LWC170" s="91"/>
      <c r="LWF170" s="89"/>
      <c r="LWH170" s="91"/>
      <c r="LWK170" s="89"/>
      <c r="LWM170" s="91"/>
      <c r="LWP170" s="89"/>
      <c r="LWR170" s="91"/>
      <c r="LWU170" s="89"/>
      <c r="LWW170" s="91"/>
      <c r="LWZ170" s="89"/>
      <c r="LXB170" s="91"/>
      <c r="LXE170" s="89"/>
      <c r="LXG170" s="91"/>
      <c r="LXJ170" s="89"/>
      <c r="LXL170" s="91"/>
      <c r="LXO170" s="89"/>
      <c r="LXQ170" s="91"/>
      <c r="LXT170" s="89"/>
      <c r="LXV170" s="91"/>
      <c r="LXY170" s="89"/>
      <c r="LYA170" s="91"/>
      <c r="LYD170" s="89"/>
      <c r="LYF170" s="91"/>
      <c r="LYI170" s="89"/>
      <c r="LYK170" s="91"/>
      <c r="LYN170" s="89"/>
      <c r="LYP170" s="91"/>
      <c r="LYS170" s="89"/>
      <c r="LYU170" s="91"/>
      <c r="LYX170" s="89"/>
      <c r="LYZ170" s="91"/>
      <c r="LZC170" s="89"/>
      <c r="LZE170" s="91"/>
      <c r="LZH170" s="89"/>
      <c r="LZJ170" s="91"/>
      <c r="LZM170" s="89"/>
      <c r="LZO170" s="91"/>
      <c r="LZR170" s="89"/>
      <c r="LZT170" s="91"/>
      <c r="LZW170" s="89"/>
      <c r="LZY170" s="91"/>
      <c r="MAB170" s="89"/>
      <c r="MAD170" s="91"/>
      <c r="MAG170" s="89"/>
      <c r="MAI170" s="91"/>
      <c r="MAL170" s="89"/>
      <c r="MAN170" s="91"/>
      <c r="MAQ170" s="89"/>
      <c r="MAS170" s="91"/>
      <c r="MAV170" s="89"/>
      <c r="MAX170" s="91"/>
      <c r="MBA170" s="89"/>
      <c r="MBC170" s="91"/>
      <c r="MBF170" s="89"/>
      <c r="MBH170" s="91"/>
      <c r="MBK170" s="89"/>
      <c r="MBM170" s="91"/>
      <c r="MBP170" s="89"/>
      <c r="MBR170" s="91"/>
      <c r="MBU170" s="89"/>
      <c r="MBW170" s="91"/>
      <c r="MBZ170" s="89"/>
      <c r="MCB170" s="91"/>
      <c r="MCE170" s="89"/>
      <c r="MCG170" s="91"/>
      <c r="MCJ170" s="89"/>
      <c r="MCL170" s="91"/>
      <c r="MCO170" s="89"/>
      <c r="MCQ170" s="91"/>
      <c r="MCT170" s="89"/>
      <c r="MCV170" s="91"/>
      <c r="MCY170" s="89"/>
      <c r="MDA170" s="91"/>
      <c r="MDD170" s="89"/>
      <c r="MDF170" s="91"/>
      <c r="MDI170" s="89"/>
      <c r="MDK170" s="91"/>
      <c r="MDN170" s="89"/>
      <c r="MDP170" s="91"/>
      <c r="MDS170" s="89"/>
      <c r="MDU170" s="91"/>
      <c r="MDX170" s="89"/>
      <c r="MDZ170" s="91"/>
      <c r="MEC170" s="89"/>
      <c r="MEE170" s="91"/>
      <c r="MEH170" s="89"/>
      <c r="MEJ170" s="91"/>
      <c r="MEM170" s="89"/>
      <c r="MEO170" s="91"/>
      <c r="MER170" s="89"/>
      <c r="MET170" s="91"/>
      <c r="MEW170" s="89"/>
      <c r="MEY170" s="91"/>
      <c r="MFB170" s="89"/>
      <c r="MFD170" s="91"/>
      <c r="MFG170" s="89"/>
      <c r="MFI170" s="91"/>
      <c r="MFL170" s="89"/>
      <c r="MFN170" s="91"/>
      <c r="MFQ170" s="89"/>
      <c r="MFS170" s="91"/>
      <c r="MFV170" s="89"/>
      <c r="MFX170" s="91"/>
      <c r="MGA170" s="89"/>
      <c r="MGC170" s="91"/>
      <c r="MGF170" s="89"/>
      <c r="MGH170" s="91"/>
      <c r="MGK170" s="89"/>
      <c r="MGM170" s="91"/>
      <c r="MGP170" s="89"/>
      <c r="MGR170" s="91"/>
      <c r="MGU170" s="89"/>
      <c r="MGW170" s="91"/>
      <c r="MGZ170" s="89"/>
      <c r="MHB170" s="91"/>
      <c r="MHE170" s="89"/>
      <c r="MHG170" s="91"/>
      <c r="MHJ170" s="89"/>
      <c r="MHL170" s="91"/>
      <c r="MHO170" s="89"/>
      <c r="MHQ170" s="91"/>
      <c r="MHT170" s="89"/>
      <c r="MHV170" s="91"/>
      <c r="MHY170" s="89"/>
      <c r="MIA170" s="91"/>
      <c r="MID170" s="89"/>
      <c r="MIF170" s="91"/>
      <c r="MII170" s="89"/>
      <c r="MIK170" s="91"/>
      <c r="MIN170" s="89"/>
      <c r="MIP170" s="91"/>
      <c r="MIS170" s="89"/>
      <c r="MIU170" s="91"/>
      <c r="MIX170" s="89"/>
      <c r="MIZ170" s="91"/>
      <c r="MJC170" s="89"/>
      <c r="MJE170" s="91"/>
      <c r="MJH170" s="89"/>
      <c r="MJJ170" s="91"/>
      <c r="MJM170" s="89"/>
      <c r="MJO170" s="91"/>
      <c r="MJR170" s="89"/>
      <c r="MJT170" s="91"/>
      <c r="MJW170" s="89"/>
      <c r="MJY170" s="91"/>
      <c r="MKB170" s="89"/>
      <c r="MKD170" s="91"/>
      <c r="MKG170" s="89"/>
      <c r="MKI170" s="91"/>
      <c r="MKL170" s="89"/>
      <c r="MKN170" s="91"/>
      <c r="MKQ170" s="89"/>
      <c r="MKS170" s="91"/>
      <c r="MKV170" s="89"/>
      <c r="MKX170" s="91"/>
      <c r="MLA170" s="89"/>
      <c r="MLC170" s="91"/>
      <c r="MLF170" s="89"/>
      <c r="MLH170" s="91"/>
      <c r="MLK170" s="89"/>
      <c r="MLM170" s="91"/>
      <c r="MLP170" s="89"/>
      <c r="MLR170" s="91"/>
      <c r="MLU170" s="89"/>
      <c r="MLW170" s="91"/>
      <c r="MLZ170" s="89"/>
      <c r="MMB170" s="91"/>
      <c r="MME170" s="89"/>
      <c r="MMG170" s="91"/>
      <c r="MMJ170" s="89"/>
      <c r="MML170" s="91"/>
      <c r="MMO170" s="89"/>
      <c r="MMQ170" s="91"/>
      <c r="MMT170" s="89"/>
      <c r="MMV170" s="91"/>
      <c r="MMY170" s="89"/>
      <c r="MNA170" s="91"/>
      <c r="MND170" s="89"/>
      <c r="MNF170" s="91"/>
      <c r="MNI170" s="89"/>
      <c r="MNK170" s="91"/>
      <c r="MNN170" s="89"/>
      <c r="MNP170" s="91"/>
      <c r="MNS170" s="89"/>
      <c r="MNU170" s="91"/>
      <c r="MNX170" s="89"/>
      <c r="MNZ170" s="91"/>
      <c r="MOC170" s="89"/>
      <c r="MOE170" s="91"/>
      <c r="MOH170" s="89"/>
      <c r="MOJ170" s="91"/>
      <c r="MOM170" s="89"/>
      <c r="MOO170" s="91"/>
      <c r="MOR170" s="89"/>
      <c r="MOT170" s="91"/>
      <c r="MOW170" s="89"/>
      <c r="MOY170" s="91"/>
      <c r="MPB170" s="89"/>
      <c r="MPD170" s="91"/>
      <c r="MPG170" s="89"/>
      <c r="MPI170" s="91"/>
      <c r="MPL170" s="89"/>
      <c r="MPN170" s="91"/>
      <c r="MPQ170" s="89"/>
      <c r="MPS170" s="91"/>
      <c r="MPV170" s="89"/>
      <c r="MPX170" s="91"/>
      <c r="MQA170" s="89"/>
      <c r="MQC170" s="91"/>
      <c r="MQF170" s="89"/>
      <c r="MQH170" s="91"/>
      <c r="MQK170" s="89"/>
      <c r="MQM170" s="91"/>
      <c r="MQP170" s="89"/>
      <c r="MQR170" s="91"/>
      <c r="MQU170" s="89"/>
      <c r="MQW170" s="91"/>
      <c r="MQZ170" s="89"/>
      <c r="MRB170" s="91"/>
      <c r="MRE170" s="89"/>
      <c r="MRG170" s="91"/>
      <c r="MRJ170" s="89"/>
      <c r="MRL170" s="91"/>
      <c r="MRO170" s="89"/>
      <c r="MRQ170" s="91"/>
      <c r="MRT170" s="89"/>
      <c r="MRV170" s="91"/>
      <c r="MRY170" s="89"/>
      <c r="MSA170" s="91"/>
      <c r="MSD170" s="89"/>
      <c r="MSF170" s="91"/>
      <c r="MSI170" s="89"/>
      <c r="MSK170" s="91"/>
      <c r="MSN170" s="89"/>
      <c r="MSP170" s="91"/>
      <c r="MSS170" s="89"/>
      <c r="MSU170" s="91"/>
      <c r="MSX170" s="89"/>
      <c r="MSZ170" s="91"/>
      <c r="MTC170" s="89"/>
      <c r="MTE170" s="91"/>
      <c r="MTH170" s="89"/>
      <c r="MTJ170" s="91"/>
      <c r="MTM170" s="89"/>
      <c r="MTO170" s="91"/>
      <c r="MTR170" s="89"/>
      <c r="MTT170" s="91"/>
      <c r="MTW170" s="89"/>
      <c r="MTY170" s="91"/>
      <c r="MUB170" s="89"/>
      <c r="MUD170" s="91"/>
      <c r="MUG170" s="89"/>
      <c r="MUI170" s="91"/>
      <c r="MUL170" s="89"/>
      <c r="MUN170" s="91"/>
      <c r="MUQ170" s="89"/>
      <c r="MUS170" s="91"/>
      <c r="MUV170" s="89"/>
      <c r="MUX170" s="91"/>
      <c r="MVA170" s="89"/>
      <c r="MVC170" s="91"/>
      <c r="MVF170" s="89"/>
      <c r="MVH170" s="91"/>
      <c r="MVK170" s="89"/>
      <c r="MVM170" s="91"/>
      <c r="MVP170" s="89"/>
      <c r="MVR170" s="91"/>
      <c r="MVU170" s="89"/>
      <c r="MVW170" s="91"/>
      <c r="MVZ170" s="89"/>
      <c r="MWB170" s="91"/>
      <c r="MWE170" s="89"/>
      <c r="MWG170" s="91"/>
      <c r="MWJ170" s="89"/>
      <c r="MWL170" s="91"/>
      <c r="MWO170" s="89"/>
      <c r="MWQ170" s="91"/>
      <c r="MWT170" s="89"/>
      <c r="MWV170" s="91"/>
      <c r="MWY170" s="89"/>
      <c r="MXA170" s="91"/>
      <c r="MXD170" s="89"/>
      <c r="MXF170" s="91"/>
      <c r="MXI170" s="89"/>
      <c r="MXK170" s="91"/>
      <c r="MXN170" s="89"/>
      <c r="MXP170" s="91"/>
      <c r="MXS170" s="89"/>
      <c r="MXU170" s="91"/>
      <c r="MXX170" s="89"/>
      <c r="MXZ170" s="91"/>
      <c r="MYC170" s="89"/>
      <c r="MYE170" s="91"/>
      <c r="MYH170" s="89"/>
      <c r="MYJ170" s="91"/>
      <c r="MYM170" s="89"/>
      <c r="MYO170" s="91"/>
      <c r="MYR170" s="89"/>
      <c r="MYT170" s="91"/>
      <c r="MYW170" s="89"/>
      <c r="MYY170" s="91"/>
      <c r="MZB170" s="89"/>
      <c r="MZD170" s="91"/>
      <c r="MZG170" s="89"/>
      <c r="MZI170" s="91"/>
      <c r="MZL170" s="89"/>
      <c r="MZN170" s="91"/>
      <c r="MZQ170" s="89"/>
      <c r="MZS170" s="91"/>
      <c r="MZV170" s="89"/>
      <c r="MZX170" s="91"/>
      <c r="NAA170" s="89"/>
      <c r="NAC170" s="91"/>
      <c r="NAF170" s="89"/>
      <c r="NAH170" s="91"/>
      <c r="NAK170" s="89"/>
      <c r="NAM170" s="91"/>
      <c r="NAP170" s="89"/>
      <c r="NAR170" s="91"/>
      <c r="NAU170" s="89"/>
      <c r="NAW170" s="91"/>
      <c r="NAZ170" s="89"/>
      <c r="NBB170" s="91"/>
      <c r="NBE170" s="89"/>
      <c r="NBG170" s="91"/>
      <c r="NBJ170" s="89"/>
      <c r="NBL170" s="91"/>
      <c r="NBO170" s="89"/>
      <c r="NBQ170" s="91"/>
      <c r="NBT170" s="89"/>
      <c r="NBV170" s="91"/>
      <c r="NBY170" s="89"/>
      <c r="NCA170" s="91"/>
      <c r="NCD170" s="89"/>
      <c r="NCF170" s="91"/>
      <c r="NCI170" s="89"/>
      <c r="NCK170" s="91"/>
      <c r="NCN170" s="89"/>
      <c r="NCP170" s="91"/>
      <c r="NCS170" s="89"/>
      <c r="NCU170" s="91"/>
      <c r="NCX170" s="89"/>
      <c r="NCZ170" s="91"/>
      <c r="NDC170" s="89"/>
      <c r="NDE170" s="91"/>
      <c r="NDH170" s="89"/>
      <c r="NDJ170" s="91"/>
      <c r="NDM170" s="89"/>
      <c r="NDO170" s="91"/>
      <c r="NDR170" s="89"/>
      <c r="NDT170" s="91"/>
      <c r="NDW170" s="89"/>
      <c r="NDY170" s="91"/>
      <c r="NEB170" s="89"/>
      <c r="NED170" s="91"/>
      <c r="NEG170" s="89"/>
      <c r="NEI170" s="91"/>
      <c r="NEL170" s="89"/>
      <c r="NEN170" s="91"/>
      <c r="NEQ170" s="89"/>
      <c r="NES170" s="91"/>
      <c r="NEV170" s="89"/>
      <c r="NEX170" s="91"/>
      <c r="NFA170" s="89"/>
      <c r="NFC170" s="91"/>
      <c r="NFF170" s="89"/>
      <c r="NFH170" s="91"/>
      <c r="NFK170" s="89"/>
      <c r="NFM170" s="91"/>
      <c r="NFP170" s="89"/>
      <c r="NFR170" s="91"/>
      <c r="NFU170" s="89"/>
      <c r="NFW170" s="91"/>
      <c r="NFZ170" s="89"/>
      <c r="NGB170" s="91"/>
      <c r="NGE170" s="89"/>
      <c r="NGG170" s="91"/>
      <c r="NGJ170" s="89"/>
      <c r="NGL170" s="91"/>
      <c r="NGO170" s="89"/>
      <c r="NGQ170" s="91"/>
      <c r="NGT170" s="89"/>
      <c r="NGV170" s="91"/>
      <c r="NGY170" s="89"/>
      <c r="NHA170" s="91"/>
      <c r="NHD170" s="89"/>
      <c r="NHF170" s="91"/>
      <c r="NHI170" s="89"/>
      <c r="NHK170" s="91"/>
      <c r="NHN170" s="89"/>
      <c r="NHP170" s="91"/>
      <c r="NHS170" s="89"/>
      <c r="NHU170" s="91"/>
      <c r="NHX170" s="89"/>
      <c r="NHZ170" s="91"/>
      <c r="NIC170" s="89"/>
      <c r="NIE170" s="91"/>
      <c r="NIH170" s="89"/>
      <c r="NIJ170" s="91"/>
      <c r="NIM170" s="89"/>
      <c r="NIO170" s="91"/>
      <c r="NIR170" s="89"/>
      <c r="NIT170" s="91"/>
      <c r="NIW170" s="89"/>
      <c r="NIY170" s="91"/>
      <c r="NJB170" s="89"/>
      <c r="NJD170" s="91"/>
      <c r="NJG170" s="89"/>
      <c r="NJI170" s="91"/>
      <c r="NJL170" s="89"/>
      <c r="NJN170" s="91"/>
      <c r="NJQ170" s="89"/>
      <c r="NJS170" s="91"/>
      <c r="NJV170" s="89"/>
      <c r="NJX170" s="91"/>
      <c r="NKA170" s="89"/>
      <c r="NKC170" s="91"/>
      <c r="NKF170" s="89"/>
      <c r="NKH170" s="91"/>
      <c r="NKK170" s="89"/>
      <c r="NKM170" s="91"/>
      <c r="NKP170" s="89"/>
      <c r="NKR170" s="91"/>
      <c r="NKU170" s="89"/>
      <c r="NKW170" s="91"/>
      <c r="NKZ170" s="89"/>
      <c r="NLB170" s="91"/>
      <c r="NLE170" s="89"/>
      <c r="NLG170" s="91"/>
      <c r="NLJ170" s="89"/>
      <c r="NLL170" s="91"/>
      <c r="NLO170" s="89"/>
      <c r="NLQ170" s="91"/>
      <c r="NLT170" s="89"/>
      <c r="NLV170" s="91"/>
      <c r="NLY170" s="89"/>
      <c r="NMA170" s="91"/>
      <c r="NMD170" s="89"/>
      <c r="NMF170" s="91"/>
      <c r="NMI170" s="89"/>
      <c r="NMK170" s="91"/>
      <c r="NMN170" s="89"/>
      <c r="NMP170" s="91"/>
      <c r="NMS170" s="89"/>
      <c r="NMU170" s="91"/>
      <c r="NMX170" s="89"/>
      <c r="NMZ170" s="91"/>
      <c r="NNC170" s="89"/>
      <c r="NNE170" s="91"/>
      <c r="NNH170" s="89"/>
      <c r="NNJ170" s="91"/>
      <c r="NNM170" s="89"/>
      <c r="NNO170" s="91"/>
      <c r="NNR170" s="89"/>
      <c r="NNT170" s="91"/>
      <c r="NNW170" s="89"/>
      <c r="NNY170" s="91"/>
      <c r="NOB170" s="89"/>
      <c r="NOD170" s="91"/>
      <c r="NOG170" s="89"/>
      <c r="NOI170" s="91"/>
      <c r="NOL170" s="89"/>
      <c r="NON170" s="91"/>
      <c r="NOQ170" s="89"/>
      <c r="NOS170" s="91"/>
      <c r="NOV170" s="89"/>
      <c r="NOX170" s="91"/>
      <c r="NPA170" s="89"/>
      <c r="NPC170" s="91"/>
      <c r="NPF170" s="89"/>
      <c r="NPH170" s="91"/>
      <c r="NPK170" s="89"/>
      <c r="NPM170" s="91"/>
      <c r="NPP170" s="89"/>
      <c r="NPR170" s="91"/>
      <c r="NPU170" s="89"/>
      <c r="NPW170" s="91"/>
      <c r="NPZ170" s="89"/>
      <c r="NQB170" s="91"/>
      <c r="NQE170" s="89"/>
      <c r="NQG170" s="91"/>
      <c r="NQJ170" s="89"/>
      <c r="NQL170" s="91"/>
      <c r="NQO170" s="89"/>
      <c r="NQQ170" s="91"/>
      <c r="NQT170" s="89"/>
      <c r="NQV170" s="91"/>
      <c r="NQY170" s="89"/>
      <c r="NRA170" s="91"/>
      <c r="NRD170" s="89"/>
      <c r="NRF170" s="91"/>
      <c r="NRI170" s="89"/>
      <c r="NRK170" s="91"/>
      <c r="NRN170" s="89"/>
      <c r="NRP170" s="91"/>
      <c r="NRS170" s="89"/>
      <c r="NRU170" s="91"/>
      <c r="NRX170" s="89"/>
      <c r="NRZ170" s="91"/>
      <c r="NSC170" s="89"/>
      <c r="NSE170" s="91"/>
      <c r="NSH170" s="89"/>
      <c r="NSJ170" s="91"/>
      <c r="NSM170" s="89"/>
      <c r="NSO170" s="91"/>
      <c r="NSR170" s="89"/>
      <c r="NST170" s="91"/>
      <c r="NSW170" s="89"/>
      <c r="NSY170" s="91"/>
      <c r="NTB170" s="89"/>
      <c r="NTD170" s="91"/>
      <c r="NTG170" s="89"/>
      <c r="NTI170" s="91"/>
      <c r="NTL170" s="89"/>
      <c r="NTN170" s="91"/>
      <c r="NTQ170" s="89"/>
      <c r="NTS170" s="91"/>
      <c r="NTV170" s="89"/>
      <c r="NTX170" s="91"/>
      <c r="NUA170" s="89"/>
      <c r="NUC170" s="91"/>
      <c r="NUF170" s="89"/>
      <c r="NUH170" s="91"/>
      <c r="NUK170" s="89"/>
      <c r="NUM170" s="91"/>
      <c r="NUP170" s="89"/>
      <c r="NUR170" s="91"/>
      <c r="NUU170" s="89"/>
      <c r="NUW170" s="91"/>
      <c r="NUZ170" s="89"/>
      <c r="NVB170" s="91"/>
      <c r="NVE170" s="89"/>
      <c r="NVG170" s="91"/>
      <c r="NVJ170" s="89"/>
      <c r="NVL170" s="91"/>
      <c r="NVO170" s="89"/>
      <c r="NVQ170" s="91"/>
      <c r="NVT170" s="89"/>
      <c r="NVV170" s="91"/>
      <c r="NVY170" s="89"/>
      <c r="NWA170" s="91"/>
      <c r="NWD170" s="89"/>
      <c r="NWF170" s="91"/>
      <c r="NWI170" s="89"/>
      <c r="NWK170" s="91"/>
      <c r="NWN170" s="89"/>
      <c r="NWP170" s="91"/>
      <c r="NWS170" s="89"/>
      <c r="NWU170" s="91"/>
      <c r="NWX170" s="89"/>
      <c r="NWZ170" s="91"/>
      <c r="NXC170" s="89"/>
      <c r="NXE170" s="91"/>
      <c r="NXH170" s="89"/>
      <c r="NXJ170" s="91"/>
      <c r="NXM170" s="89"/>
      <c r="NXO170" s="91"/>
      <c r="NXR170" s="89"/>
      <c r="NXT170" s="91"/>
      <c r="NXW170" s="89"/>
      <c r="NXY170" s="91"/>
      <c r="NYB170" s="89"/>
      <c r="NYD170" s="91"/>
      <c r="NYG170" s="89"/>
      <c r="NYI170" s="91"/>
      <c r="NYL170" s="89"/>
      <c r="NYN170" s="91"/>
      <c r="NYQ170" s="89"/>
      <c r="NYS170" s="91"/>
      <c r="NYV170" s="89"/>
      <c r="NYX170" s="91"/>
      <c r="NZA170" s="89"/>
      <c r="NZC170" s="91"/>
      <c r="NZF170" s="89"/>
      <c r="NZH170" s="91"/>
      <c r="NZK170" s="89"/>
      <c r="NZM170" s="91"/>
      <c r="NZP170" s="89"/>
      <c r="NZR170" s="91"/>
      <c r="NZU170" s="89"/>
      <c r="NZW170" s="91"/>
      <c r="NZZ170" s="89"/>
      <c r="OAB170" s="91"/>
      <c r="OAE170" s="89"/>
      <c r="OAG170" s="91"/>
      <c r="OAJ170" s="89"/>
      <c r="OAL170" s="91"/>
      <c r="OAO170" s="89"/>
      <c r="OAQ170" s="91"/>
      <c r="OAT170" s="89"/>
      <c r="OAV170" s="91"/>
      <c r="OAY170" s="89"/>
      <c r="OBA170" s="91"/>
      <c r="OBD170" s="89"/>
      <c r="OBF170" s="91"/>
      <c r="OBI170" s="89"/>
      <c r="OBK170" s="91"/>
      <c r="OBN170" s="89"/>
      <c r="OBP170" s="91"/>
      <c r="OBS170" s="89"/>
      <c r="OBU170" s="91"/>
      <c r="OBX170" s="89"/>
      <c r="OBZ170" s="91"/>
      <c r="OCC170" s="89"/>
      <c r="OCE170" s="91"/>
      <c r="OCH170" s="89"/>
      <c r="OCJ170" s="91"/>
      <c r="OCM170" s="89"/>
      <c r="OCO170" s="91"/>
      <c r="OCR170" s="89"/>
      <c r="OCT170" s="91"/>
      <c r="OCW170" s="89"/>
      <c r="OCY170" s="91"/>
      <c r="ODB170" s="89"/>
      <c r="ODD170" s="91"/>
      <c r="ODG170" s="89"/>
      <c r="ODI170" s="91"/>
      <c r="ODL170" s="89"/>
      <c r="ODN170" s="91"/>
      <c r="ODQ170" s="89"/>
      <c r="ODS170" s="91"/>
      <c r="ODV170" s="89"/>
      <c r="ODX170" s="91"/>
      <c r="OEA170" s="89"/>
      <c r="OEC170" s="91"/>
      <c r="OEF170" s="89"/>
      <c r="OEH170" s="91"/>
      <c r="OEK170" s="89"/>
      <c r="OEM170" s="91"/>
      <c r="OEP170" s="89"/>
      <c r="OER170" s="91"/>
      <c r="OEU170" s="89"/>
      <c r="OEW170" s="91"/>
      <c r="OEZ170" s="89"/>
      <c r="OFB170" s="91"/>
      <c r="OFE170" s="89"/>
      <c r="OFG170" s="91"/>
      <c r="OFJ170" s="89"/>
      <c r="OFL170" s="91"/>
      <c r="OFO170" s="89"/>
      <c r="OFQ170" s="91"/>
      <c r="OFT170" s="89"/>
      <c r="OFV170" s="91"/>
      <c r="OFY170" s="89"/>
      <c r="OGA170" s="91"/>
      <c r="OGD170" s="89"/>
      <c r="OGF170" s="91"/>
      <c r="OGI170" s="89"/>
      <c r="OGK170" s="91"/>
      <c r="OGN170" s="89"/>
      <c r="OGP170" s="91"/>
      <c r="OGS170" s="89"/>
      <c r="OGU170" s="91"/>
      <c r="OGX170" s="89"/>
      <c r="OGZ170" s="91"/>
      <c r="OHC170" s="89"/>
      <c r="OHE170" s="91"/>
      <c r="OHH170" s="89"/>
      <c r="OHJ170" s="91"/>
      <c r="OHM170" s="89"/>
      <c r="OHO170" s="91"/>
      <c r="OHR170" s="89"/>
      <c r="OHT170" s="91"/>
      <c r="OHW170" s="89"/>
      <c r="OHY170" s="91"/>
      <c r="OIB170" s="89"/>
      <c r="OID170" s="91"/>
      <c r="OIG170" s="89"/>
      <c r="OII170" s="91"/>
      <c r="OIL170" s="89"/>
      <c r="OIN170" s="91"/>
      <c r="OIQ170" s="89"/>
      <c r="OIS170" s="91"/>
      <c r="OIV170" s="89"/>
      <c r="OIX170" s="91"/>
      <c r="OJA170" s="89"/>
      <c r="OJC170" s="91"/>
      <c r="OJF170" s="89"/>
      <c r="OJH170" s="91"/>
      <c r="OJK170" s="89"/>
      <c r="OJM170" s="91"/>
      <c r="OJP170" s="89"/>
      <c r="OJR170" s="91"/>
      <c r="OJU170" s="89"/>
      <c r="OJW170" s="91"/>
      <c r="OJZ170" s="89"/>
      <c r="OKB170" s="91"/>
      <c r="OKE170" s="89"/>
      <c r="OKG170" s="91"/>
      <c r="OKJ170" s="89"/>
      <c r="OKL170" s="91"/>
      <c r="OKO170" s="89"/>
      <c r="OKQ170" s="91"/>
      <c r="OKT170" s="89"/>
      <c r="OKV170" s="91"/>
      <c r="OKY170" s="89"/>
      <c r="OLA170" s="91"/>
      <c r="OLD170" s="89"/>
      <c r="OLF170" s="91"/>
      <c r="OLI170" s="89"/>
      <c r="OLK170" s="91"/>
      <c r="OLN170" s="89"/>
      <c r="OLP170" s="91"/>
      <c r="OLS170" s="89"/>
      <c r="OLU170" s="91"/>
      <c r="OLX170" s="89"/>
      <c r="OLZ170" s="91"/>
      <c r="OMC170" s="89"/>
      <c r="OME170" s="91"/>
      <c r="OMH170" s="89"/>
      <c r="OMJ170" s="91"/>
      <c r="OMM170" s="89"/>
      <c r="OMO170" s="91"/>
      <c r="OMR170" s="89"/>
      <c r="OMT170" s="91"/>
      <c r="OMW170" s="89"/>
      <c r="OMY170" s="91"/>
      <c r="ONB170" s="89"/>
      <c r="OND170" s="91"/>
      <c r="ONG170" s="89"/>
      <c r="ONI170" s="91"/>
      <c r="ONL170" s="89"/>
      <c r="ONN170" s="91"/>
      <c r="ONQ170" s="89"/>
      <c r="ONS170" s="91"/>
      <c r="ONV170" s="89"/>
      <c r="ONX170" s="91"/>
      <c r="OOA170" s="89"/>
      <c r="OOC170" s="91"/>
      <c r="OOF170" s="89"/>
      <c r="OOH170" s="91"/>
      <c r="OOK170" s="89"/>
      <c r="OOM170" s="91"/>
      <c r="OOP170" s="89"/>
      <c r="OOR170" s="91"/>
      <c r="OOU170" s="89"/>
      <c r="OOW170" s="91"/>
      <c r="OOZ170" s="89"/>
      <c r="OPB170" s="91"/>
      <c r="OPE170" s="89"/>
      <c r="OPG170" s="91"/>
      <c r="OPJ170" s="89"/>
      <c r="OPL170" s="91"/>
      <c r="OPO170" s="89"/>
      <c r="OPQ170" s="91"/>
      <c r="OPT170" s="89"/>
      <c r="OPV170" s="91"/>
      <c r="OPY170" s="89"/>
      <c r="OQA170" s="91"/>
      <c r="OQD170" s="89"/>
      <c r="OQF170" s="91"/>
      <c r="OQI170" s="89"/>
      <c r="OQK170" s="91"/>
      <c r="OQN170" s="89"/>
      <c r="OQP170" s="91"/>
      <c r="OQS170" s="89"/>
      <c r="OQU170" s="91"/>
      <c r="OQX170" s="89"/>
      <c r="OQZ170" s="91"/>
      <c r="ORC170" s="89"/>
      <c r="ORE170" s="91"/>
      <c r="ORH170" s="89"/>
      <c r="ORJ170" s="91"/>
      <c r="ORM170" s="89"/>
      <c r="ORO170" s="91"/>
      <c r="ORR170" s="89"/>
      <c r="ORT170" s="91"/>
      <c r="ORW170" s="89"/>
      <c r="ORY170" s="91"/>
      <c r="OSB170" s="89"/>
      <c r="OSD170" s="91"/>
      <c r="OSG170" s="89"/>
      <c r="OSI170" s="91"/>
      <c r="OSL170" s="89"/>
      <c r="OSN170" s="91"/>
      <c r="OSQ170" s="89"/>
      <c r="OSS170" s="91"/>
      <c r="OSV170" s="89"/>
      <c r="OSX170" s="91"/>
      <c r="OTA170" s="89"/>
      <c r="OTC170" s="91"/>
      <c r="OTF170" s="89"/>
      <c r="OTH170" s="91"/>
      <c r="OTK170" s="89"/>
      <c r="OTM170" s="91"/>
      <c r="OTP170" s="89"/>
      <c r="OTR170" s="91"/>
      <c r="OTU170" s="89"/>
      <c r="OTW170" s="91"/>
      <c r="OTZ170" s="89"/>
      <c r="OUB170" s="91"/>
      <c r="OUE170" s="89"/>
      <c r="OUG170" s="91"/>
      <c r="OUJ170" s="89"/>
      <c r="OUL170" s="91"/>
      <c r="OUO170" s="89"/>
      <c r="OUQ170" s="91"/>
      <c r="OUT170" s="89"/>
      <c r="OUV170" s="91"/>
      <c r="OUY170" s="89"/>
      <c r="OVA170" s="91"/>
      <c r="OVD170" s="89"/>
      <c r="OVF170" s="91"/>
      <c r="OVI170" s="89"/>
      <c r="OVK170" s="91"/>
      <c r="OVN170" s="89"/>
      <c r="OVP170" s="91"/>
      <c r="OVS170" s="89"/>
      <c r="OVU170" s="91"/>
      <c r="OVX170" s="89"/>
      <c r="OVZ170" s="91"/>
      <c r="OWC170" s="89"/>
      <c r="OWE170" s="91"/>
      <c r="OWH170" s="89"/>
      <c r="OWJ170" s="91"/>
      <c r="OWM170" s="89"/>
      <c r="OWO170" s="91"/>
      <c r="OWR170" s="89"/>
      <c r="OWT170" s="91"/>
      <c r="OWW170" s="89"/>
      <c r="OWY170" s="91"/>
      <c r="OXB170" s="89"/>
      <c r="OXD170" s="91"/>
      <c r="OXG170" s="89"/>
      <c r="OXI170" s="91"/>
      <c r="OXL170" s="89"/>
      <c r="OXN170" s="91"/>
      <c r="OXQ170" s="89"/>
      <c r="OXS170" s="91"/>
      <c r="OXV170" s="89"/>
      <c r="OXX170" s="91"/>
      <c r="OYA170" s="89"/>
      <c r="OYC170" s="91"/>
      <c r="OYF170" s="89"/>
      <c r="OYH170" s="91"/>
      <c r="OYK170" s="89"/>
      <c r="OYM170" s="91"/>
      <c r="OYP170" s="89"/>
      <c r="OYR170" s="91"/>
      <c r="OYU170" s="89"/>
      <c r="OYW170" s="91"/>
      <c r="OYZ170" s="89"/>
      <c r="OZB170" s="91"/>
      <c r="OZE170" s="89"/>
      <c r="OZG170" s="91"/>
      <c r="OZJ170" s="89"/>
      <c r="OZL170" s="91"/>
      <c r="OZO170" s="89"/>
      <c r="OZQ170" s="91"/>
      <c r="OZT170" s="89"/>
      <c r="OZV170" s="91"/>
      <c r="OZY170" s="89"/>
      <c r="PAA170" s="91"/>
      <c r="PAD170" s="89"/>
      <c r="PAF170" s="91"/>
      <c r="PAI170" s="89"/>
      <c r="PAK170" s="91"/>
      <c r="PAN170" s="89"/>
      <c r="PAP170" s="91"/>
      <c r="PAS170" s="89"/>
      <c r="PAU170" s="91"/>
      <c r="PAX170" s="89"/>
      <c r="PAZ170" s="91"/>
      <c r="PBC170" s="89"/>
      <c r="PBE170" s="91"/>
      <c r="PBH170" s="89"/>
      <c r="PBJ170" s="91"/>
      <c r="PBM170" s="89"/>
      <c r="PBO170" s="91"/>
      <c r="PBR170" s="89"/>
      <c r="PBT170" s="91"/>
      <c r="PBW170" s="89"/>
      <c r="PBY170" s="91"/>
      <c r="PCB170" s="89"/>
      <c r="PCD170" s="91"/>
      <c r="PCG170" s="89"/>
      <c r="PCI170" s="91"/>
      <c r="PCL170" s="89"/>
      <c r="PCN170" s="91"/>
      <c r="PCQ170" s="89"/>
      <c r="PCS170" s="91"/>
      <c r="PCV170" s="89"/>
      <c r="PCX170" s="91"/>
      <c r="PDA170" s="89"/>
      <c r="PDC170" s="91"/>
      <c r="PDF170" s="89"/>
      <c r="PDH170" s="91"/>
      <c r="PDK170" s="89"/>
      <c r="PDM170" s="91"/>
      <c r="PDP170" s="89"/>
      <c r="PDR170" s="91"/>
      <c r="PDU170" s="89"/>
      <c r="PDW170" s="91"/>
      <c r="PDZ170" s="89"/>
      <c r="PEB170" s="91"/>
      <c r="PEE170" s="89"/>
      <c r="PEG170" s="91"/>
      <c r="PEJ170" s="89"/>
      <c r="PEL170" s="91"/>
      <c r="PEO170" s="89"/>
      <c r="PEQ170" s="91"/>
      <c r="PET170" s="89"/>
      <c r="PEV170" s="91"/>
      <c r="PEY170" s="89"/>
      <c r="PFA170" s="91"/>
      <c r="PFD170" s="89"/>
      <c r="PFF170" s="91"/>
      <c r="PFI170" s="89"/>
      <c r="PFK170" s="91"/>
      <c r="PFN170" s="89"/>
      <c r="PFP170" s="91"/>
      <c r="PFS170" s="89"/>
      <c r="PFU170" s="91"/>
      <c r="PFX170" s="89"/>
      <c r="PFZ170" s="91"/>
      <c r="PGC170" s="89"/>
      <c r="PGE170" s="91"/>
      <c r="PGH170" s="89"/>
      <c r="PGJ170" s="91"/>
      <c r="PGM170" s="89"/>
      <c r="PGO170" s="91"/>
      <c r="PGR170" s="89"/>
      <c r="PGT170" s="91"/>
      <c r="PGW170" s="89"/>
      <c r="PGY170" s="91"/>
      <c r="PHB170" s="89"/>
      <c r="PHD170" s="91"/>
      <c r="PHG170" s="89"/>
      <c r="PHI170" s="91"/>
      <c r="PHL170" s="89"/>
      <c r="PHN170" s="91"/>
      <c r="PHQ170" s="89"/>
      <c r="PHS170" s="91"/>
      <c r="PHV170" s="89"/>
      <c r="PHX170" s="91"/>
      <c r="PIA170" s="89"/>
      <c r="PIC170" s="91"/>
      <c r="PIF170" s="89"/>
      <c r="PIH170" s="91"/>
      <c r="PIK170" s="89"/>
      <c r="PIM170" s="91"/>
      <c r="PIP170" s="89"/>
      <c r="PIR170" s="91"/>
      <c r="PIU170" s="89"/>
      <c r="PIW170" s="91"/>
      <c r="PIZ170" s="89"/>
      <c r="PJB170" s="91"/>
      <c r="PJE170" s="89"/>
      <c r="PJG170" s="91"/>
      <c r="PJJ170" s="89"/>
      <c r="PJL170" s="91"/>
      <c r="PJO170" s="89"/>
      <c r="PJQ170" s="91"/>
      <c r="PJT170" s="89"/>
      <c r="PJV170" s="91"/>
      <c r="PJY170" s="89"/>
      <c r="PKA170" s="91"/>
      <c r="PKD170" s="89"/>
      <c r="PKF170" s="91"/>
      <c r="PKI170" s="89"/>
      <c r="PKK170" s="91"/>
      <c r="PKN170" s="89"/>
      <c r="PKP170" s="91"/>
      <c r="PKS170" s="89"/>
      <c r="PKU170" s="91"/>
      <c r="PKX170" s="89"/>
      <c r="PKZ170" s="91"/>
      <c r="PLC170" s="89"/>
      <c r="PLE170" s="91"/>
      <c r="PLH170" s="89"/>
      <c r="PLJ170" s="91"/>
      <c r="PLM170" s="89"/>
      <c r="PLO170" s="91"/>
      <c r="PLR170" s="89"/>
      <c r="PLT170" s="91"/>
      <c r="PLW170" s="89"/>
      <c r="PLY170" s="91"/>
      <c r="PMB170" s="89"/>
      <c r="PMD170" s="91"/>
      <c r="PMG170" s="89"/>
      <c r="PMI170" s="91"/>
      <c r="PML170" s="89"/>
      <c r="PMN170" s="91"/>
      <c r="PMQ170" s="89"/>
      <c r="PMS170" s="91"/>
      <c r="PMV170" s="89"/>
      <c r="PMX170" s="91"/>
      <c r="PNA170" s="89"/>
      <c r="PNC170" s="91"/>
      <c r="PNF170" s="89"/>
      <c r="PNH170" s="91"/>
      <c r="PNK170" s="89"/>
      <c r="PNM170" s="91"/>
      <c r="PNP170" s="89"/>
      <c r="PNR170" s="91"/>
      <c r="PNU170" s="89"/>
      <c r="PNW170" s="91"/>
      <c r="PNZ170" s="89"/>
      <c r="POB170" s="91"/>
      <c r="POE170" s="89"/>
      <c r="POG170" s="91"/>
      <c r="POJ170" s="89"/>
      <c r="POL170" s="91"/>
      <c r="POO170" s="89"/>
      <c r="POQ170" s="91"/>
      <c r="POT170" s="89"/>
      <c r="POV170" s="91"/>
      <c r="POY170" s="89"/>
      <c r="PPA170" s="91"/>
      <c r="PPD170" s="89"/>
      <c r="PPF170" s="91"/>
      <c r="PPI170" s="89"/>
      <c r="PPK170" s="91"/>
      <c r="PPN170" s="89"/>
      <c r="PPP170" s="91"/>
      <c r="PPS170" s="89"/>
      <c r="PPU170" s="91"/>
      <c r="PPX170" s="89"/>
      <c r="PPZ170" s="91"/>
      <c r="PQC170" s="89"/>
      <c r="PQE170" s="91"/>
      <c r="PQH170" s="89"/>
      <c r="PQJ170" s="91"/>
      <c r="PQM170" s="89"/>
      <c r="PQO170" s="91"/>
      <c r="PQR170" s="89"/>
      <c r="PQT170" s="91"/>
      <c r="PQW170" s="89"/>
      <c r="PQY170" s="91"/>
      <c r="PRB170" s="89"/>
      <c r="PRD170" s="91"/>
      <c r="PRG170" s="89"/>
      <c r="PRI170" s="91"/>
      <c r="PRL170" s="89"/>
      <c r="PRN170" s="91"/>
      <c r="PRQ170" s="89"/>
      <c r="PRS170" s="91"/>
      <c r="PRV170" s="89"/>
      <c r="PRX170" s="91"/>
      <c r="PSA170" s="89"/>
      <c r="PSC170" s="91"/>
      <c r="PSF170" s="89"/>
      <c r="PSH170" s="91"/>
      <c r="PSK170" s="89"/>
      <c r="PSM170" s="91"/>
      <c r="PSP170" s="89"/>
      <c r="PSR170" s="91"/>
      <c r="PSU170" s="89"/>
      <c r="PSW170" s="91"/>
      <c r="PSZ170" s="89"/>
      <c r="PTB170" s="91"/>
      <c r="PTE170" s="89"/>
      <c r="PTG170" s="91"/>
      <c r="PTJ170" s="89"/>
      <c r="PTL170" s="91"/>
      <c r="PTO170" s="89"/>
      <c r="PTQ170" s="91"/>
      <c r="PTT170" s="89"/>
      <c r="PTV170" s="91"/>
      <c r="PTY170" s="89"/>
      <c r="PUA170" s="91"/>
      <c r="PUD170" s="89"/>
      <c r="PUF170" s="91"/>
      <c r="PUI170" s="89"/>
      <c r="PUK170" s="91"/>
      <c r="PUN170" s="89"/>
      <c r="PUP170" s="91"/>
      <c r="PUS170" s="89"/>
      <c r="PUU170" s="91"/>
      <c r="PUX170" s="89"/>
      <c r="PUZ170" s="91"/>
      <c r="PVC170" s="89"/>
      <c r="PVE170" s="91"/>
      <c r="PVH170" s="89"/>
      <c r="PVJ170" s="91"/>
      <c r="PVM170" s="89"/>
      <c r="PVO170" s="91"/>
      <c r="PVR170" s="89"/>
      <c r="PVT170" s="91"/>
      <c r="PVW170" s="89"/>
      <c r="PVY170" s="91"/>
      <c r="PWB170" s="89"/>
      <c r="PWD170" s="91"/>
      <c r="PWG170" s="89"/>
      <c r="PWI170" s="91"/>
      <c r="PWL170" s="89"/>
      <c r="PWN170" s="91"/>
      <c r="PWQ170" s="89"/>
      <c r="PWS170" s="91"/>
      <c r="PWV170" s="89"/>
      <c r="PWX170" s="91"/>
      <c r="PXA170" s="89"/>
      <c r="PXC170" s="91"/>
      <c r="PXF170" s="89"/>
      <c r="PXH170" s="91"/>
      <c r="PXK170" s="89"/>
      <c r="PXM170" s="91"/>
      <c r="PXP170" s="89"/>
      <c r="PXR170" s="91"/>
      <c r="PXU170" s="89"/>
      <c r="PXW170" s="91"/>
      <c r="PXZ170" s="89"/>
      <c r="PYB170" s="91"/>
      <c r="PYE170" s="89"/>
      <c r="PYG170" s="91"/>
      <c r="PYJ170" s="89"/>
      <c r="PYL170" s="91"/>
      <c r="PYO170" s="89"/>
      <c r="PYQ170" s="91"/>
      <c r="PYT170" s="89"/>
      <c r="PYV170" s="91"/>
      <c r="PYY170" s="89"/>
      <c r="PZA170" s="91"/>
      <c r="PZD170" s="89"/>
      <c r="PZF170" s="91"/>
      <c r="PZI170" s="89"/>
      <c r="PZK170" s="91"/>
      <c r="PZN170" s="89"/>
      <c r="PZP170" s="91"/>
      <c r="PZS170" s="89"/>
      <c r="PZU170" s="91"/>
      <c r="PZX170" s="89"/>
      <c r="PZZ170" s="91"/>
      <c r="QAC170" s="89"/>
      <c r="QAE170" s="91"/>
      <c r="QAH170" s="89"/>
      <c r="QAJ170" s="91"/>
      <c r="QAM170" s="89"/>
      <c r="QAO170" s="91"/>
      <c r="QAR170" s="89"/>
      <c r="QAT170" s="91"/>
      <c r="QAW170" s="89"/>
      <c r="QAY170" s="91"/>
      <c r="QBB170" s="89"/>
      <c r="QBD170" s="91"/>
      <c r="QBG170" s="89"/>
      <c r="QBI170" s="91"/>
      <c r="QBL170" s="89"/>
      <c r="QBN170" s="91"/>
      <c r="QBQ170" s="89"/>
      <c r="QBS170" s="91"/>
      <c r="QBV170" s="89"/>
      <c r="QBX170" s="91"/>
      <c r="QCA170" s="89"/>
      <c r="QCC170" s="91"/>
      <c r="QCF170" s="89"/>
      <c r="QCH170" s="91"/>
      <c r="QCK170" s="89"/>
      <c r="QCM170" s="91"/>
      <c r="QCP170" s="89"/>
      <c r="QCR170" s="91"/>
      <c r="QCU170" s="89"/>
      <c r="QCW170" s="91"/>
      <c r="QCZ170" s="89"/>
      <c r="QDB170" s="91"/>
      <c r="QDE170" s="89"/>
      <c r="QDG170" s="91"/>
      <c r="QDJ170" s="89"/>
      <c r="QDL170" s="91"/>
      <c r="QDO170" s="89"/>
      <c r="QDQ170" s="91"/>
      <c r="QDT170" s="89"/>
      <c r="QDV170" s="91"/>
      <c r="QDY170" s="89"/>
      <c r="QEA170" s="91"/>
      <c r="QED170" s="89"/>
      <c r="QEF170" s="91"/>
      <c r="QEI170" s="89"/>
      <c r="QEK170" s="91"/>
      <c r="QEN170" s="89"/>
      <c r="QEP170" s="91"/>
      <c r="QES170" s="89"/>
      <c r="QEU170" s="91"/>
      <c r="QEX170" s="89"/>
      <c r="QEZ170" s="91"/>
      <c r="QFC170" s="89"/>
      <c r="QFE170" s="91"/>
      <c r="QFH170" s="89"/>
      <c r="QFJ170" s="91"/>
      <c r="QFM170" s="89"/>
      <c r="QFO170" s="91"/>
      <c r="QFR170" s="89"/>
      <c r="QFT170" s="91"/>
      <c r="QFW170" s="89"/>
      <c r="QFY170" s="91"/>
      <c r="QGB170" s="89"/>
      <c r="QGD170" s="91"/>
      <c r="QGG170" s="89"/>
      <c r="QGI170" s="91"/>
      <c r="QGL170" s="89"/>
      <c r="QGN170" s="91"/>
      <c r="QGQ170" s="89"/>
      <c r="QGS170" s="91"/>
      <c r="QGV170" s="89"/>
      <c r="QGX170" s="91"/>
      <c r="QHA170" s="89"/>
      <c r="QHC170" s="91"/>
      <c r="QHF170" s="89"/>
      <c r="QHH170" s="91"/>
      <c r="QHK170" s="89"/>
      <c r="QHM170" s="91"/>
      <c r="QHP170" s="89"/>
      <c r="QHR170" s="91"/>
      <c r="QHU170" s="89"/>
      <c r="QHW170" s="91"/>
      <c r="QHZ170" s="89"/>
      <c r="QIB170" s="91"/>
      <c r="QIE170" s="89"/>
      <c r="QIG170" s="91"/>
      <c r="QIJ170" s="89"/>
      <c r="QIL170" s="91"/>
      <c r="QIO170" s="89"/>
      <c r="QIQ170" s="91"/>
      <c r="QIT170" s="89"/>
      <c r="QIV170" s="91"/>
      <c r="QIY170" s="89"/>
      <c r="QJA170" s="91"/>
      <c r="QJD170" s="89"/>
      <c r="QJF170" s="91"/>
      <c r="QJI170" s="89"/>
      <c r="QJK170" s="91"/>
      <c r="QJN170" s="89"/>
      <c r="QJP170" s="91"/>
      <c r="QJS170" s="89"/>
      <c r="QJU170" s="91"/>
      <c r="QJX170" s="89"/>
      <c r="QJZ170" s="91"/>
      <c r="QKC170" s="89"/>
      <c r="QKE170" s="91"/>
      <c r="QKH170" s="89"/>
      <c r="QKJ170" s="91"/>
      <c r="QKM170" s="89"/>
      <c r="QKO170" s="91"/>
      <c r="QKR170" s="89"/>
      <c r="QKT170" s="91"/>
      <c r="QKW170" s="89"/>
      <c r="QKY170" s="91"/>
      <c r="QLB170" s="89"/>
      <c r="QLD170" s="91"/>
      <c r="QLG170" s="89"/>
      <c r="QLI170" s="91"/>
      <c r="QLL170" s="89"/>
      <c r="QLN170" s="91"/>
      <c r="QLQ170" s="89"/>
      <c r="QLS170" s="91"/>
      <c r="QLV170" s="89"/>
      <c r="QLX170" s="91"/>
      <c r="QMA170" s="89"/>
      <c r="QMC170" s="91"/>
      <c r="QMF170" s="89"/>
      <c r="QMH170" s="91"/>
      <c r="QMK170" s="89"/>
      <c r="QMM170" s="91"/>
      <c r="QMP170" s="89"/>
      <c r="QMR170" s="91"/>
      <c r="QMU170" s="89"/>
      <c r="QMW170" s="91"/>
      <c r="QMZ170" s="89"/>
      <c r="QNB170" s="91"/>
      <c r="QNE170" s="89"/>
      <c r="QNG170" s="91"/>
      <c r="QNJ170" s="89"/>
      <c r="QNL170" s="91"/>
      <c r="QNO170" s="89"/>
      <c r="QNQ170" s="91"/>
      <c r="QNT170" s="89"/>
      <c r="QNV170" s="91"/>
      <c r="QNY170" s="89"/>
      <c r="QOA170" s="91"/>
      <c r="QOD170" s="89"/>
      <c r="QOF170" s="91"/>
      <c r="QOI170" s="89"/>
      <c r="QOK170" s="91"/>
      <c r="QON170" s="89"/>
      <c r="QOP170" s="91"/>
      <c r="QOS170" s="89"/>
      <c r="QOU170" s="91"/>
      <c r="QOX170" s="89"/>
      <c r="QOZ170" s="91"/>
      <c r="QPC170" s="89"/>
      <c r="QPE170" s="91"/>
      <c r="QPH170" s="89"/>
      <c r="QPJ170" s="91"/>
      <c r="QPM170" s="89"/>
      <c r="QPO170" s="91"/>
      <c r="QPR170" s="89"/>
      <c r="QPT170" s="91"/>
      <c r="QPW170" s="89"/>
      <c r="QPY170" s="91"/>
      <c r="QQB170" s="89"/>
      <c r="QQD170" s="91"/>
      <c r="QQG170" s="89"/>
      <c r="QQI170" s="91"/>
      <c r="QQL170" s="89"/>
      <c r="QQN170" s="91"/>
      <c r="QQQ170" s="89"/>
      <c r="QQS170" s="91"/>
      <c r="QQV170" s="89"/>
      <c r="QQX170" s="91"/>
      <c r="QRA170" s="89"/>
      <c r="QRC170" s="91"/>
      <c r="QRF170" s="89"/>
      <c r="QRH170" s="91"/>
      <c r="QRK170" s="89"/>
      <c r="QRM170" s="91"/>
      <c r="QRP170" s="89"/>
      <c r="QRR170" s="91"/>
      <c r="QRU170" s="89"/>
      <c r="QRW170" s="91"/>
      <c r="QRZ170" s="89"/>
      <c r="QSB170" s="91"/>
      <c r="QSE170" s="89"/>
      <c r="QSG170" s="91"/>
      <c r="QSJ170" s="89"/>
      <c r="QSL170" s="91"/>
      <c r="QSO170" s="89"/>
      <c r="QSQ170" s="91"/>
      <c r="QST170" s="89"/>
      <c r="QSV170" s="91"/>
      <c r="QSY170" s="89"/>
      <c r="QTA170" s="91"/>
      <c r="QTD170" s="89"/>
      <c r="QTF170" s="91"/>
      <c r="QTI170" s="89"/>
      <c r="QTK170" s="91"/>
      <c r="QTN170" s="89"/>
      <c r="QTP170" s="91"/>
      <c r="QTS170" s="89"/>
      <c r="QTU170" s="91"/>
      <c r="QTX170" s="89"/>
      <c r="QTZ170" s="91"/>
      <c r="QUC170" s="89"/>
      <c r="QUE170" s="91"/>
      <c r="QUH170" s="89"/>
      <c r="QUJ170" s="91"/>
      <c r="QUM170" s="89"/>
      <c r="QUO170" s="91"/>
      <c r="QUR170" s="89"/>
      <c r="QUT170" s="91"/>
      <c r="QUW170" s="89"/>
      <c r="QUY170" s="91"/>
      <c r="QVB170" s="89"/>
      <c r="QVD170" s="91"/>
      <c r="QVG170" s="89"/>
      <c r="QVI170" s="91"/>
      <c r="QVL170" s="89"/>
      <c r="QVN170" s="91"/>
      <c r="QVQ170" s="89"/>
      <c r="QVS170" s="91"/>
      <c r="QVV170" s="89"/>
      <c r="QVX170" s="91"/>
      <c r="QWA170" s="89"/>
      <c r="QWC170" s="91"/>
      <c r="QWF170" s="89"/>
      <c r="QWH170" s="91"/>
      <c r="QWK170" s="89"/>
      <c r="QWM170" s="91"/>
      <c r="QWP170" s="89"/>
      <c r="QWR170" s="91"/>
      <c r="QWU170" s="89"/>
      <c r="QWW170" s="91"/>
      <c r="QWZ170" s="89"/>
      <c r="QXB170" s="91"/>
      <c r="QXE170" s="89"/>
      <c r="QXG170" s="91"/>
      <c r="QXJ170" s="89"/>
      <c r="QXL170" s="91"/>
      <c r="QXO170" s="89"/>
      <c r="QXQ170" s="91"/>
      <c r="QXT170" s="89"/>
      <c r="QXV170" s="91"/>
      <c r="QXY170" s="89"/>
      <c r="QYA170" s="91"/>
      <c r="QYD170" s="89"/>
      <c r="QYF170" s="91"/>
      <c r="QYI170" s="89"/>
      <c r="QYK170" s="91"/>
      <c r="QYN170" s="89"/>
      <c r="QYP170" s="91"/>
      <c r="QYS170" s="89"/>
      <c r="QYU170" s="91"/>
      <c r="QYX170" s="89"/>
      <c r="QYZ170" s="91"/>
      <c r="QZC170" s="89"/>
      <c r="QZE170" s="91"/>
      <c r="QZH170" s="89"/>
      <c r="QZJ170" s="91"/>
      <c r="QZM170" s="89"/>
      <c r="QZO170" s="91"/>
      <c r="QZR170" s="89"/>
      <c r="QZT170" s="91"/>
      <c r="QZW170" s="89"/>
      <c r="QZY170" s="91"/>
      <c r="RAB170" s="89"/>
      <c r="RAD170" s="91"/>
      <c r="RAG170" s="89"/>
      <c r="RAI170" s="91"/>
      <c r="RAL170" s="89"/>
      <c r="RAN170" s="91"/>
      <c r="RAQ170" s="89"/>
      <c r="RAS170" s="91"/>
      <c r="RAV170" s="89"/>
      <c r="RAX170" s="91"/>
      <c r="RBA170" s="89"/>
      <c r="RBC170" s="91"/>
      <c r="RBF170" s="89"/>
      <c r="RBH170" s="91"/>
      <c r="RBK170" s="89"/>
      <c r="RBM170" s="91"/>
      <c r="RBP170" s="89"/>
      <c r="RBR170" s="91"/>
      <c r="RBU170" s="89"/>
      <c r="RBW170" s="91"/>
      <c r="RBZ170" s="89"/>
      <c r="RCB170" s="91"/>
      <c r="RCE170" s="89"/>
      <c r="RCG170" s="91"/>
      <c r="RCJ170" s="89"/>
      <c r="RCL170" s="91"/>
      <c r="RCO170" s="89"/>
      <c r="RCQ170" s="91"/>
      <c r="RCT170" s="89"/>
      <c r="RCV170" s="91"/>
      <c r="RCY170" s="89"/>
      <c r="RDA170" s="91"/>
      <c r="RDD170" s="89"/>
      <c r="RDF170" s="91"/>
      <c r="RDI170" s="89"/>
      <c r="RDK170" s="91"/>
      <c r="RDN170" s="89"/>
      <c r="RDP170" s="91"/>
      <c r="RDS170" s="89"/>
      <c r="RDU170" s="91"/>
      <c r="RDX170" s="89"/>
      <c r="RDZ170" s="91"/>
      <c r="REC170" s="89"/>
      <c r="REE170" s="91"/>
      <c r="REH170" s="89"/>
      <c r="REJ170" s="91"/>
      <c r="REM170" s="89"/>
      <c r="REO170" s="91"/>
      <c r="RER170" s="89"/>
      <c r="RET170" s="91"/>
      <c r="REW170" s="89"/>
      <c r="REY170" s="91"/>
      <c r="RFB170" s="89"/>
      <c r="RFD170" s="91"/>
      <c r="RFG170" s="89"/>
      <c r="RFI170" s="91"/>
      <c r="RFL170" s="89"/>
      <c r="RFN170" s="91"/>
      <c r="RFQ170" s="89"/>
      <c r="RFS170" s="91"/>
      <c r="RFV170" s="89"/>
      <c r="RFX170" s="91"/>
      <c r="RGA170" s="89"/>
      <c r="RGC170" s="91"/>
      <c r="RGF170" s="89"/>
      <c r="RGH170" s="91"/>
      <c r="RGK170" s="89"/>
      <c r="RGM170" s="91"/>
      <c r="RGP170" s="89"/>
      <c r="RGR170" s="91"/>
      <c r="RGU170" s="89"/>
      <c r="RGW170" s="91"/>
      <c r="RGZ170" s="89"/>
      <c r="RHB170" s="91"/>
      <c r="RHE170" s="89"/>
      <c r="RHG170" s="91"/>
      <c r="RHJ170" s="89"/>
      <c r="RHL170" s="91"/>
      <c r="RHO170" s="89"/>
      <c r="RHQ170" s="91"/>
      <c r="RHT170" s="89"/>
      <c r="RHV170" s="91"/>
      <c r="RHY170" s="89"/>
      <c r="RIA170" s="91"/>
      <c r="RID170" s="89"/>
      <c r="RIF170" s="91"/>
      <c r="RII170" s="89"/>
      <c r="RIK170" s="91"/>
      <c r="RIN170" s="89"/>
      <c r="RIP170" s="91"/>
      <c r="RIS170" s="89"/>
      <c r="RIU170" s="91"/>
      <c r="RIX170" s="89"/>
      <c r="RIZ170" s="91"/>
      <c r="RJC170" s="89"/>
      <c r="RJE170" s="91"/>
      <c r="RJH170" s="89"/>
      <c r="RJJ170" s="91"/>
      <c r="RJM170" s="89"/>
      <c r="RJO170" s="91"/>
      <c r="RJR170" s="89"/>
      <c r="RJT170" s="91"/>
      <c r="RJW170" s="89"/>
      <c r="RJY170" s="91"/>
      <c r="RKB170" s="89"/>
      <c r="RKD170" s="91"/>
      <c r="RKG170" s="89"/>
      <c r="RKI170" s="91"/>
      <c r="RKL170" s="89"/>
      <c r="RKN170" s="91"/>
      <c r="RKQ170" s="89"/>
      <c r="RKS170" s="91"/>
      <c r="RKV170" s="89"/>
      <c r="RKX170" s="91"/>
      <c r="RLA170" s="89"/>
      <c r="RLC170" s="91"/>
      <c r="RLF170" s="89"/>
      <c r="RLH170" s="91"/>
      <c r="RLK170" s="89"/>
      <c r="RLM170" s="91"/>
      <c r="RLP170" s="89"/>
      <c r="RLR170" s="91"/>
      <c r="RLU170" s="89"/>
      <c r="RLW170" s="91"/>
      <c r="RLZ170" s="89"/>
      <c r="RMB170" s="91"/>
      <c r="RME170" s="89"/>
      <c r="RMG170" s="91"/>
      <c r="RMJ170" s="89"/>
      <c r="RML170" s="91"/>
      <c r="RMO170" s="89"/>
      <c r="RMQ170" s="91"/>
      <c r="RMT170" s="89"/>
      <c r="RMV170" s="91"/>
      <c r="RMY170" s="89"/>
      <c r="RNA170" s="91"/>
      <c r="RND170" s="89"/>
      <c r="RNF170" s="91"/>
      <c r="RNI170" s="89"/>
      <c r="RNK170" s="91"/>
      <c r="RNN170" s="89"/>
      <c r="RNP170" s="91"/>
      <c r="RNS170" s="89"/>
      <c r="RNU170" s="91"/>
      <c r="RNX170" s="89"/>
      <c r="RNZ170" s="91"/>
      <c r="ROC170" s="89"/>
      <c r="ROE170" s="91"/>
      <c r="ROH170" s="89"/>
      <c r="ROJ170" s="91"/>
      <c r="ROM170" s="89"/>
      <c r="ROO170" s="91"/>
      <c r="ROR170" s="89"/>
      <c r="ROT170" s="91"/>
      <c r="ROW170" s="89"/>
      <c r="ROY170" s="91"/>
      <c r="RPB170" s="89"/>
      <c r="RPD170" s="91"/>
      <c r="RPG170" s="89"/>
      <c r="RPI170" s="91"/>
      <c r="RPL170" s="89"/>
      <c r="RPN170" s="91"/>
      <c r="RPQ170" s="89"/>
      <c r="RPS170" s="91"/>
      <c r="RPV170" s="89"/>
      <c r="RPX170" s="91"/>
      <c r="RQA170" s="89"/>
      <c r="RQC170" s="91"/>
      <c r="RQF170" s="89"/>
      <c r="RQH170" s="91"/>
      <c r="RQK170" s="89"/>
      <c r="RQM170" s="91"/>
      <c r="RQP170" s="89"/>
      <c r="RQR170" s="91"/>
      <c r="RQU170" s="89"/>
      <c r="RQW170" s="91"/>
      <c r="RQZ170" s="89"/>
      <c r="RRB170" s="91"/>
      <c r="RRE170" s="89"/>
      <c r="RRG170" s="91"/>
      <c r="RRJ170" s="89"/>
      <c r="RRL170" s="91"/>
      <c r="RRO170" s="89"/>
      <c r="RRQ170" s="91"/>
      <c r="RRT170" s="89"/>
      <c r="RRV170" s="91"/>
      <c r="RRY170" s="89"/>
      <c r="RSA170" s="91"/>
      <c r="RSD170" s="89"/>
      <c r="RSF170" s="91"/>
      <c r="RSI170" s="89"/>
      <c r="RSK170" s="91"/>
      <c r="RSN170" s="89"/>
      <c r="RSP170" s="91"/>
      <c r="RSS170" s="89"/>
      <c r="RSU170" s="91"/>
      <c r="RSX170" s="89"/>
      <c r="RSZ170" s="91"/>
      <c r="RTC170" s="89"/>
      <c r="RTE170" s="91"/>
      <c r="RTH170" s="89"/>
      <c r="RTJ170" s="91"/>
      <c r="RTM170" s="89"/>
      <c r="RTO170" s="91"/>
      <c r="RTR170" s="89"/>
      <c r="RTT170" s="91"/>
      <c r="RTW170" s="89"/>
      <c r="RTY170" s="91"/>
      <c r="RUB170" s="89"/>
      <c r="RUD170" s="91"/>
      <c r="RUG170" s="89"/>
      <c r="RUI170" s="91"/>
      <c r="RUL170" s="89"/>
      <c r="RUN170" s="91"/>
      <c r="RUQ170" s="89"/>
      <c r="RUS170" s="91"/>
      <c r="RUV170" s="89"/>
      <c r="RUX170" s="91"/>
      <c r="RVA170" s="89"/>
      <c r="RVC170" s="91"/>
      <c r="RVF170" s="89"/>
      <c r="RVH170" s="91"/>
      <c r="RVK170" s="89"/>
      <c r="RVM170" s="91"/>
      <c r="RVP170" s="89"/>
      <c r="RVR170" s="91"/>
      <c r="RVU170" s="89"/>
      <c r="RVW170" s="91"/>
      <c r="RVZ170" s="89"/>
      <c r="RWB170" s="91"/>
      <c r="RWE170" s="89"/>
      <c r="RWG170" s="91"/>
      <c r="RWJ170" s="89"/>
      <c r="RWL170" s="91"/>
      <c r="RWO170" s="89"/>
      <c r="RWQ170" s="91"/>
      <c r="RWT170" s="89"/>
      <c r="RWV170" s="91"/>
      <c r="RWY170" s="89"/>
      <c r="RXA170" s="91"/>
      <c r="RXD170" s="89"/>
      <c r="RXF170" s="91"/>
      <c r="RXI170" s="89"/>
      <c r="RXK170" s="91"/>
      <c r="RXN170" s="89"/>
      <c r="RXP170" s="91"/>
      <c r="RXS170" s="89"/>
      <c r="RXU170" s="91"/>
      <c r="RXX170" s="89"/>
      <c r="RXZ170" s="91"/>
      <c r="RYC170" s="89"/>
      <c r="RYE170" s="91"/>
      <c r="RYH170" s="89"/>
      <c r="RYJ170" s="91"/>
      <c r="RYM170" s="89"/>
      <c r="RYO170" s="91"/>
      <c r="RYR170" s="89"/>
      <c r="RYT170" s="91"/>
      <c r="RYW170" s="89"/>
      <c r="RYY170" s="91"/>
      <c r="RZB170" s="89"/>
      <c r="RZD170" s="91"/>
      <c r="RZG170" s="89"/>
      <c r="RZI170" s="91"/>
      <c r="RZL170" s="89"/>
      <c r="RZN170" s="91"/>
      <c r="RZQ170" s="89"/>
      <c r="RZS170" s="91"/>
      <c r="RZV170" s="89"/>
      <c r="RZX170" s="91"/>
      <c r="SAA170" s="89"/>
      <c r="SAC170" s="91"/>
      <c r="SAF170" s="89"/>
      <c r="SAH170" s="91"/>
      <c r="SAK170" s="89"/>
      <c r="SAM170" s="91"/>
      <c r="SAP170" s="89"/>
      <c r="SAR170" s="91"/>
      <c r="SAU170" s="89"/>
      <c r="SAW170" s="91"/>
      <c r="SAZ170" s="89"/>
      <c r="SBB170" s="91"/>
      <c r="SBE170" s="89"/>
      <c r="SBG170" s="91"/>
      <c r="SBJ170" s="89"/>
      <c r="SBL170" s="91"/>
      <c r="SBO170" s="89"/>
      <c r="SBQ170" s="91"/>
      <c r="SBT170" s="89"/>
      <c r="SBV170" s="91"/>
      <c r="SBY170" s="89"/>
      <c r="SCA170" s="91"/>
      <c r="SCD170" s="89"/>
      <c r="SCF170" s="91"/>
      <c r="SCI170" s="89"/>
      <c r="SCK170" s="91"/>
      <c r="SCN170" s="89"/>
      <c r="SCP170" s="91"/>
      <c r="SCS170" s="89"/>
      <c r="SCU170" s="91"/>
      <c r="SCX170" s="89"/>
      <c r="SCZ170" s="91"/>
      <c r="SDC170" s="89"/>
      <c r="SDE170" s="91"/>
      <c r="SDH170" s="89"/>
      <c r="SDJ170" s="91"/>
      <c r="SDM170" s="89"/>
      <c r="SDO170" s="91"/>
      <c r="SDR170" s="89"/>
      <c r="SDT170" s="91"/>
      <c r="SDW170" s="89"/>
      <c r="SDY170" s="91"/>
      <c r="SEB170" s="89"/>
      <c r="SED170" s="91"/>
      <c r="SEG170" s="89"/>
      <c r="SEI170" s="91"/>
      <c r="SEL170" s="89"/>
      <c r="SEN170" s="91"/>
      <c r="SEQ170" s="89"/>
      <c r="SES170" s="91"/>
      <c r="SEV170" s="89"/>
      <c r="SEX170" s="91"/>
      <c r="SFA170" s="89"/>
      <c r="SFC170" s="91"/>
      <c r="SFF170" s="89"/>
      <c r="SFH170" s="91"/>
      <c r="SFK170" s="89"/>
      <c r="SFM170" s="91"/>
      <c r="SFP170" s="89"/>
      <c r="SFR170" s="91"/>
      <c r="SFU170" s="89"/>
      <c r="SFW170" s="91"/>
      <c r="SFZ170" s="89"/>
      <c r="SGB170" s="91"/>
      <c r="SGE170" s="89"/>
      <c r="SGG170" s="91"/>
      <c r="SGJ170" s="89"/>
      <c r="SGL170" s="91"/>
      <c r="SGO170" s="89"/>
      <c r="SGQ170" s="91"/>
      <c r="SGT170" s="89"/>
      <c r="SGV170" s="91"/>
      <c r="SGY170" s="89"/>
      <c r="SHA170" s="91"/>
      <c r="SHD170" s="89"/>
      <c r="SHF170" s="91"/>
      <c r="SHI170" s="89"/>
      <c r="SHK170" s="91"/>
      <c r="SHN170" s="89"/>
      <c r="SHP170" s="91"/>
      <c r="SHS170" s="89"/>
      <c r="SHU170" s="91"/>
      <c r="SHX170" s="89"/>
      <c r="SHZ170" s="91"/>
      <c r="SIC170" s="89"/>
      <c r="SIE170" s="91"/>
      <c r="SIH170" s="89"/>
      <c r="SIJ170" s="91"/>
      <c r="SIM170" s="89"/>
      <c r="SIO170" s="91"/>
      <c r="SIR170" s="89"/>
      <c r="SIT170" s="91"/>
      <c r="SIW170" s="89"/>
      <c r="SIY170" s="91"/>
      <c r="SJB170" s="89"/>
      <c r="SJD170" s="91"/>
      <c r="SJG170" s="89"/>
      <c r="SJI170" s="91"/>
      <c r="SJL170" s="89"/>
      <c r="SJN170" s="91"/>
      <c r="SJQ170" s="89"/>
      <c r="SJS170" s="91"/>
      <c r="SJV170" s="89"/>
      <c r="SJX170" s="91"/>
      <c r="SKA170" s="89"/>
      <c r="SKC170" s="91"/>
      <c r="SKF170" s="89"/>
      <c r="SKH170" s="91"/>
      <c r="SKK170" s="89"/>
      <c r="SKM170" s="91"/>
      <c r="SKP170" s="89"/>
      <c r="SKR170" s="91"/>
      <c r="SKU170" s="89"/>
      <c r="SKW170" s="91"/>
      <c r="SKZ170" s="89"/>
      <c r="SLB170" s="91"/>
      <c r="SLE170" s="89"/>
      <c r="SLG170" s="91"/>
      <c r="SLJ170" s="89"/>
      <c r="SLL170" s="91"/>
      <c r="SLO170" s="89"/>
      <c r="SLQ170" s="91"/>
      <c r="SLT170" s="89"/>
      <c r="SLV170" s="91"/>
      <c r="SLY170" s="89"/>
      <c r="SMA170" s="91"/>
      <c r="SMD170" s="89"/>
      <c r="SMF170" s="91"/>
      <c r="SMI170" s="89"/>
      <c r="SMK170" s="91"/>
      <c r="SMN170" s="89"/>
      <c r="SMP170" s="91"/>
      <c r="SMS170" s="89"/>
      <c r="SMU170" s="91"/>
      <c r="SMX170" s="89"/>
      <c r="SMZ170" s="91"/>
      <c r="SNC170" s="89"/>
      <c r="SNE170" s="91"/>
      <c r="SNH170" s="89"/>
      <c r="SNJ170" s="91"/>
      <c r="SNM170" s="89"/>
      <c r="SNO170" s="91"/>
      <c r="SNR170" s="89"/>
      <c r="SNT170" s="91"/>
      <c r="SNW170" s="89"/>
      <c r="SNY170" s="91"/>
      <c r="SOB170" s="89"/>
      <c r="SOD170" s="91"/>
      <c r="SOG170" s="89"/>
      <c r="SOI170" s="91"/>
      <c r="SOL170" s="89"/>
      <c r="SON170" s="91"/>
      <c r="SOQ170" s="89"/>
      <c r="SOS170" s="91"/>
      <c r="SOV170" s="89"/>
      <c r="SOX170" s="91"/>
      <c r="SPA170" s="89"/>
      <c r="SPC170" s="91"/>
      <c r="SPF170" s="89"/>
      <c r="SPH170" s="91"/>
      <c r="SPK170" s="89"/>
      <c r="SPM170" s="91"/>
      <c r="SPP170" s="89"/>
      <c r="SPR170" s="91"/>
      <c r="SPU170" s="89"/>
      <c r="SPW170" s="91"/>
      <c r="SPZ170" s="89"/>
      <c r="SQB170" s="91"/>
      <c r="SQE170" s="89"/>
      <c r="SQG170" s="91"/>
      <c r="SQJ170" s="89"/>
      <c r="SQL170" s="91"/>
      <c r="SQO170" s="89"/>
      <c r="SQQ170" s="91"/>
      <c r="SQT170" s="89"/>
      <c r="SQV170" s="91"/>
      <c r="SQY170" s="89"/>
      <c r="SRA170" s="91"/>
      <c r="SRD170" s="89"/>
      <c r="SRF170" s="91"/>
      <c r="SRI170" s="89"/>
      <c r="SRK170" s="91"/>
      <c r="SRN170" s="89"/>
      <c r="SRP170" s="91"/>
      <c r="SRS170" s="89"/>
      <c r="SRU170" s="91"/>
      <c r="SRX170" s="89"/>
      <c r="SRZ170" s="91"/>
      <c r="SSC170" s="89"/>
      <c r="SSE170" s="91"/>
      <c r="SSH170" s="89"/>
      <c r="SSJ170" s="91"/>
      <c r="SSM170" s="89"/>
      <c r="SSO170" s="91"/>
      <c r="SSR170" s="89"/>
      <c r="SST170" s="91"/>
      <c r="SSW170" s="89"/>
      <c r="SSY170" s="91"/>
      <c r="STB170" s="89"/>
      <c r="STD170" s="91"/>
      <c r="STG170" s="89"/>
      <c r="STI170" s="91"/>
      <c r="STL170" s="89"/>
      <c r="STN170" s="91"/>
      <c r="STQ170" s="89"/>
      <c r="STS170" s="91"/>
      <c r="STV170" s="89"/>
      <c r="STX170" s="91"/>
      <c r="SUA170" s="89"/>
      <c r="SUC170" s="91"/>
      <c r="SUF170" s="89"/>
      <c r="SUH170" s="91"/>
      <c r="SUK170" s="89"/>
      <c r="SUM170" s="91"/>
      <c r="SUP170" s="89"/>
      <c r="SUR170" s="91"/>
      <c r="SUU170" s="89"/>
      <c r="SUW170" s="91"/>
      <c r="SUZ170" s="89"/>
      <c r="SVB170" s="91"/>
      <c r="SVE170" s="89"/>
      <c r="SVG170" s="91"/>
      <c r="SVJ170" s="89"/>
      <c r="SVL170" s="91"/>
      <c r="SVO170" s="89"/>
      <c r="SVQ170" s="91"/>
      <c r="SVT170" s="89"/>
      <c r="SVV170" s="91"/>
      <c r="SVY170" s="89"/>
      <c r="SWA170" s="91"/>
      <c r="SWD170" s="89"/>
      <c r="SWF170" s="91"/>
      <c r="SWI170" s="89"/>
      <c r="SWK170" s="91"/>
      <c r="SWN170" s="89"/>
      <c r="SWP170" s="91"/>
      <c r="SWS170" s="89"/>
      <c r="SWU170" s="91"/>
      <c r="SWX170" s="89"/>
      <c r="SWZ170" s="91"/>
      <c r="SXC170" s="89"/>
      <c r="SXE170" s="91"/>
      <c r="SXH170" s="89"/>
      <c r="SXJ170" s="91"/>
      <c r="SXM170" s="89"/>
      <c r="SXO170" s="91"/>
      <c r="SXR170" s="89"/>
      <c r="SXT170" s="91"/>
      <c r="SXW170" s="89"/>
      <c r="SXY170" s="91"/>
      <c r="SYB170" s="89"/>
      <c r="SYD170" s="91"/>
      <c r="SYG170" s="89"/>
      <c r="SYI170" s="91"/>
      <c r="SYL170" s="89"/>
      <c r="SYN170" s="91"/>
      <c r="SYQ170" s="89"/>
      <c r="SYS170" s="91"/>
      <c r="SYV170" s="89"/>
      <c r="SYX170" s="91"/>
      <c r="SZA170" s="89"/>
      <c r="SZC170" s="91"/>
      <c r="SZF170" s="89"/>
      <c r="SZH170" s="91"/>
      <c r="SZK170" s="89"/>
      <c r="SZM170" s="91"/>
      <c r="SZP170" s="89"/>
      <c r="SZR170" s="91"/>
      <c r="SZU170" s="89"/>
      <c r="SZW170" s="91"/>
      <c r="SZZ170" s="89"/>
      <c r="TAB170" s="91"/>
      <c r="TAE170" s="89"/>
      <c r="TAG170" s="91"/>
      <c r="TAJ170" s="89"/>
      <c r="TAL170" s="91"/>
      <c r="TAO170" s="89"/>
      <c r="TAQ170" s="91"/>
      <c r="TAT170" s="89"/>
      <c r="TAV170" s="91"/>
      <c r="TAY170" s="89"/>
      <c r="TBA170" s="91"/>
      <c r="TBD170" s="89"/>
      <c r="TBF170" s="91"/>
      <c r="TBI170" s="89"/>
      <c r="TBK170" s="91"/>
      <c r="TBN170" s="89"/>
      <c r="TBP170" s="91"/>
      <c r="TBS170" s="89"/>
      <c r="TBU170" s="91"/>
      <c r="TBX170" s="89"/>
      <c r="TBZ170" s="91"/>
      <c r="TCC170" s="89"/>
      <c r="TCE170" s="91"/>
      <c r="TCH170" s="89"/>
      <c r="TCJ170" s="91"/>
      <c r="TCM170" s="89"/>
      <c r="TCO170" s="91"/>
      <c r="TCR170" s="89"/>
      <c r="TCT170" s="91"/>
      <c r="TCW170" s="89"/>
      <c r="TCY170" s="91"/>
      <c r="TDB170" s="89"/>
      <c r="TDD170" s="91"/>
      <c r="TDG170" s="89"/>
      <c r="TDI170" s="91"/>
      <c r="TDL170" s="89"/>
      <c r="TDN170" s="91"/>
      <c r="TDQ170" s="89"/>
      <c r="TDS170" s="91"/>
      <c r="TDV170" s="89"/>
      <c r="TDX170" s="91"/>
      <c r="TEA170" s="89"/>
      <c r="TEC170" s="91"/>
      <c r="TEF170" s="89"/>
      <c r="TEH170" s="91"/>
      <c r="TEK170" s="89"/>
      <c r="TEM170" s="91"/>
      <c r="TEP170" s="89"/>
      <c r="TER170" s="91"/>
      <c r="TEU170" s="89"/>
      <c r="TEW170" s="91"/>
      <c r="TEZ170" s="89"/>
      <c r="TFB170" s="91"/>
      <c r="TFE170" s="89"/>
      <c r="TFG170" s="91"/>
      <c r="TFJ170" s="89"/>
      <c r="TFL170" s="91"/>
      <c r="TFO170" s="89"/>
      <c r="TFQ170" s="91"/>
      <c r="TFT170" s="89"/>
      <c r="TFV170" s="91"/>
      <c r="TFY170" s="89"/>
      <c r="TGA170" s="91"/>
      <c r="TGD170" s="89"/>
      <c r="TGF170" s="91"/>
      <c r="TGI170" s="89"/>
      <c r="TGK170" s="91"/>
      <c r="TGN170" s="89"/>
      <c r="TGP170" s="91"/>
      <c r="TGS170" s="89"/>
      <c r="TGU170" s="91"/>
      <c r="TGX170" s="89"/>
      <c r="TGZ170" s="91"/>
      <c r="THC170" s="89"/>
      <c r="THE170" s="91"/>
      <c r="THH170" s="89"/>
      <c r="THJ170" s="91"/>
      <c r="THM170" s="89"/>
      <c r="THO170" s="91"/>
      <c r="THR170" s="89"/>
      <c r="THT170" s="91"/>
      <c r="THW170" s="89"/>
      <c r="THY170" s="91"/>
      <c r="TIB170" s="89"/>
      <c r="TID170" s="91"/>
      <c r="TIG170" s="89"/>
      <c r="TII170" s="91"/>
      <c r="TIL170" s="89"/>
      <c r="TIN170" s="91"/>
      <c r="TIQ170" s="89"/>
      <c r="TIS170" s="91"/>
      <c r="TIV170" s="89"/>
      <c r="TIX170" s="91"/>
      <c r="TJA170" s="89"/>
      <c r="TJC170" s="91"/>
      <c r="TJF170" s="89"/>
      <c r="TJH170" s="91"/>
      <c r="TJK170" s="89"/>
      <c r="TJM170" s="91"/>
      <c r="TJP170" s="89"/>
      <c r="TJR170" s="91"/>
      <c r="TJU170" s="89"/>
      <c r="TJW170" s="91"/>
      <c r="TJZ170" s="89"/>
      <c r="TKB170" s="91"/>
      <c r="TKE170" s="89"/>
      <c r="TKG170" s="91"/>
      <c r="TKJ170" s="89"/>
      <c r="TKL170" s="91"/>
      <c r="TKO170" s="89"/>
      <c r="TKQ170" s="91"/>
      <c r="TKT170" s="89"/>
      <c r="TKV170" s="91"/>
      <c r="TKY170" s="89"/>
      <c r="TLA170" s="91"/>
      <c r="TLD170" s="89"/>
      <c r="TLF170" s="91"/>
      <c r="TLI170" s="89"/>
      <c r="TLK170" s="91"/>
      <c r="TLN170" s="89"/>
      <c r="TLP170" s="91"/>
      <c r="TLS170" s="89"/>
      <c r="TLU170" s="91"/>
      <c r="TLX170" s="89"/>
      <c r="TLZ170" s="91"/>
      <c r="TMC170" s="89"/>
      <c r="TME170" s="91"/>
      <c r="TMH170" s="89"/>
      <c r="TMJ170" s="91"/>
      <c r="TMM170" s="89"/>
      <c r="TMO170" s="91"/>
      <c r="TMR170" s="89"/>
      <c r="TMT170" s="91"/>
      <c r="TMW170" s="89"/>
      <c r="TMY170" s="91"/>
      <c r="TNB170" s="89"/>
      <c r="TND170" s="91"/>
      <c r="TNG170" s="89"/>
      <c r="TNI170" s="91"/>
      <c r="TNL170" s="89"/>
      <c r="TNN170" s="91"/>
      <c r="TNQ170" s="89"/>
      <c r="TNS170" s="91"/>
      <c r="TNV170" s="89"/>
      <c r="TNX170" s="91"/>
      <c r="TOA170" s="89"/>
      <c r="TOC170" s="91"/>
      <c r="TOF170" s="89"/>
      <c r="TOH170" s="91"/>
      <c r="TOK170" s="89"/>
      <c r="TOM170" s="91"/>
      <c r="TOP170" s="89"/>
      <c r="TOR170" s="91"/>
      <c r="TOU170" s="89"/>
      <c r="TOW170" s="91"/>
      <c r="TOZ170" s="89"/>
      <c r="TPB170" s="91"/>
      <c r="TPE170" s="89"/>
      <c r="TPG170" s="91"/>
      <c r="TPJ170" s="89"/>
      <c r="TPL170" s="91"/>
      <c r="TPO170" s="89"/>
      <c r="TPQ170" s="91"/>
      <c r="TPT170" s="89"/>
      <c r="TPV170" s="91"/>
      <c r="TPY170" s="89"/>
      <c r="TQA170" s="91"/>
      <c r="TQD170" s="89"/>
      <c r="TQF170" s="91"/>
      <c r="TQI170" s="89"/>
      <c r="TQK170" s="91"/>
      <c r="TQN170" s="89"/>
      <c r="TQP170" s="91"/>
      <c r="TQS170" s="89"/>
      <c r="TQU170" s="91"/>
      <c r="TQX170" s="89"/>
      <c r="TQZ170" s="91"/>
      <c r="TRC170" s="89"/>
      <c r="TRE170" s="91"/>
      <c r="TRH170" s="89"/>
      <c r="TRJ170" s="91"/>
      <c r="TRM170" s="89"/>
      <c r="TRO170" s="91"/>
      <c r="TRR170" s="89"/>
      <c r="TRT170" s="91"/>
      <c r="TRW170" s="89"/>
      <c r="TRY170" s="91"/>
      <c r="TSB170" s="89"/>
      <c r="TSD170" s="91"/>
      <c r="TSG170" s="89"/>
      <c r="TSI170" s="91"/>
      <c r="TSL170" s="89"/>
      <c r="TSN170" s="91"/>
      <c r="TSQ170" s="89"/>
      <c r="TSS170" s="91"/>
      <c r="TSV170" s="89"/>
      <c r="TSX170" s="91"/>
      <c r="TTA170" s="89"/>
      <c r="TTC170" s="91"/>
      <c r="TTF170" s="89"/>
      <c r="TTH170" s="91"/>
      <c r="TTK170" s="89"/>
      <c r="TTM170" s="91"/>
      <c r="TTP170" s="89"/>
      <c r="TTR170" s="91"/>
      <c r="TTU170" s="89"/>
      <c r="TTW170" s="91"/>
      <c r="TTZ170" s="89"/>
      <c r="TUB170" s="91"/>
      <c r="TUE170" s="89"/>
      <c r="TUG170" s="91"/>
      <c r="TUJ170" s="89"/>
      <c r="TUL170" s="91"/>
      <c r="TUO170" s="89"/>
      <c r="TUQ170" s="91"/>
      <c r="TUT170" s="89"/>
      <c r="TUV170" s="91"/>
      <c r="TUY170" s="89"/>
      <c r="TVA170" s="91"/>
      <c r="TVD170" s="89"/>
      <c r="TVF170" s="91"/>
      <c r="TVI170" s="89"/>
      <c r="TVK170" s="91"/>
      <c r="TVN170" s="89"/>
      <c r="TVP170" s="91"/>
      <c r="TVS170" s="89"/>
      <c r="TVU170" s="91"/>
      <c r="TVX170" s="89"/>
      <c r="TVZ170" s="91"/>
      <c r="TWC170" s="89"/>
      <c r="TWE170" s="91"/>
      <c r="TWH170" s="89"/>
      <c r="TWJ170" s="91"/>
      <c r="TWM170" s="89"/>
      <c r="TWO170" s="91"/>
      <c r="TWR170" s="89"/>
      <c r="TWT170" s="91"/>
      <c r="TWW170" s="89"/>
      <c r="TWY170" s="91"/>
      <c r="TXB170" s="89"/>
      <c r="TXD170" s="91"/>
      <c r="TXG170" s="89"/>
      <c r="TXI170" s="91"/>
      <c r="TXL170" s="89"/>
      <c r="TXN170" s="91"/>
      <c r="TXQ170" s="89"/>
      <c r="TXS170" s="91"/>
      <c r="TXV170" s="89"/>
      <c r="TXX170" s="91"/>
      <c r="TYA170" s="89"/>
      <c r="TYC170" s="91"/>
      <c r="TYF170" s="89"/>
      <c r="TYH170" s="91"/>
      <c r="TYK170" s="89"/>
      <c r="TYM170" s="91"/>
      <c r="TYP170" s="89"/>
      <c r="TYR170" s="91"/>
      <c r="TYU170" s="89"/>
      <c r="TYW170" s="91"/>
      <c r="TYZ170" s="89"/>
      <c r="TZB170" s="91"/>
      <c r="TZE170" s="89"/>
      <c r="TZG170" s="91"/>
      <c r="TZJ170" s="89"/>
      <c r="TZL170" s="91"/>
      <c r="TZO170" s="89"/>
      <c r="TZQ170" s="91"/>
      <c r="TZT170" s="89"/>
      <c r="TZV170" s="91"/>
      <c r="TZY170" s="89"/>
      <c r="UAA170" s="91"/>
      <c r="UAD170" s="89"/>
      <c r="UAF170" s="91"/>
      <c r="UAI170" s="89"/>
      <c r="UAK170" s="91"/>
      <c r="UAN170" s="89"/>
      <c r="UAP170" s="91"/>
      <c r="UAS170" s="89"/>
      <c r="UAU170" s="91"/>
      <c r="UAX170" s="89"/>
      <c r="UAZ170" s="91"/>
      <c r="UBC170" s="89"/>
      <c r="UBE170" s="91"/>
      <c r="UBH170" s="89"/>
      <c r="UBJ170" s="91"/>
      <c r="UBM170" s="89"/>
      <c r="UBO170" s="91"/>
      <c r="UBR170" s="89"/>
      <c r="UBT170" s="91"/>
      <c r="UBW170" s="89"/>
      <c r="UBY170" s="91"/>
      <c r="UCB170" s="89"/>
      <c r="UCD170" s="91"/>
      <c r="UCG170" s="89"/>
      <c r="UCI170" s="91"/>
      <c r="UCL170" s="89"/>
      <c r="UCN170" s="91"/>
      <c r="UCQ170" s="89"/>
      <c r="UCS170" s="91"/>
      <c r="UCV170" s="89"/>
      <c r="UCX170" s="91"/>
      <c r="UDA170" s="89"/>
      <c r="UDC170" s="91"/>
      <c r="UDF170" s="89"/>
      <c r="UDH170" s="91"/>
      <c r="UDK170" s="89"/>
      <c r="UDM170" s="91"/>
      <c r="UDP170" s="89"/>
      <c r="UDR170" s="91"/>
      <c r="UDU170" s="89"/>
      <c r="UDW170" s="91"/>
      <c r="UDZ170" s="89"/>
      <c r="UEB170" s="91"/>
      <c r="UEE170" s="89"/>
      <c r="UEG170" s="91"/>
      <c r="UEJ170" s="89"/>
      <c r="UEL170" s="91"/>
      <c r="UEO170" s="89"/>
      <c r="UEQ170" s="91"/>
      <c r="UET170" s="89"/>
      <c r="UEV170" s="91"/>
      <c r="UEY170" s="89"/>
      <c r="UFA170" s="91"/>
      <c r="UFD170" s="89"/>
      <c r="UFF170" s="91"/>
      <c r="UFI170" s="89"/>
      <c r="UFK170" s="91"/>
      <c r="UFN170" s="89"/>
      <c r="UFP170" s="91"/>
      <c r="UFS170" s="89"/>
      <c r="UFU170" s="91"/>
      <c r="UFX170" s="89"/>
      <c r="UFZ170" s="91"/>
      <c r="UGC170" s="89"/>
      <c r="UGE170" s="91"/>
      <c r="UGH170" s="89"/>
      <c r="UGJ170" s="91"/>
      <c r="UGM170" s="89"/>
      <c r="UGO170" s="91"/>
      <c r="UGR170" s="89"/>
      <c r="UGT170" s="91"/>
      <c r="UGW170" s="89"/>
      <c r="UGY170" s="91"/>
      <c r="UHB170" s="89"/>
      <c r="UHD170" s="91"/>
      <c r="UHG170" s="89"/>
      <c r="UHI170" s="91"/>
      <c r="UHL170" s="89"/>
      <c r="UHN170" s="91"/>
      <c r="UHQ170" s="89"/>
      <c r="UHS170" s="91"/>
      <c r="UHV170" s="89"/>
      <c r="UHX170" s="91"/>
      <c r="UIA170" s="89"/>
      <c r="UIC170" s="91"/>
      <c r="UIF170" s="89"/>
      <c r="UIH170" s="91"/>
      <c r="UIK170" s="89"/>
      <c r="UIM170" s="91"/>
      <c r="UIP170" s="89"/>
      <c r="UIR170" s="91"/>
      <c r="UIU170" s="89"/>
      <c r="UIW170" s="91"/>
      <c r="UIZ170" s="89"/>
      <c r="UJB170" s="91"/>
      <c r="UJE170" s="89"/>
      <c r="UJG170" s="91"/>
      <c r="UJJ170" s="89"/>
      <c r="UJL170" s="91"/>
      <c r="UJO170" s="89"/>
      <c r="UJQ170" s="91"/>
      <c r="UJT170" s="89"/>
      <c r="UJV170" s="91"/>
      <c r="UJY170" s="89"/>
      <c r="UKA170" s="91"/>
      <c r="UKD170" s="89"/>
      <c r="UKF170" s="91"/>
      <c r="UKI170" s="89"/>
      <c r="UKK170" s="91"/>
      <c r="UKN170" s="89"/>
      <c r="UKP170" s="91"/>
      <c r="UKS170" s="89"/>
      <c r="UKU170" s="91"/>
      <c r="UKX170" s="89"/>
      <c r="UKZ170" s="91"/>
      <c r="ULC170" s="89"/>
      <c r="ULE170" s="91"/>
      <c r="ULH170" s="89"/>
      <c r="ULJ170" s="91"/>
      <c r="ULM170" s="89"/>
      <c r="ULO170" s="91"/>
      <c r="ULR170" s="89"/>
      <c r="ULT170" s="91"/>
      <c r="ULW170" s="89"/>
      <c r="ULY170" s="91"/>
      <c r="UMB170" s="89"/>
      <c r="UMD170" s="91"/>
      <c r="UMG170" s="89"/>
      <c r="UMI170" s="91"/>
      <c r="UML170" s="89"/>
      <c r="UMN170" s="91"/>
      <c r="UMQ170" s="89"/>
      <c r="UMS170" s="91"/>
      <c r="UMV170" s="89"/>
      <c r="UMX170" s="91"/>
      <c r="UNA170" s="89"/>
      <c r="UNC170" s="91"/>
      <c r="UNF170" s="89"/>
      <c r="UNH170" s="91"/>
      <c r="UNK170" s="89"/>
      <c r="UNM170" s="91"/>
      <c r="UNP170" s="89"/>
      <c r="UNR170" s="91"/>
      <c r="UNU170" s="89"/>
      <c r="UNW170" s="91"/>
      <c r="UNZ170" s="89"/>
      <c r="UOB170" s="91"/>
      <c r="UOE170" s="89"/>
      <c r="UOG170" s="91"/>
      <c r="UOJ170" s="89"/>
      <c r="UOL170" s="91"/>
      <c r="UOO170" s="89"/>
      <c r="UOQ170" s="91"/>
      <c r="UOT170" s="89"/>
      <c r="UOV170" s="91"/>
      <c r="UOY170" s="89"/>
      <c r="UPA170" s="91"/>
      <c r="UPD170" s="89"/>
      <c r="UPF170" s="91"/>
      <c r="UPI170" s="89"/>
      <c r="UPK170" s="91"/>
      <c r="UPN170" s="89"/>
      <c r="UPP170" s="91"/>
      <c r="UPS170" s="89"/>
      <c r="UPU170" s="91"/>
      <c r="UPX170" s="89"/>
      <c r="UPZ170" s="91"/>
      <c r="UQC170" s="89"/>
      <c r="UQE170" s="91"/>
      <c r="UQH170" s="89"/>
      <c r="UQJ170" s="91"/>
      <c r="UQM170" s="89"/>
      <c r="UQO170" s="91"/>
      <c r="UQR170" s="89"/>
      <c r="UQT170" s="91"/>
      <c r="UQW170" s="89"/>
      <c r="UQY170" s="91"/>
      <c r="URB170" s="89"/>
      <c r="URD170" s="91"/>
      <c r="URG170" s="89"/>
      <c r="URI170" s="91"/>
      <c r="URL170" s="89"/>
      <c r="URN170" s="91"/>
      <c r="URQ170" s="89"/>
      <c r="URS170" s="91"/>
      <c r="URV170" s="89"/>
      <c r="URX170" s="91"/>
      <c r="USA170" s="89"/>
      <c r="USC170" s="91"/>
      <c r="USF170" s="89"/>
      <c r="USH170" s="91"/>
      <c r="USK170" s="89"/>
      <c r="USM170" s="91"/>
      <c r="USP170" s="89"/>
      <c r="USR170" s="91"/>
      <c r="USU170" s="89"/>
      <c r="USW170" s="91"/>
      <c r="USZ170" s="89"/>
      <c r="UTB170" s="91"/>
      <c r="UTE170" s="89"/>
      <c r="UTG170" s="91"/>
      <c r="UTJ170" s="89"/>
      <c r="UTL170" s="91"/>
      <c r="UTO170" s="89"/>
      <c r="UTQ170" s="91"/>
      <c r="UTT170" s="89"/>
      <c r="UTV170" s="91"/>
      <c r="UTY170" s="89"/>
      <c r="UUA170" s="91"/>
      <c r="UUD170" s="89"/>
      <c r="UUF170" s="91"/>
      <c r="UUI170" s="89"/>
      <c r="UUK170" s="91"/>
      <c r="UUN170" s="89"/>
      <c r="UUP170" s="91"/>
      <c r="UUS170" s="89"/>
      <c r="UUU170" s="91"/>
      <c r="UUX170" s="89"/>
      <c r="UUZ170" s="91"/>
      <c r="UVC170" s="89"/>
      <c r="UVE170" s="91"/>
      <c r="UVH170" s="89"/>
      <c r="UVJ170" s="91"/>
      <c r="UVM170" s="89"/>
      <c r="UVO170" s="91"/>
      <c r="UVR170" s="89"/>
      <c r="UVT170" s="91"/>
      <c r="UVW170" s="89"/>
      <c r="UVY170" s="91"/>
      <c r="UWB170" s="89"/>
      <c r="UWD170" s="91"/>
      <c r="UWG170" s="89"/>
      <c r="UWI170" s="91"/>
      <c r="UWL170" s="89"/>
      <c r="UWN170" s="91"/>
      <c r="UWQ170" s="89"/>
      <c r="UWS170" s="91"/>
      <c r="UWV170" s="89"/>
      <c r="UWX170" s="91"/>
      <c r="UXA170" s="89"/>
      <c r="UXC170" s="91"/>
      <c r="UXF170" s="89"/>
      <c r="UXH170" s="91"/>
      <c r="UXK170" s="89"/>
      <c r="UXM170" s="91"/>
      <c r="UXP170" s="89"/>
      <c r="UXR170" s="91"/>
      <c r="UXU170" s="89"/>
      <c r="UXW170" s="91"/>
      <c r="UXZ170" s="89"/>
      <c r="UYB170" s="91"/>
      <c r="UYE170" s="89"/>
      <c r="UYG170" s="91"/>
      <c r="UYJ170" s="89"/>
      <c r="UYL170" s="91"/>
      <c r="UYO170" s="89"/>
      <c r="UYQ170" s="91"/>
      <c r="UYT170" s="89"/>
      <c r="UYV170" s="91"/>
      <c r="UYY170" s="89"/>
      <c r="UZA170" s="91"/>
      <c r="UZD170" s="89"/>
      <c r="UZF170" s="91"/>
      <c r="UZI170" s="89"/>
      <c r="UZK170" s="91"/>
      <c r="UZN170" s="89"/>
      <c r="UZP170" s="91"/>
      <c r="UZS170" s="89"/>
      <c r="UZU170" s="91"/>
      <c r="UZX170" s="89"/>
      <c r="UZZ170" s="91"/>
      <c r="VAC170" s="89"/>
      <c r="VAE170" s="91"/>
      <c r="VAH170" s="89"/>
      <c r="VAJ170" s="91"/>
      <c r="VAM170" s="89"/>
      <c r="VAO170" s="91"/>
      <c r="VAR170" s="89"/>
      <c r="VAT170" s="91"/>
      <c r="VAW170" s="89"/>
      <c r="VAY170" s="91"/>
      <c r="VBB170" s="89"/>
      <c r="VBD170" s="91"/>
      <c r="VBG170" s="89"/>
      <c r="VBI170" s="91"/>
      <c r="VBL170" s="89"/>
      <c r="VBN170" s="91"/>
      <c r="VBQ170" s="89"/>
      <c r="VBS170" s="91"/>
      <c r="VBV170" s="89"/>
      <c r="VBX170" s="91"/>
      <c r="VCA170" s="89"/>
      <c r="VCC170" s="91"/>
      <c r="VCF170" s="89"/>
      <c r="VCH170" s="91"/>
      <c r="VCK170" s="89"/>
      <c r="VCM170" s="91"/>
      <c r="VCP170" s="89"/>
      <c r="VCR170" s="91"/>
      <c r="VCU170" s="89"/>
      <c r="VCW170" s="91"/>
      <c r="VCZ170" s="89"/>
      <c r="VDB170" s="91"/>
      <c r="VDE170" s="89"/>
      <c r="VDG170" s="91"/>
      <c r="VDJ170" s="89"/>
      <c r="VDL170" s="91"/>
      <c r="VDO170" s="89"/>
      <c r="VDQ170" s="91"/>
      <c r="VDT170" s="89"/>
      <c r="VDV170" s="91"/>
      <c r="VDY170" s="89"/>
      <c r="VEA170" s="91"/>
      <c r="VED170" s="89"/>
      <c r="VEF170" s="91"/>
      <c r="VEI170" s="89"/>
      <c r="VEK170" s="91"/>
      <c r="VEN170" s="89"/>
      <c r="VEP170" s="91"/>
      <c r="VES170" s="89"/>
      <c r="VEU170" s="91"/>
      <c r="VEX170" s="89"/>
      <c r="VEZ170" s="91"/>
      <c r="VFC170" s="89"/>
      <c r="VFE170" s="91"/>
      <c r="VFH170" s="89"/>
      <c r="VFJ170" s="91"/>
      <c r="VFM170" s="89"/>
      <c r="VFO170" s="91"/>
      <c r="VFR170" s="89"/>
      <c r="VFT170" s="91"/>
      <c r="VFW170" s="89"/>
      <c r="VFY170" s="91"/>
      <c r="VGB170" s="89"/>
      <c r="VGD170" s="91"/>
      <c r="VGG170" s="89"/>
      <c r="VGI170" s="91"/>
      <c r="VGL170" s="89"/>
      <c r="VGN170" s="91"/>
      <c r="VGQ170" s="89"/>
      <c r="VGS170" s="91"/>
      <c r="VGV170" s="89"/>
      <c r="VGX170" s="91"/>
      <c r="VHA170" s="89"/>
      <c r="VHC170" s="91"/>
      <c r="VHF170" s="89"/>
      <c r="VHH170" s="91"/>
      <c r="VHK170" s="89"/>
      <c r="VHM170" s="91"/>
      <c r="VHP170" s="89"/>
      <c r="VHR170" s="91"/>
      <c r="VHU170" s="89"/>
      <c r="VHW170" s="91"/>
      <c r="VHZ170" s="89"/>
      <c r="VIB170" s="91"/>
      <c r="VIE170" s="89"/>
      <c r="VIG170" s="91"/>
      <c r="VIJ170" s="89"/>
      <c r="VIL170" s="91"/>
      <c r="VIO170" s="89"/>
      <c r="VIQ170" s="91"/>
      <c r="VIT170" s="89"/>
      <c r="VIV170" s="91"/>
      <c r="VIY170" s="89"/>
      <c r="VJA170" s="91"/>
      <c r="VJD170" s="89"/>
      <c r="VJF170" s="91"/>
      <c r="VJI170" s="89"/>
      <c r="VJK170" s="91"/>
      <c r="VJN170" s="89"/>
      <c r="VJP170" s="91"/>
      <c r="VJS170" s="89"/>
      <c r="VJU170" s="91"/>
      <c r="VJX170" s="89"/>
      <c r="VJZ170" s="91"/>
      <c r="VKC170" s="89"/>
      <c r="VKE170" s="91"/>
      <c r="VKH170" s="89"/>
      <c r="VKJ170" s="91"/>
      <c r="VKM170" s="89"/>
      <c r="VKO170" s="91"/>
      <c r="VKR170" s="89"/>
      <c r="VKT170" s="91"/>
      <c r="VKW170" s="89"/>
      <c r="VKY170" s="91"/>
      <c r="VLB170" s="89"/>
      <c r="VLD170" s="91"/>
      <c r="VLG170" s="89"/>
      <c r="VLI170" s="91"/>
      <c r="VLL170" s="89"/>
      <c r="VLN170" s="91"/>
      <c r="VLQ170" s="89"/>
      <c r="VLS170" s="91"/>
      <c r="VLV170" s="89"/>
      <c r="VLX170" s="91"/>
      <c r="VMA170" s="89"/>
      <c r="VMC170" s="91"/>
      <c r="VMF170" s="89"/>
      <c r="VMH170" s="91"/>
      <c r="VMK170" s="89"/>
      <c r="VMM170" s="91"/>
      <c r="VMP170" s="89"/>
      <c r="VMR170" s="91"/>
      <c r="VMU170" s="89"/>
      <c r="VMW170" s="91"/>
      <c r="VMZ170" s="89"/>
      <c r="VNB170" s="91"/>
      <c r="VNE170" s="89"/>
      <c r="VNG170" s="91"/>
      <c r="VNJ170" s="89"/>
      <c r="VNL170" s="91"/>
      <c r="VNO170" s="89"/>
      <c r="VNQ170" s="91"/>
      <c r="VNT170" s="89"/>
      <c r="VNV170" s="91"/>
      <c r="VNY170" s="89"/>
      <c r="VOA170" s="91"/>
      <c r="VOD170" s="89"/>
      <c r="VOF170" s="91"/>
      <c r="VOI170" s="89"/>
      <c r="VOK170" s="91"/>
      <c r="VON170" s="89"/>
      <c r="VOP170" s="91"/>
      <c r="VOS170" s="89"/>
      <c r="VOU170" s="91"/>
      <c r="VOX170" s="89"/>
      <c r="VOZ170" s="91"/>
      <c r="VPC170" s="89"/>
      <c r="VPE170" s="91"/>
      <c r="VPH170" s="89"/>
      <c r="VPJ170" s="91"/>
      <c r="VPM170" s="89"/>
      <c r="VPO170" s="91"/>
      <c r="VPR170" s="89"/>
      <c r="VPT170" s="91"/>
      <c r="VPW170" s="89"/>
      <c r="VPY170" s="91"/>
      <c r="VQB170" s="89"/>
      <c r="VQD170" s="91"/>
      <c r="VQG170" s="89"/>
      <c r="VQI170" s="91"/>
      <c r="VQL170" s="89"/>
      <c r="VQN170" s="91"/>
      <c r="VQQ170" s="89"/>
      <c r="VQS170" s="91"/>
      <c r="VQV170" s="89"/>
      <c r="VQX170" s="91"/>
      <c r="VRA170" s="89"/>
      <c r="VRC170" s="91"/>
      <c r="VRF170" s="89"/>
      <c r="VRH170" s="91"/>
      <c r="VRK170" s="89"/>
      <c r="VRM170" s="91"/>
      <c r="VRP170" s="89"/>
      <c r="VRR170" s="91"/>
      <c r="VRU170" s="89"/>
      <c r="VRW170" s="91"/>
      <c r="VRZ170" s="89"/>
      <c r="VSB170" s="91"/>
      <c r="VSE170" s="89"/>
      <c r="VSG170" s="91"/>
      <c r="VSJ170" s="89"/>
      <c r="VSL170" s="91"/>
      <c r="VSO170" s="89"/>
      <c r="VSQ170" s="91"/>
      <c r="VST170" s="89"/>
      <c r="VSV170" s="91"/>
      <c r="VSY170" s="89"/>
      <c r="VTA170" s="91"/>
      <c r="VTD170" s="89"/>
      <c r="VTF170" s="91"/>
      <c r="VTI170" s="89"/>
      <c r="VTK170" s="91"/>
      <c r="VTN170" s="89"/>
      <c r="VTP170" s="91"/>
      <c r="VTS170" s="89"/>
      <c r="VTU170" s="91"/>
      <c r="VTX170" s="89"/>
      <c r="VTZ170" s="91"/>
      <c r="VUC170" s="89"/>
      <c r="VUE170" s="91"/>
      <c r="VUH170" s="89"/>
      <c r="VUJ170" s="91"/>
      <c r="VUM170" s="89"/>
      <c r="VUO170" s="91"/>
      <c r="VUR170" s="89"/>
      <c r="VUT170" s="91"/>
      <c r="VUW170" s="89"/>
      <c r="VUY170" s="91"/>
      <c r="VVB170" s="89"/>
      <c r="VVD170" s="91"/>
      <c r="VVG170" s="89"/>
      <c r="VVI170" s="91"/>
      <c r="VVL170" s="89"/>
      <c r="VVN170" s="91"/>
      <c r="VVQ170" s="89"/>
      <c r="VVS170" s="91"/>
      <c r="VVV170" s="89"/>
      <c r="VVX170" s="91"/>
      <c r="VWA170" s="89"/>
      <c r="VWC170" s="91"/>
      <c r="VWF170" s="89"/>
      <c r="VWH170" s="91"/>
      <c r="VWK170" s="89"/>
      <c r="VWM170" s="91"/>
      <c r="VWP170" s="89"/>
      <c r="VWR170" s="91"/>
      <c r="VWU170" s="89"/>
      <c r="VWW170" s="91"/>
      <c r="VWZ170" s="89"/>
      <c r="VXB170" s="91"/>
      <c r="VXE170" s="89"/>
      <c r="VXG170" s="91"/>
      <c r="VXJ170" s="89"/>
      <c r="VXL170" s="91"/>
      <c r="VXO170" s="89"/>
      <c r="VXQ170" s="91"/>
      <c r="VXT170" s="89"/>
      <c r="VXV170" s="91"/>
      <c r="VXY170" s="89"/>
      <c r="VYA170" s="91"/>
      <c r="VYD170" s="89"/>
      <c r="VYF170" s="91"/>
      <c r="VYI170" s="89"/>
      <c r="VYK170" s="91"/>
      <c r="VYN170" s="89"/>
      <c r="VYP170" s="91"/>
      <c r="VYS170" s="89"/>
      <c r="VYU170" s="91"/>
      <c r="VYX170" s="89"/>
      <c r="VYZ170" s="91"/>
      <c r="VZC170" s="89"/>
      <c r="VZE170" s="91"/>
      <c r="VZH170" s="89"/>
      <c r="VZJ170" s="91"/>
      <c r="VZM170" s="89"/>
      <c r="VZO170" s="91"/>
      <c r="VZR170" s="89"/>
      <c r="VZT170" s="91"/>
      <c r="VZW170" s="89"/>
      <c r="VZY170" s="91"/>
      <c r="WAB170" s="89"/>
      <c r="WAD170" s="91"/>
      <c r="WAG170" s="89"/>
      <c r="WAI170" s="91"/>
      <c r="WAL170" s="89"/>
      <c r="WAN170" s="91"/>
      <c r="WAQ170" s="89"/>
      <c r="WAS170" s="91"/>
      <c r="WAV170" s="89"/>
      <c r="WAX170" s="91"/>
      <c r="WBA170" s="89"/>
      <c r="WBC170" s="91"/>
      <c r="WBF170" s="89"/>
      <c r="WBH170" s="91"/>
      <c r="WBK170" s="89"/>
      <c r="WBM170" s="91"/>
      <c r="WBP170" s="89"/>
      <c r="WBR170" s="91"/>
      <c r="WBU170" s="89"/>
      <c r="WBW170" s="91"/>
      <c r="WBZ170" s="89"/>
      <c r="WCB170" s="91"/>
      <c r="WCE170" s="89"/>
      <c r="WCG170" s="91"/>
      <c r="WCJ170" s="89"/>
      <c r="WCL170" s="91"/>
      <c r="WCO170" s="89"/>
      <c r="WCQ170" s="91"/>
      <c r="WCT170" s="89"/>
      <c r="WCV170" s="91"/>
      <c r="WCY170" s="89"/>
      <c r="WDA170" s="91"/>
      <c r="WDD170" s="89"/>
      <c r="WDF170" s="91"/>
      <c r="WDI170" s="89"/>
      <c r="WDK170" s="91"/>
      <c r="WDN170" s="89"/>
      <c r="WDP170" s="91"/>
      <c r="WDS170" s="89"/>
      <c r="WDU170" s="91"/>
      <c r="WDX170" s="89"/>
      <c r="WDZ170" s="91"/>
      <c r="WEC170" s="89"/>
      <c r="WEE170" s="91"/>
      <c r="WEH170" s="89"/>
      <c r="WEJ170" s="91"/>
      <c r="WEM170" s="89"/>
      <c r="WEO170" s="91"/>
      <c r="WER170" s="89"/>
      <c r="WET170" s="91"/>
      <c r="WEW170" s="89"/>
      <c r="WEY170" s="91"/>
      <c r="WFB170" s="89"/>
      <c r="WFD170" s="91"/>
      <c r="WFG170" s="89"/>
      <c r="WFI170" s="91"/>
      <c r="WFL170" s="89"/>
      <c r="WFN170" s="91"/>
      <c r="WFQ170" s="89"/>
      <c r="WFS170" s="91"/>
      <c r="WFV170" s="89"/>
      <c r="WFX170" s="91"/>
      <c r="WGA170" s="89"/>
      <c r="WGC170" s="91"/>
      <c r="WGF170" s="89"/>
      <c r="WGH170" s="91"/>
      <c r="WGK170" s="89"/>
      <c r="WGM170" s="91"/>
      <c r="WGP170" s="89"/>
      <c r="WGR170" s="91"/>
      <c r="WGU170" s="89"/>
      <c r="WGW170" s="91"/>
      <c r="WGZ170" s="89"/>
      <c r="WHB170" s="91"/>
      <c r="WHE170" s="89"/>
      <c r="WHG170" s="91"/>
      <c r="WHJ170" s="89"/>
      <c r="WHL170" s="91"/>
      <c r="WHO170" s="89"/>
      <c r="WHQ170" s="91"/>
      <c r="WHT170" s="89"/>
      <c r="WHV170" s="91"/>
      <c r="WHY170" s="89"/>
      <c r="WIA170" s="91"/>
      <c r="WID170" s="89"/>
      <c r="WIF170" s="91"/>
      <c r="WII170" s="89"/>
      <c r="WIK170" s="91"/>
      <c r="WIN170" s="89"/>
      <c r="WIP170" s="91"/>
      <c r="WIS170" s="89"/>
      <c r="WIU170" s="91"/>
      <c r="WIX170" s="89"/>
      <c r="WIZ170" s="91"/>
      <c r="WJC170" s="89"/>
      <c r="WJE170" s="91"/>
      <c r="WJH170" s="89"/>
      <c r="WJJ170" s="91"/>
      <c r="WJM170" s="89"/>
      <c r="WJO170" s="91"/>
      <c r="WJR170" s="89"/>
      <c r="WJT170" s="91"/>
      <c r="WJW170" s="89"/>
      <c r="WJY170" s="91"/>
      <c r="WKB170" s="89"/>
      <c r="WKD170" s="91"/>
      <c r="WKG170" s="89"/>
      <c r="WKI170" s="91"/>
      <c r="WKL170" s="89"/>
      <c r="WKN170" s="91"/>
      <c r="WKQ170" s="89"/>
      <c r="WKS170" s="91"/>
      <c r="WKV170" s="89"/>
      <c r="WKX170" s="91"/>
      <c r="WLA170" s="89"/>
      <c r="WLC170" s="91"/>
      <c r="WLF170" s="89"/>
      <c r="WLH170" s="91"/>
      <c r="WLK170" s="89"/>
      <c r="WLM170" s="91"/>
      <c r="WLP170" s="89"/>
      <c r="WLR170" s="91"/>
      <c r="WLU170" s="89"/>
      <c r="WLW170" s="91"/>
      <c r="WLZ170" s="89"/>
      <c r="WMB170" s="91"/>
      <c r="WME170" s="89"/>
      <c r="WMG170" s="91"/>
      <c r="WMJ170" s="89"/>
      <c r="WML170" s="91"/>
      <c r="WMO170" s="89"/>
      <c r="WMQ170" s="91"/>
      <c r="WMT170" s="89"/>
      <c r="WMV170" s="91"/>
      <c r="WMY170" s="89"/>
      <c r="WNA170" s="91"/>
      <c r="WND170" s="89"/>
      <c r="WNF170" s="91"/>
      <c r="WNI170" s="89"/>
      <c r="WNK170" s="91"/>
      <c r="WNN170" s="89"/>
      <c r="WNP170" s="91"/>
      <c r="WNS170" s="89"/>
      <c r="WNU170" s="91"/>
      <c r="WNX170" s="89"/>
      <c r="WNZ170" s="91"/>
      <c r="WOC170" s="89"/>
      <c r="WOE170" s="91"/>
      <c r="WOH170" s="89"/>
      <c r="WOJ170" s="91"/>
      <c r="WOM170" s="89"/>
      <c r="WOO170" s="91"/>
      <c r="WOR170" s="89"/>
      <c r="WOT170" s="91"/>
      <c r="WOW170" s="89"/>
      <c r="WOY170" s="91"/>
      <c r="WPB170" s="89"/>
      <c r="WPD170" s="91"/>
      <c r="WPG170" s="89"/>
      <c r="WPI170" s="91"/>
      <c r="WPL170" s="89"/>
      <c r="WPN170" s="91"/>
      <c r="WPQ170" s="89"/>
      <c r="WPS170" s="91"/>
      <c r="WPV170" s="89"/>
      <c r="WPX170" s="91"/>
      <c r="WQA170" s="89"/>
      <c r="WQC170" s="91"/>
      <c r="WQF170" s="89"/>
      <c r="WQH170" s="91"/>
      <c r="WQK170" s="89"/>
      <c r="WQM170" s="91"/>
      <c r="WQP170" s="89"/>
      <c r="WQR170" s="91"/>
      <c r="WQU170" s="89"/>
      <c r="WQW170" s="91"/>
      <c r="WQZ170" s="89"/>
      <c r="WRB170" s="91"/>
      <c r="WRE170" s="89"/>
      <c r="WRG170" s="91"/>
      <c r="WRJ170" s="89"/>
      <c r="WRL170" s="91"/>
      <c r="WRO170" s="89"/>
      <c r="WRQ170" s="91"/>
      <c r="WRT170" s="89"/>
      <c r="WRV170" s="91"/>
      <c r="WRY170" s="89"/>
      <c r="WSA170" s="91"/>
      <c r="WSD170" s="89"/>
      <c r="WSF170" s="91"/>
      <c r="WSI170" s="89"/>
      <c r="WSK170" s="91"/>
      <c r="WSN170" s="89"/>
      <c r="WSP170" s="91"/>
      <c r="WSS170" s="89"/>
      <c r="WSU170" s="91"/>
      <c r="WSX170" s="89"/>
      <c r="WSZ170" s="91"/>
      <c r="WTC170" s="89"/>
      <c r="WTE170" s="91"/>
      <c r="WTH170" s="89"/>
      <c r="WTJ170" s="91"/>
      <c r="WTM170" s="89"/>
      <c r="WTO170" s="91"/>
      <c r="WTR170" s="89"/>
      <c r="WTT170" s="91"/>
      <c r="WTW170" s="89"/>
      <c r="WTY170" s="91"/>
      <c r="WUB170" s="89"/>
      <c r="WUD170" s="91"/>
      <c r="WUG170" s="89"/>
      <c r="WUI170" s="91"/>
      <c r="WUL170" s="89"/>
      <c r="WUN170" s="91"/>
      <c r="WUQ170" s="89"/>
      <c r="WUS170" s="91"/>
      <c r="WUV170" s="89"/>
      <c r="WUX170" s="91"/>
      <c r="WVA170" s="89"/>
      <c r="WVC170" s="91"/>
      <c r="WVF170" s="89"/>
      <c r="WVH170" s="91"/>
      <c r="WVK170" s="89"/>
      <c r="WVM170" s="91"/>
      <c r="WVP170" s="89"/>
      <c r="WVR170" s="91"/>
      <c r="WVU170" s="89"/>
      <c r="WVW170" s="91"/>
      <c r="WVZ170" s="89"/>
      <c r="WWB170" s="91"/>
      <c r="WWE170" s="89"/>
      <c r="WWG170" s="91"/>
      <c r="WWJ170" s="89"/>
      <c r="WWL170" s="91"/>
      <c r="WWO170" s="89"/>
      <c r="WWQ170" s="91"/>
      <c r="WWT170" s="89"/>
      <c r="WWV170" s="91"/>
      <c r="WWY170" s="89"/>
      <c r="WXA170" s="91"/>
      <c r="WXD170" s="89"/>
      <c r="WXF170" s="91"/>
      <c r="WXI170" s="89"/>
      <c r="WXK170" s="91"/>
      <c r="WXN170" s="89"/>
      <c r="WXP170" s="91"/>
      <c r="WXS170" s="89"/>
      <c r="WXU170" s="91"/>
      <c r="WXX170" s="89"/>
      <c r="WXZ170" s="91"/>
      <c r="WYC170" s="89"/>
      <c r="WYE170" s="91"/>
      <c r="WYH170" s="89"/>
      <c r="WYJ170" s="91"/>
      <c r="WYM170" s="89"/>
      <c r="WYO170" s="91"/>
      <c r="WYR170" s="89"/>
      <c r="WYT170" s="91"/>
      <c r="WYW170" s="89"/>
      <c r="WYY170" s="91"/>
      <c r="WZB170" s="89"/>
      <c r="WZD170" s="91"/>
      <c r="WZG170" s="89"/>
      <c r="WZI170" s="91"/>
      <c r="WZL170" s="89"/>
      <c r="WZN170" s="91"/>
      <c r="WZQ170" s="89"/>
      <c r="WZS170" s="91"/>
      <c r="WZV170" s="89"/>
      <c r="WZX170" s="91"/>
      <c r="XAA170" s="89"/>
      <c r="XAC170" s="91"/>
      <c r="XAF170" s="89"/>
      <c r="XAH170" s="91"/>
      <c r="XAK170" s="89"/>
      <c r="XAM170" s="91"/>
      <c r="XAP170" s="89"/>
      <c r="XAR170" s="91"/>
      <c r="XAU170" s="89"/>
      <c r="XAW170" s="91"/>
      <c r="XAZ170" s="89"/>
      <c r="XBB170" s="91"/>
      <c r="XBE170" s="89"/>
      <c r="XBG170" s="91"/>
      <c r="XBJ170" s="89"/>
      <c r="XBL170" s="91"/>
      <c r="XBO170" s="89"/>
      <c r="XBQ170" s="91"/>
      <c r="XBT170" s="89"/>
      <c r="XBV170" s="91"/>
      <c r="XBY170" s="89"/>
      <c r="XCA170" s="91"/>
      <c r="XCD170" s="89"/>
      <c r="XCF170" s="91"/>
      <c r="XCI170" s="89"/>
      <c r="XCK170" s="91"/>
      <c r="XCN170" s="89"/>
      <c r="XCP170" s="91"/>
      <c r="XCS170" s="89"/>
      <c r="XCU170" s="91"/>
      <c r="XCX170" s="89"/>
      <c r="XCZ170" s="91"/>
      <c r="XDC170" s="89"/>
      <c r="XDE170" s="91"/>
      <c r="XDH170" s="89"/>
      <c r="XDJ170" s="91"/>
      <c r="XDM170" s="89"/>
      <c r="XDO170" s="91"/>
      <c r="XDR170" s="89"/>
      <c r="XDT170" s="91"/>
      <c r="XDW170" s="89"/>
      <c r="XDY170" s="91"/>
      <c r="XEB170" s="89"/>
      <c r="XED170" s="91"/>
      <c r="XEG170" s="89"/>
      <c r="XEI170" s="91"/>
      <c r="XEL170" s="89"/>
      <c r="XEN170" s="91"/>
      <c r="XEQ170" s="89"/>
      <c r="XES170" s="91"/>
      <c r="XEV170" s="89"/>
      <c r="XEX170" s="91"/>
      <c r="XFA170" s="89"/>
      <c r="XFC170" s="91"/>
    </row>
    <row r="171" spans="1:1023 1026:2048 2051:3071 3073:4096 4098:5118 5121:6143 6146:7168 7171:8191 8193:9216 9218:10238 10241:11263 11266:12288 12291:13311 13313:14336 14338:15358 15361:16383" x14ac:dyDescent="0.2">
      <c r="A171" s="50">
        <v>45688</v>
      </c>
      <c r="B171" s="51" t="s">
        <v>175</v>
      </c>
      <c r="C171" s="52">
        <v>511825</v>
      </c>
      <c r="D171" s="53" t="s">
        <v>126</v>
      </c>
      <c r="E171" s="53" t="s">
        <v>126</v>
      </c>
    </row>
    <row r="172" spans="1:1023 1026:2048 2051:3071 3073:4096 4098:5118 5121:6143 6146:7168 7171:8191 8193:9216 9218:10238 10241:11263 11266:12288 12291:13311 13313:14336 14338:15358 15361:16383" x14ac:dyDescent="0.2">
      <c r="A172" s="50">
        <v>45688</v>
      </c>
      <c r="B172" s="51" t="s">
        <v>176</v>
      </c>
      <c r="C172" s="52">
        <v>511825</v>
      </c>
      <c r="D172" s="53" t="s">
        <v>126</v>
      </c>
      <c r="E172" s="53" t="s">
        <v>126</v>
      </c>
    </row>
    <row r="173" spans="1:1023 1026:2048 2051:3071 3073:4096 4098:5118 5121:6143 6146:7168 7171:8191 8193:9216 9218:10238 10241:11263 11266:12288 12291:13311 13313:14336 14338:15358 15361:16383" x14ac:dyDescent="0.2">
      <c r="A173" s="45">
        <v>45692</v>
      </c>
      <c r="B173" s="37" t="s">
        <v>207</v>
      </c>
      <c r="C173" s="46">
        <v>529652.57999999996</v>
      </c>
      <c r="D173" s="37" t="s">
        <v>126</v>
      </c>
      <c r="E173" s="37" t="s">
        <v>208</v>
      </c>
    </row>
    <row r="174" spans="1:1023 1026:2048 2051:3071 3073:4096 4098:5118 5121:6143 6146:7168 7171:8191 8193:9216 9218:10238 10241:11263 11266:12288 12291:13311 13313:14336 14338:15358 15361:16383" x14ac:dyDescent="0.2">
      <c r="A174" s="45">
        <v>45693</v>
      </c>
      <c r="B174" s="37" t="s">
        <v>209</v>
      </c>
      <c r="C174" s="46">
        <v>9136.74</v>
      </c>
      <c r="D174" s="37" t="s">
        <v>126</v>
      </c>
      <c r="E174" s="37" t="s">
        <v>134</v>
      </c>
    </row>
    <row r="175" spans="1:1023 1026:2048 2051:3071 3073:4096 4098:5118 5121:6143 6146:7168 7171:8191 8193:9216 9218:10238 10241:11263 11266:12288 12291:13311 13313:14336 14338:15358 15361:16383" x14ac:dyDescent="0.2">
      <c r="A175" s="45">
        <v>45698</v>
      </c>
      <c r="B175" s="37" t="s">
        <v>213</v>
      </c>
      <c r="C175" s="46">
        <v>2341663</v>
      </c>
      <c r="D175" s="37" t="s">
        <v>126</v>
      </c>
      <c r="E175" s="37" t="s">
        <v>126</v>
      </c>
    </row>
    <row r="176" spans="1:1023 1026:2048 2051:3071 3073:4096 4098:5118 5121:6143 6146:7168 7171:8191 8193:9216 9218:10238 10241:11263 11266:12288 12291:13311 13313:14336 14338:15358 15361:16383" x14ac:dyDescent="0.2">
      <c r="A176" s="45">
        <v>45698</v>
      </c>
      <c r="B176" s="37" t="s">
        <v>214</v>
      </c>
      <c r="C176" s="46">
        <v>6201.46</v>
      </c>
      <c r="D176" s="37" t="s">
        <v>126</v>
      </c>
      <c r="E176" s="37" t="s">
        <v>132</v>
      </c>
    </row>
    <row r="177" spans="1:1023 1026:2048 2051:3071 3073:4096 4098:5118 5121:6143 6146:7168 7171:8191 8193:9216 9218:10238 10241:11263 11266:12288 12291:13311 13313:14336 14338:15358 15361:16383" x14ac:dyDescent="0.2">
      <c r="A177" s="45">
        <v>45702</v>
      </c>
      <c r="B177" s="37" t="s">
        <v>227</v>
      </c>
      <c r="C177" s="46">
        <v>24805.88</v>
      </c>
      <c r="D177" s="37" t="s">
        <v>126</v>
      </c>
      <c r="E177" s="37" t="s">
        <v>172</v>
      </c>
    </row>
    <row r="178" spans="1:1023 1026:2048 2051:3071 3073:4096 4098:5118 5121:6143 6146:7168 7171:8191 8193:9216 9218:10238 10241:11263 11266:12288 12291:13311 13313:14336 14338:15358 15361:16383" x14ac:dyDescent="0.2">
      <c r="A178" s="48">
        <v>45716</v>
      </c>
      <c r="B178" s="37" t="s">
        <v>266</v>
      </c>
      <c r="C178" s="46">
        <v>250000</v>
      </c>
      <c r="D178" s="37" t="s">
        <v>126</v>
      </c>
      <c r="E178" s="37" t="s">
        <v>126</v>
      </c>
    </row>
    <row r="179" spans="1:1023 1026:2048 2051:3071 3073:4096 4098:5118 5121:6143 6146:7168 7171:8191 8193:9216 9218:10238 10241:11263 11266:12288 12291:13311 13313:14336 14338:15358 15361:16383" x14ac:dyDescent="0.2">
      <c r="A179" s="48">
        <v>45716</v>
      </c>
      <c r="B179" s="37" t="s">
        <v>267</v>
      </c>
      <c r="C179" s="46">
        <v>200000</v>
      </c>
      <c r="D179" s="37" t="s">
        <v>126</v>
      </c>
      <c r="E179" s="37" t="s">
        <v>126</v>
      </c>
    </row>
    <row r="180" spans="1:1023 1026:2048 2051:3071 3073:4096 4098:5118 5121:6143 6146:7168 7171:8191 8193:9216 9218:10238 10241:11263 11266:12288 12291:13311 13313:14336 14338:15358 15361:16383" x14ac:dyDescent="0.2">
      <c r="A180" s="48">
        <v>45716</v>
      </c>
      <c r="B180" s="37" t="s">
        <v>268</v>
      </c>
      <c r="C180" s="46">
        <v>1000000</v>
      </c>
      <c r="D180" s="37" t="s">
        <v>126</v>
      </c>
      <c r="E180" s="37" t="s">
        <v>126</v>
      </c>
    </row>
    <row r="181" spans="1:1023 1026:2048 2051:3071 3073:4096 4098:5118 5121:6143 6146:7168 7171:8191 8193:9216 9218:10238 10241:11263 11266:12288 12291:13311 13313:14336 14338:15358 15361:16383" s="90" customFormat="1" x14ac:dyDescent="0.2">
      <c r="A181" s="89"/>
      <c r="B181" s="90" t="str">
        <f>+D180</f>
        <v>Sueldos</v>
      </c>
      <c r="C181" s="91">
        <f>SUM(C171:C180)</f>
        <v>5385109.6600000001</v>
      </c>
      <c r="F181" s="89"/>
      <c r="H181" s="91"/>
      <c r="K181" s="89"/>
      <c r="M181" s="91"/>
      <c r="P181" s="89"/>
      <c r="R181" s="91"/>
      <c r="U181" s="89"/>
      <c r="W181" s="91"/>
      <c r="Z181" s="89"/>
      <c r="AB181" s="91"/>
      <c r="AE181" s="89"/>
      <c r="AG181" s="91"/>
      <c r="AJ181" s="89"/>
      <c r="AL181" s="91"/>
      <c r="AO181" s="89"/>
      <c r="AQ181" s="91"/>
      <c r="AT181" s="89"/>
      <c r="AV181" s="91"/>
      <c r="AY181" s="89"/>
      <c r="BA181" s="91"/>
      <c r="BD181" s="89"/>
      <c r="BF181" s="91"/>
      <c r="BI181" s="89"/>
      <c r="BK181" s="91"/>
      <c r="BN181" s="89"/>
      <c r="BP181" s="91"/>
      <c r="BS181" s="89"/>
      <c r="BU181" s="91"/>
      <c r="BX181" s="89"/>
      <c r="BZ181" s="91"/>
      <c r="CC181" s="89"/>
      <c r="CE181" s="91"/>
      <c r="CH181" s="89"/>
      <c r="CJ181" s="91"/>
      <c r="CM181" s="89"/>
      <c r="CO181" s="91"/>
      <c r="CR181" s="89"/>
      <c r="CT181" s="91"/>
      <c r="CW181" s="89"/>
      <c r="CY181" s="91"/>
      <c r="DB181" s="89"/>
      <c r="DD181" s="91"/>
      <c r="DG181" s="89"/>
      <c r="DI181" s="91"/>
      <c r="DL181" s="89"/>
      <c r="DN181" s="91"/>
      <c r="DQ181" s="89"/>
      <c r="DS181" s="91"/>
      <c r="DV181" s="89"/>
      <c r="DX181" s="91"/>
      <c r="EA181" s="89"/>
      <c r="EC181" s="91"/>
      <c r="EF181" s="89"/>
      <c r="EH181" s="91"/>
      <c r="EK181" s="89"/>
      <c r="EM181" s="91"/>
      <c r="EP181" s="89"/>
      <c r="ER181" s="91"/>
      <c r="EU181" s="89"/>
      <c r="EW181" s="91"/>
      <c r="EZ181" s="89"/>
      <c r="FB181" s="91"/>
      <c r="FE181" s="89"/>
      <c r="FG181" s="91"/>
      <c r="FJ181" s="89"/>
      <c r="FL181" s="91"/>
      <c r="FO181" s="89"/>
      <c r="FQ181" s="91"/>
      <c r="FT181" s="89"/>
      <c r="FV181" s="91"/>
      <c r="FY181" s="89"/>
      <c r="GA181" s="91"/>
      <c r="GD181" s="89"/>
      <c r="GF181" s="91"/>
      <c r="GI181" s="89"/>
      <c r="GK181" s="91"/>
      <c r="GN181" s="89"/>
      <c r="GP181" s="91"/>
      <c r="GS181" s="89"/>
      <c r="GU181" s="91"/>
      <c r="GX181" s="89"/>
      <c r="GZ181" s="91"/>
      <c r="HC181" s="89"/>
      <c r="HE181" s="91"/>
      <c r="HH181" s="89"/>
      <c r="HJ181" s="91"/>
      <c r="HM181" s="89"/>
      <c r="HO181" s="91"/>
      <c r="HR181" s="89"/>
      <c r="HT181" s="91"/>
      <c r="HW181" s="89"/>
      <c r="HY181" s="91"/>
      <c r="IB181" s="89"/>
      <c r="ID181" s="91"/>
      <c r="IG181" s="89"/>
      <c r="II181" s="91"/>
      <c r="IL181" s="89"/>
      <c r="IN181" s="91"/>
      <c r="IQ181" s="89"/>
      <c r="IS181" s="91"/>
      <c r="IV181" s="89"/>
      <c r="IX181" s="91"/>
      <c r="JA181" s="89"/>
      <c r="JC181" s="91"/>
      <c r="JF181" s="89"/>
      <c r="JH181" s="91"/>
      <c r="JK181" s="89"/>
      <c r="JM181" s="91"/>
      <c r="JP181" s="89"/>
      <c r="JR181" s="91"/>
      <c r="JU181" s="89"/>
      <c r="JW181" s="91"/>
      <c r="JZ181" s="89"/>
      <c r="KB181" s="91"/>
      <c r="KE181" s="89"/>
      <c r="KG181" s="91"/>
      <c r="KJ181" s="89"/>
      <c r="KL181" s="91"/>
      <c r="KO181" s="89"/>
      <c r="KQ181" s="91"/>
      <c r="KT181" s="89"/>
      <c r="KV181" s="91"/>
      <c r="KY181" s="89"/>
      <c r="LA181" s="91"/>
      <c r="LD181" s="89"/>
      <c r="LF181" s="91"/>
      <c r="LI181" s="89"/>
      <c r="LK181" s="91"/>
      <c r="LN181" s="89"/>
      <c r="LP181" s="91"/>
      <c r="LS181" s="89"/>
      <c r="LU181" s="91"/>
      <c r="LX181" s="89"/>
      <c r="LZ181" s="91"/>
      <c r="MC181" s="89"/>
      <c r="ME181" s="91"/>
      <c r="MH181" s="89"/>
      <c r="MJ181" s="91"/>
      <c r="MM181" s="89"/>
      <c r="MO181" s="91"/>
      <c r="MR181" s="89"/>
      <c r="MT181" s="91"/>
      <c r="MW181" s="89"/>
      <c r="MY181" s="91"/>
      <c r="NB181" s="89"/>
      <c r="ND181" s="91"/>
      <c r="NG181" s="89"/>
      <c r="NI181" s="91"/>
      <c r="NL181" s="89"/>
      <c r="NN181" s="91"/>
      <c r="NQ181" s="89"/>
      <c r="NS181" s="91"/>
      <c r="NV181" s="89"/>
      <c r="NX181" s="91"/>
      <c r="OA181" s="89"/>
      <c r="OC181" s="91"/>
      <c r="OF181" s="89"/>
      <c r="OH181" s="91"/>
      <c r="OK181" s="89"/>
      <c r="OM181" s="91"/>
      <c r="OP181" s="89"/>
      <c r="OR181" s="91"/>
      <c r="OU181" s="89"/>
      <c r="OW181" s="91"/>
      <c r="OZ181" s="89"/>
      <c r="PB181" s="91"/>
      <c r="PE181" s="89"/>
      <c r="PG181" s="91"/>
      <c r="PJ181" s="89"/>
      <c r="PL181" s="91"/>
      <c r="PO181" s="89"/>
      <c r="PQ181" s="91"/>
      <c r="PT181" s="89"/>
      <c r="PV181" s="91"/>
      <c r="PY181" s="89"/>
      <c r="QA181" s="91"/>
      <c r="QD181" s="89"/>
      <c r="QF181" s="91"/>
      <c r="QI181" s="89"/>
      <c r="QK181" s="91"/>
      <c r="QN181" s="89"/>
      <c r="QP181" s="91"/>
      <c r="QS181" s="89"/>
      <c r="QU181" s="91"/>
      <c r="QX181" s="89"/>
      <c r="QZ181" s="91"/>
      <c r="RC181" s="89"/>
      <c r="RE181" s="91"/>
      <c r="RH181" s="89"/>
      <c r="RJ181" s="91"/>
      <c r="RM181" s="89"/>
      <c r="RO181" s="91"/>
      <c r="RR181" s="89"/>
      <c r="RT181" s="91"/>
      <c r="RW181" s="89"/>
      <c r="RY181" s="91"/>
      <c r="SB181" s="89"/>
      <c r="SD181" s="91"/>
      <c r="SG181" s="89"/>
      <c r="SI181" s="91"/>
      <c r="SL181" s="89"/>
      <c r="SN181" s="91"/>
      <c r="SQ181" s="89"/>
      <c r="SS181" s="91"/>
      <c r="SV181" s="89"/>
      <c r="SX181" s="91"/>
      <c r="TA181" s="89"/>
      <c r="TC181" s="91"/>
      <c r="TF181" s="89"/>
      <c r="TH181" s="91"/>
      <c r="TK181" s="89"/>
      <c r="TM181" s="91"/>
      <c r="TP181" s="89"/>
      <c r="TR181" s="91"/>
      <c r="TU181" s="89"/>
      <c r="TW181" s="91"/>
      <c r="TZ181" s="89"/>
      <c r="UB181" s="91"/>
      <c r="UE181" s="89"/>
      <c r="UG181" s="91"/>
      <c r="UJ181" s="89"/>
      <c r="UL181" s="91"/>
      <c r="UO181" s="89"/>
      <c r="UQ181" s="91"/>
      <c r="UT181" s="89"/>
      <c r="UV181" s="91"/>
      <c r="UY181" s="89"/>
      <c r="VA181" s="91"/>
      <c r="VD181" s="89"/>
      <c r="VF181" s="91"/>
      <c r="VI181" s="89"/>
      <c r="VK181" s="91"/>
      <c r="VN181" s="89"/>
      <c r="VP181" s="91"/>
      <c r="VS181" s="89"/>
      <c r="VU181" s="91"/>
      <c r="VX181" s="89"/>
      <c r="VZ181" s="91"/>
      <c r="WC181" s="89"/>
      <c r="WE181" s="91"/>
      <c r="WH181" s="89"/>
      <c r="WJ181" s="91"/>
      <c r="WM181" s="89"/>
      <c r="WO181" s="91"/>
      <c r="WR181" s="89"/>
      <c r="WT181" s="91"/>
      <c r="WW181" s="89"/>
      <c r="WY181" s="91"/>
      <c r="XB181" s="89"/>
      <c r="XD181" s="91"/>
      <c r="XG181" s="89"/>
      <c r="XI181" s="91"/>
      <c r="XL181" s="89"/>
      <c r="XN181" s="91"/>
      <c r="XQ181" s="89"/>
      <c r="XS181" s="91"/>
      <c r="XV181" s="89"/>
      <c r="XX181" s="91"/>
      <c r="YA181" s="89"/>
      <c r="YC181" s="91"/>
      <c r="YF181" s="89"/>
      <c r="YH181" s="91"/>
      <c r="YK181" s="89"/>
      <c r="YM181" s="91"/>
      <c r="YP181" s="89"/>
      <c r="YR181" s="91"/>
      <c r="YU181" s="89"/>
      <c r="YW181" s="91"/>
      <c r="YZ181" s="89"/>
      <c r="ZB181" s="91"/>
      <c r="ZE181" s="89"/>
      <c r="ZG181" s="91"/>
      <c r="ZJ181" s="89"/>
      <c r="ZL181" s="91"/>
      <c r="ZO181" s="89"/>
      <c r="ZQ181" s="91"/>
      <c r="ZT181" s="89"/>
      <c r="ZV181" s="91"/>
      <c r="ZY181" s="89"/>
      <c r="AAA181" s="91"/>
      <c r="AAD181" s="89"/>
      <c r="AAF181" s="91"/>
      <c r="AAI181" s="89"/>
      <c r="AAK181" s="91"/>
      <c r="AAN181" s="89"/>
      <c r="AAP181" s="91"/>
      <c r="AAS181" s="89"/>
      <c r="AAU181" s="91"/>
      <c r="AAX181" s="89"/>
      <c r="AAZ181" s="91"/>
      <c r="ABC181" s="89"/>
      <c r="ABE181" s="91"/>
      <c r="ABH181" s="89"/>
      <c r="ABJ181" s="91"/>
      <c r="ABM181" s="89"/>
      <c r="ABO181" s="91"/>
      <c r="ABR181" s="89"/>
      <c r="ABT181" s="91"/>
      <c r="ABW181" s="89"/>
      <c r="ABY181" s="91"/>
      <c r="ACB181" s="89"/>
      <c r="ACD181" s="91"/>
      <c r="ACG181" s="89"/>
      <c r="ACI181" s="91"/>
      <c r="ACL181" s="89"/>
      <c r="ACN181" s="91"/>
      <c r="ACQ181" s="89"/>
      <c r="ACS181" s="91"/>
      <c r="ACV181" s="89"/>
      <c r="ACX181" s="91"/>
      <c r="ADA181" s="89"/>
      <c r="ADC181" s="91"/>
      <c r="ADF181" s="89"/>
      <c r="ADH181" s="91"/>
      <c r="ADK181" s="89"/>
      <c r="ADM181" s="91"/>
      <c r="ADP181" s="89"/>
      <c r="ADR181" s="91"/>
      <c r="ADU181" s="89"/>
      <c r="ADW181" s="91"/>
      <c r="ADZ181" s="89"/>
      <c r="AEB181" s="91"/>
      <c r="AEE181" s="89"/>
      <c r="AEG181" s="91"/>
      <c r="AEJ181" s="89"/>
      <c r="AEL181" s="91"/>
      <c r="AEO181" s="89"/>
      <c r="AEQ181" s="91"/>
      <c r="AET181" s="89"/>
      <c r="AEV181" s="91"/>
      <c r="AEY181" s="89"/>
      <c r="AFA181" s="91"/>
      <c r="AFD181" s="89"/>
      <c r="AFF181" s="91"/>
      <c r="AFI181" s="89"/>
      <c r="AFK181" s="91"/>
      <c r="AFN181" s="89"/>
      <c r="AFP181" s="91"/>
      <c r="AFS181" s="89"/>
      <c r="AFU181" s="91"/>
      <c r="AFX181" s="89"/>
      <c r="AFZ181" s="91"/>
      <c r="AGC181" s="89"/>
      <c r="AGE181" s="91"/>
      <c r="AGH181" s="89"/>
      <c r="AGJ181" s="91"/>
      <c r="AGM181" s="89"/>
      <c r="AGO181" s="91"/>
      <c r="AGR181" s="89"/>
      <c r="AGT181" s="91"/>
      <c r="AGW181" s="89"/>
      <c r="AGY181" s="91"/>
      <c r="AHB181" s="89"/>
      <c r="AHD181" s="91"/>
      <c r="AHG181" s="89"/>
      <c r="AHI181" s="91"/>
      <c r="AHL181" s="89"/>
      <c r="AHN181" s="91"/>
      <c r="AHQ181" s="89"/>
      <c r="AHS181" s="91"/>
      <c r="AHV181" s="89"/>
      <c r="AHX181" s="91"/>
      <c r="AIA181" s="89"/>
      <c r="AIC181" s="91"/>
      <c r="AIF181" s="89"/>
      <c r="AIH181" s="91"/>
      <c r="AIK181" s="89"/>
      <c r="AIM181" s="91"/>
      <c r="AIP181" s="89"/>
      <c r="AIR181" s="91"/>
      <c r="AIU181" s="89"/>
      <c r="AIW181" s="91"/>
      <c r="AIZ181" s="89"/>
      <c r="AJB181" s="91"/>
      <c r="AJE181" s="89"/>
      <c r="AJG181" s="91"/>
      <c r="AJJ181" s="89"/>
      <c r="AJL181" s="91"/>
      <c r="AJO181" s="89"/>
      <c r="AJQ181" s="91"/>
      <c r="AJT181" s="89"/>
      <c r="AJV181" s="91"/>
      <c r="AJY181" s="89"/>
      <c r="AKA181" s="91"/>
      <c r="AKD181" s="89"/>
      <c r="AKF181" s="91"/>
      <c r="AKI181" s="89"/>
      <c r="AKK181" s="91"/>
      <c r="AKN181" s="89"/>
      <c r="AKP181" s="91"/>
      <c r="AKS181" s="89"/>
      <c r="AKU181" s="91"/>
      <c r="AKX181" s="89"/>
      <c r="AKZ181" s="91"/>
      <c r="ALC181" s="89"/>
      <c r="ALE181" s="91"/>
      <c r="ALH181" s="89"/>
      <c r="ALJ181" s="91"/>
      <c r="ALM181" s="89"/>
      <c r="ALO181" s="91"/>
      <c r="ALR181" s="89"/>
      <c r="ALT181" s="91"/>
      <c r="ALW181" s="89"/>
      <c r="ALY181" s="91"/>
      <c r="AMB181" s="89"/>
      <c r="AMD181" s="91"/>
      <c r="AMG181" s="89"/>
      <c r="AMI181" s="91"/>
      <c r="AML181" s="89"/>
      <c r="AMN181" s="91"/>
      <c r="AMQ181" s="89"/>
      <c r="AMS181" s="91"/>
      <c r="AMV181" s="89"/>
      <c r="AMX181" s="91"/>
      <c r="ANA181" s="89"/>
      <c r="ANC181" s="91"/>
      <c r="ANF181" s="89"/>
      <c r="ANH181" s="91"/>
      <c r="ANK181" s="89"/>
      <c r="ANM181" s="91"/>
      <c r="ANP181" s="89"/>
      <c r="ANR181" s="91"/>
      <c r="ANU181" s="89"/>
      <c r="ANW181" s="91"/>
      <c r="ANZ181" s="89"/>
      <c r="AOB181" s="91"/>
      <c r="AOE181" s="89"/>
      <c r="AOG181" s="91"/>
      <c r="AOJ181" s="89"/>
      <c r="AOL181" s="91"/>
      <c r="AOO181" s="89"/>
      <c r="AOQ181" s="91"/>
      <c r="AOT181" s="89"/>
      <c r="AOV181" s="91"/>
      <c r="AOY181" s="89"/>
      <c r="APA181" s="91"/>
      <c r="APD181" s="89"/>
      <c r="APF181" s="91"/>
      <c r="API181" s="89"/>
      <c r="APK181" s="91"/>
      <c r="APN181" s="89"/>
      <c r="APP181" s="91"/>
      <c r="APS181" s="89"/>
      <c r="APU181" s="91"/>
      <c r="APX181" s="89"/>
      <c r="APZ181" s="91"/>
      <c r="AQC181" s="89"/>
      <c r="AQE181" s="91"/>
      <c r="AQH181" s="89"/>
      <c r="AQJ181" s="91"/>
      <c r="AQM181" s="89"/>
      <c r="AQO181" s="91"/>
      <c r="AQR181" s="89"/>
      <c r="AQT181" s="91"/>
      <c r="AQW181" s="89"/>
      <c r="AQY181" s="91"/>
      <c r="ARB181" s="89"/>
      <c r="ARD181" s="91"/>
      <c r="ARG181" s="89"/>
      <c r="ARI181" s="91"/>
      <c r="ARL181" s="89"/>
      <c r="ARN181" s="91"/>
      <c r="ARQ181" s="89"/>
      <c r="ARS181" s="91"/>
      <c r="ARV181" s="89"/>
      <c r="ARX181" s="91"/>
      <c r="ASA181" s="89"/>
      <c r="ASC181" s="91"/>
      <c r="ASF181" s="89"/>
      <c r="ASH181" s="91"/>
      <c r="ASK181" s="89"/>
      <c r="ASM181" s="91"/>
      <c r="ASP181" s="89"/>
      <c r="ASR181" s="91"/>
      <c r="ASU181" s="89"/>
      <c r="ASW181" s="91"/>
      <c r="ASZ181" s="89"/>
      <c r="ATB181" s="91"/>
      <c r="ATE181" s="89"/>
      <c r="ATG181" s="91"/>
      <c r="ATJ181" s="89"/>
      <c r="ATL181" s="91"/>
      <c r="ATO181" s="89"/>
      <c r="ATQ181" s="91"/>
      <c r="ATT181" s="89"/>
      <c r="ATV181" s="91"/>
      <c r="ATY181" s="89"/>
      <c r="AUA181" s="91"/>
      <c r="AUD181" s="89"/>
      <c r="AUF181" s="91"/>
      <c r="AUI181" s="89"/>
      <c r="AUK181" s="91"/>
      <c r="AUN181" s="89"/>
      <c r="AUP181" s="91"/>
      <c r="AUS181" s="89"/>
      <c r="AUU181" s="91"/>
      <c r="AUX181" s="89"/>
      <c r="AUZ181" s="91"/>
      <c r="AVC181" s="89"/>
      <c r="AVE181" s="91"/>
      <c r="AVH181" s="89"/>
      <c r="AVJ181" s="91"/>
      <c r="AVM181" s="89"/>
      <c r="AVO181" s="91"/>
      <c r="AVR181" s="89"/>
      <c r="AVT181" s="91"/>
      <c r="AVW181" s="89"/>
      <c r="AVY181" s="91"/>
      <c r="AWB181" s="89"/>
      <c r="AWD181" s="91"/>
      <c r="AWG181" s="89"/>
      <c r="AWI181" s="91"/>
      <c r="AWL181" s="89"/>
      <c r="AWN181" s="91"/>
      <c r="AWQ181" s="89"/>
      <c r="AWS181" s="91"/>
      <c r="AWV181" s="89"/>
      <c r="AWX181" s="91"/>
      <c r="AXA181" s="89"/>
      <c r="AXC181" s="91"/>
      <c r="AXF181" s="89"/>
      <c r="AXH181" s="91"/>
      <c r="AXK181" s="89"/>
      <c r="AXM181" s="91"/>
      <c r="AXP181" s="89"/>
      <c r="AXR181" s="91"/>
      <c r="AXU181" s="89"/>
      <c r="AXW181" s="91"/>
      <c r="AXZ181" s="89"/>
      <c r="AYB181" s="91"/>
      <c r="AYE181" s="89"/>
      <c r="AYG181" s="91"/>
      <c r="AYJ181" s="89"/>
      <c r="AYL181" s="91"/>
      <c r="AYO181" s="89"/>
      <c r="AYQ181" s="91"/>
      <c r="AYT181" s="89"/>
      <c r="AYV181" s="91"/>
      <c r="AYY181" s="89"/>
      <c r="AZA181" s="91"/>
      <c r="AZD181" s="89"/>
      <c r="AZF181" s="91"/>
      <c r="AZI181" s="89"/>
      <c r="AZK181" s="91"/>
      <c r="AZN181" s="89"/>
      <c r="AZP181" s="91"/>
      <c r="AZS181" s="89"/>
      <c r="AZU181" s="91"/>
      <c r="AZX181" s="89"/>
      <c r="AZZ181" s="91"/>
      <c r="BAC181" s="89"/>
      <c r="BAE181" s="91"/>
      <c r="BAH181" s="89"/>
      <c r="BAJ181" s="91"/>
      <c r="BAM181" s="89"/>
      <c r="BAO181" s="91"/>
      <c r="BAR181" s="89"/>
      <c r="BAT181" s="91"/>
      <c r="BAW181" s="89"/>
      <c r="BAY181" s="91"/>
      <c r="BBB181" s="89"/>
      <c r="BBD181" s="91"/>
      <c r="BBG181" s="89"/>
      <c r="BBI181" s="91"/>
      <c r="BBL181" s="89"/>
      <c r="BBN181" s="91"/>
      <c r="BBQ181" s="89"/>
      <c r="BBS181" s="91"/>
      <c r="BBV181" s="89"/>
      <c r="BBX181" s="91"/>
      <c r="BCA181" s="89"/>
      <c r="BCC181" s="91"/>
      <c r="BCF181" s="89"/>
      <c r="BCH181" s="91"/>
      <c r="BCK181" s="89"/>
      <c r="BCM181" s="91"/>
      <c r="BCP181" s="89"/>
      <c r="BCR181" s="91"/>
      <c r="BCU181" s="89"/>
      <c r="BCW181" s="91"/>
      <c r="BCZ181" s="89"/>
      <c r="BDB181" s="91"/>
      <c r="BDE181" s="89"/>
      <c r="BDG181" s="91"/>
      <c r="BDJ181" s="89"/>
      <c r="BDL181" s="91"/>
      <c r="BDO181" s="89"/>
      <c r="BDQ181" s="91"/>
      <c r="BDT181" s="89"/>
      <c r="BDV181" s="91"/>
      <c r="BDY181" s="89"/>
      <c r="BEA181" s="91"/>
      <c r="BED181" s="89"/>
      <c r="BEF181" s="91"/>
      <c r="BEI181" s="89"/>
      <c r="BEK181" s="91"/>
      <c r="BEN181" s="89"/>
      <c r="BEP181" s="91"/>
      <c r="BES181" s="89"/>
      <c r="BEU181" s="91"/>
      <c r="BEX181" s="89"/>
      <c r="BEZ181" s="91"/>
      <c r="BFC181" s="89"/>
      <c r="BFE181" s="91"/>
      <c r="BFH181" s="89"/>
      <c r="BFJ181" s="91"/>
      <c r="BFM181" s="89"/>
      <c r="BFO181" s="91"/>
      <c r="BFR181" s="89"/>
      <c r="BFT181" s="91"/>
      <c r="BFW181" s="89"/>
      <c r="BFY181" s="91"/>
      <c r="BGB181" s="89"/>
      <c r="BGD181" s="91"/>
      <c r="BGG181" s="89"/>
      <c r="BGI181" s="91"/>
      <c r="BGL181" s="89"/>
      <c r="BGN181" s="91"/>
      <c r="BGQ181" s="89"/>
      <c r="BGS181" s="91"/>
      <c r="BGV181" s="89"/>
      <c r="BGX181" s="91"/>
      <c r="BHA181" s="89"/>
      <c r="BHC181" s="91"/>
      <c r="BHF181" s="89"/>
      <c r="BHH181" s="91"/>
      <c r="BHK181" s="89"/>
      <c r="BHM181" s="91"/>
      <c r="BHP181" s="89"/>
      <c r="BHR181" s="91"/>
      <c r="BHU181" s="89"/>
      <c r="BHW181" s="91"/>
      <c r="BHZ181" s="89"/>
      <c r="BIB181" s="91"/>
      <c r="BIE181" s="89"/>
      <c r="BIG181" s="91"/>
      <c r="BIJ181" s="89"/>
      <c r="BIL181" s="91"/>
      <c r="BIO181" s="89"/>
      <c r="BIQ181" s="91"/>
      <c r="BIT181" s="89"/>
      <c r="BIV181" s="91"/>
      <c r="BIY181" s="89"/>
      <c r="BJA181" s="91"/>
      <c r="BJD181" s="89"/>
      <c r="BJF181" s="91"/>
      <c r="BJI181" s="89"/>
      <c r="BJK181" s="91"/>
      <c r="BJN181" s="89"/>
      <c r="BJP181" s="91"/>
      <c r="BJS181" s="89"/>
      <c r="BJU181" s="91"/>
      <c r="BJX181" s="89"/>
      <c r="BJZ181" s="91"/>
      <c r="BKC181" s="89"/>
      <c r="BKE181" s="91"/>
      <c r="BKH181" s="89"/>
      <c r="BKJ181" s="91"/>
      <c r="BKM181" s="89"/>
      <c r="BKO181" s="91"/>
      <c r="BKR181" s="89"/>
      <c r="BKT181" s="91"/>
      <c r="BKW181" s="89"/>
      <c r="BKY181" s="91"/>
      <c r="BLB181" s="89"/>
      <c r="BLD181" s="91"/>
      <c r="BLG181" s="89"/>
      <c r="BLI181" s="91"/>
      <c r="BLL181" s="89"/>
      <c r="BLN181" s="91"/>
      <c r="BLQ181" s="89"/>
      <c r="BLS181" s="91"/>
      <c r="BLV181" s="89"/>
      <c r="BLX181" s="91"/>
      <c r="BMA181" s="89"/>
      <c r="BMC181" s="91"/>
      <c r="BMF181" s="89"/>
      <c r="BMH181" s="91"/>
      <c r="BMK181" s="89"/>
      <c r="BMM181" s="91"/>
      <c r="BMP181" s="89"/>
      <c r="BMR181" s="91"/>
      <c r="BMU181" s="89"/>
      <c r="BMW181" s="91"/>
      <c r="BMZ181" s="89"/>
      <c r="BNB181" s="91"/>
      <c r="BNE181" s="89"/>
      <c r="BNG181" s="91"/>
      <c r="BNJ181" s="89"/>
      <c r="BNL181" s="91"/>
      <c r="BNO181" s="89"/>
      <c r="BNQ181" s="91"/>
      <c r="BNT181" s="89"/>
      <c r="BNV181" s="91"/>
      <c r="BNY181" s="89"/>
      <c r="BOA181" s="91"/>
      <c r="BOD181" s="89"/>
      <c r="BOF181" s="91"/>
      <c r="BOI181" s="89"/>
      <c r="BOK181" s="91"/>
      <c r="BON181" s="89"/>
      <c r="BOP181" s="91"/>
      <c r="BOS181" s="89"/>
      <c r="BOU181" s="91"/>
      <c r="BOX181" s="89"/>
      <c r="BOZ181" s="91"/>
      <c r="BPC181" s="89"/>
      <c r="BPE181" s="91"/>
      <c r="BPH181" s="89"/>
      <c r="BPJ181" s="91"/>
      <c r="BPM181" s="89"/>
      <c r="BPO181" s="91"/>
      <c r="BPR181" s="89"/>
      <c r="BPT181" s="91"/>
      <c r="BPW181" s="89"/>
      <c r="BPY181" s="91"/>
      <c r="BQB181" s="89"/>
      <c r="BQD181" s="91"/>
      <c r="BQG181" s="89"/>
      <c r="BQI181" s="91"/>
      <c r="BQL181" s="89"/>
      <c r="BQN181" s="91"/>
      <c r="BQQ181" s="89"/>
      <c r="BQS181" s="91"/>
      <c r="BQV181" s="89"/>
      <c r="BQX181" s="91"/>
      <c r="BRA181" s="89"/>
      <c r="BRC181" s="91"/>
      <c r="BRF181" s="89"/>
      <c r="BRH181" s="91"/>
      <c r="BRK181" s="89"/>
      <c r="BRM181" s="91"/>
      <c r="BRP181" s="89"/>
      <c r="BRR181" s="91"/>
      <c r="BRU181" s="89"/>
      <c r="BRW181" s="91"/>
      <c r="BRZ181" s="89"/>
      <c r="BSB181" s="91"/>
      <c r="BSE181" s="89"/>
      <c r="BSG181" s="91"/>
      <c r="BSJ181" s="89"/>
      <c r="BSL181" s="91"/>
      <c r="BSO181" s="89"/>
      <c r="BSQ181" s="91"/>
      <c r="BST181" s="89"/>
      <c r="BSV181" s="91"/>
      <c r="BSY181" s="89"/>
      <c r="BTA181" s="91"/>
      <c r="BTD181" s="89"/>
      <c r="BTF181" s="91"/>
      <c r="BTI181" s="89"/>
      <c r="BTK181" s="91"/>
      <c r="BTN181" s="89"/>
      <c r="BTP181" s="91"/>
      <c r="BTS181" s="89"/>
      <c r="BTU181" s="91"/>
      <c r="BTX181" s="89"/>
      <c r="BTZ181" s="91"/>
      <c r="BUC181" s="89"/>
      <c r="BUE181" s="91"/>
      <c r="BUH181" s="89"/>
      <c r="BUJ181" s="91"/>
      <c r="BUM181" s="89"/>
      <c r="BUO181" s="91"/>
      <c r="BUR181" s="89"/>
      <c r="BUT181" s="91"/>
      <c r="BUW181" s="89"/>
      <c r="BUY181" s="91"/>
      <c r="BVB181" s="89"/>
      <c r="BVD181" s="91"/>
      <c r="BVG181" s="89"/>
      <c r="BVI181" s="91"/>
      <c r="BVL181" s="89"/>
      <c r="BVN181" s="91"/>
      <c r="BVQ181" s="89"/>
      <c r="BVS181" s="91"/>
      <c r="BVV181" s="89"/>
      <c r="BVX181" s="91"/>
      <c r="BWA181" s="89"/>
      <c r="BWC181" s="91"/>
      <c r="BWF181" s="89"/>
      <c r="BWH181" s="91"/>
      <c r="BWK181" s="89"/>
      <c r="BWM181" s="91"/>
      <c r="BWP181" s="89"/>
      <c r="BWR181" s="91"/>
      <c r="BWU181" s="89"/>
      <c r="BWW181" s="91"/>
      <c r="BWZ181" s="89"/>
      <c r="BXB181" s="91"/>
      <c r="BXE181" s="89"/>
      <c r="BXG181" s="91"/>
      <c r="BXJ181" s="89"/>
      <c r="BXL181" s="91"/>
      <c r="BXO181" s="89"/>
      <c r="BXQ181" s="91"/>
      <c r="BXT181" s="89"/>
      <c r="BXV181" s="91"/>
      <c r="BXY181" s="89"/>
      <c r="BYA181" s="91"/>
      <c r="BYD181" s="89"/>
      <c r="BYF181" s="91"/>
      <c r="BYI181" s="89"/>
      <c r="BYK181" s="91"/>
      <c r="BYN181" s="89"/>
      <c r="BYP181" s="91"/>
      <c r="BYS181" s="89"/>
      <c r="BYU181" s="91"/>
      <c r="BYX181" s="89"/>
      <c r="BYZ181" s="91"/>
      <c r="BZC181" s="89"/>
      <c r="BZE181" s="91"/>
      <c r="BZH181" s="89"/>
      <c r="BZJ181" s="91"/>
      <c r="BZM181" s="89"/>
      <c r="BZO181" s="91"/>
      <c r="BZR181" s="89"/>
      <c r="BZT181" s="91"/>
      <c r="BZW181" s="89"/>
      <c r="BZY181" s="91"/>
      <c r="CAB181" s="89"/>
      <c r="CAD181" s="91"/>
      <c r="CAG181" s="89"/>
      <c r="CAI181" s="91"/>
      <c r="CAL181" s="89"/>
      <c r="CAN181" s="91"/>
      <c r="CAQ181" s="89"/>
      <c r="CAS181" s="91"/>
      <c r="CAV181" s="89"/>
      <c r="CAX181" s="91"/>
      <c r="CBA181" s="89"/>
      <c r="CBC181" s="91"/>
      <c r="CBF181" s="89"/>
      <c r="CBH181" s="91"/>
      <c r="CBK181" s="89"/>
      <c r="CBM181" s="91"/>
      <c r="CBP181" s="89"/>
      <c r="CBR181" s="91"/>
      <c r="CBU181" s="89"/>
      <c r="CBW181" s="91"/>
      <c r="CBZ181" s="89"/>
      <c r="CCB181" s="91"/>
      <c r="CCE181" s="89"/>
      <c r="CCG181" s="91"/>
      <c r="CCJ181" s="89"/>
      <c r="CCL181" s="91"/>
      <c r="CCO181" s="89"/>
      <c r="CCQ181" s="91"/>
      <c r="CCT181" s="89"/>
      <c r="CCV181" s="91"/>
      <c r="CCY181" s="89"/>
      <c r="CDA181" s="91"/>
      <c r="CDD181" s="89"/>
      <c r="CDF181" s="91"/>
      <c r="CDI181" s="89"/>
      <c r="CDK181" s="91"/>
      <c r="CDN181" s="89"/>
      <c r="CDP181" s="91"/>
      <c r="CDS181" s="89"/>
      <c r="CDU181" s="91"/>
      <c r="CDX181" s="89"/>
      <c r="CDZ181" s="91"/>
      <c r="CEC181" s="89"/>
      <c r="CEE181" s="91"/>
      <c r="CEH181" s="89"/>
      <c r="CEJ181" s="91"/>
      <c r="CEM181" s="89"/>
      <c r="CEO181" s="91"/>
      <c r="CER181" s="89"/>
      <c r="CET181" s="91"/>
      <c r="CEW181" s="89"/>
      <c r="CEY181" s="91"/>
      <c r="CFB181" s="89"/>
      <c r="CFD181" s="91"/>
      <c r="CFG181" s="89"/>
      <c r="CFI181" s="91"/>
      <c r="CFL181" s="89"/>
      <c r="CFN181" s="91"/>
      <c r="CFQ181" s="89"/>
      <c r="CFS181" s="91"/>
      <c r="CFV181" s="89"/>
      <c r="CFX181" s="91"/>
      <c r="CGA181" s="89"/>
      <c r="CGC181" s="91"/>
      <c r="CGF181" s="89"/>
      <c r="CGH181" s="91"/>
      <c r="CGK181" s="89"/>
      <c r="CGM181" s="91"/>
      <c r="CGP181" s="89"/>
      <c r="CGR181" s="91"/>
      <c r="CGU181" s="89"/>
      <c r="CGW181" s="91"/>
      <c r="CGZ181" s="89"/>
      <c r="CHB181" s="91"/>
      <c r="CHE181" s="89"/>
      <c r="CHG181" s="91"/>
      <c r="CHJ181" s="89"/>
      <c r="CHL181" s="91"/>
      <c r="CHO181" s="89"/>
      <c r="CHQ181" s="91"/>
      <c r="CHT181" s="89"/>
      <c r="CHV181" s="91"/>
      <c r="CHY181" s="89"/>
      <c r="CIA181" s="91"/>
      <c r="CID181" s="89"/>
      <c r="CIF181" s="91"/>
      <c r="CII181" s="89"/>
      <c r="CIK181" s="91"/>
      <c r="CIN181" s="89"/>
      <c r="CIP181" s="91"/>
      <c r="CIS181" s="89"/>
      <c r="CIU181" s="91"/>
      <c r="CIX181" s="89"/>
      <c r="CIZ181" s="91"/>
      <c r="CJC181" s="89"/>
      <c r="CJE181" s="91"/>
      <c r="CJH181" s="89"/>
      <c r="CJJ181" s="91"/>
      <c r="CJM181" s="89"/>
      <c r="CJO181" s="91"/>
      <c r="CJR181" s="89"/>
      <c r="CJT181" s="91"/>
      <c r="CJW181" s="89"/>
      <c r="CJY181" s="91"/>
      <c r="CKB181" s="89"/>
      <c r="CKD181" s="91"/>
      <c r="CKG181" s="89"/>
      <c r="CKI181" s="91"/>
      <c r="CKL181" s="89"/>
      <c r="CKN181" s="91"/>
      <c r="CKQ181" s="89"/>
      <c r="CKS181" s="91"/>
      <c r="CKV181" s="89"/>
      <c r="CKX181" s="91"/>
      <c r="CLA181" s="89"/>
      <c r="CLC181" s="91"/>
      <c r="CLF181" s="89"/>
      <c r="CLH181" s="91"/>
      <c r="CLK181" s="89"/>
      <c r="CLM181" s="91"/>
      <c r="CLP181" s="89"/>
      <c r="CLR181" s="91"/>
      <c r="CLU181" s="89"/>
      <c r="CLW181" s="91"/>
      <c r="CLZ181" s="89"/>
      <c r="CMB181" s="91"/>
      <c r="CME181" s="89"/>
      <c r="CMG181" s="91"/>
      <c r="CMJ181" s="89"/>
      <c r="CML181" s="91"/>
      <c r="CMO181" s="89"/>
      <c r="CMQ181" s="91"/>
      <c r="CMT181" s="89"/>
      <c r="CMV181" s="91"/>
      <c r="CMY181" s="89"/>
      <c r="CNA181" s="91"/>
      <c r="CND181" s="89"/>
      <c r="CNF181" s="91"/>
      <c r="CNI181" s="89"/>
      <c r="CNK181" s="91"/>
      <c r="CNN181" s="89"/>
      <c r="CNP181" s="91"/>
      <c r="CNS181" s="89"/>
      <c r="CNU181" s="91"/>
      <c r="CNX181" s="89"/>
      <c r="CNZ181" s="91"/>
      <c r="COC181" s="89"/>
      <c r="COE181" s="91"/>
      <c r="COH181" s="89"/>
      <c r="COJ181" s="91"/>
      <c r="COM181" s="89"/>
      <c r="COO181" s="91"/>
      <c r="COR181" s="89"/>
      <c r="COT181" s="91"/>
      <c r="COW181" s="89"/>
      <c r="COY181" s="91"/>
      <c r="CPB181" s="89"/>
      <c r="CPD181" s="91"/>
      <c r="CPG181" s="89"/>
      <c r="CPI181" s="91"/>
      <c r="CPL181" s="89"/>
      <c r="CPN181" s="91"/>
      <c r="CPQ181" s="89"/>
      <c r="CPS181" s="91"/>
      <c r="CPV181" s="89"/>
      <c r="CPX181" s="91"/>
      <c r="CQA181" s="89"/>
      <c r="CQC181" s="91"/>
      <c r="CQF181" s="89"/>
      <c r="CQH181" s="91"/>
      <c r="CQK181" s="89"/>
      <c r="CQM181" s="91"/>
      <c r="CQP181" s="89"/>
      <c r="CQR181" s="91"/>
      <c r="CQU181" s="89"/>
      <c r="CQW181" s="91"/>
      <c r="CQZ181" s="89"/>
      <c r="CRB181" s="91"/>
      <c r="CRE181" s="89"/>
      <c r="CRG181" s="91"/>
      <c r="CRJ181" s="89"/>
      <c r="CRL181" s="91"/>
      <c r="CRO181" s="89"/>
      <c r="CRQ181" s="91"/>
      <c r="CRT181" s="89"/>
      <c r="CRV181" s="91"/>
      <c r="CRY181" s="89"/>
      <c r="CSA181" s="91"/>
      <c r="CSD181" s="89"/>
      <c r="CSF181" s="91"/>
      <c r="CSI181" s="89"/>
      <c r="CSK181" s="91"/>
      <c r="CSN181" s="89"/>
      <c r="CSP181" s="91"/>
      <c r="CSS181" s="89"/>
      <c r="CSU181" s="91"/>
      <c r="CSX181" s="89"/>
      <c r="CSZ181" s="91"/>
      <c r="CTC181" s="89"/>
      <c r="CTE181" s="91"/>
      <c r="CTH181" s="89"/>
      <c r="CTJ181" s="91"/>
      <c r="CTM181" s="89"/>
      <c r="CTO181" s="91"/>
      <c r="CTR181" s="89"/>
      <c r="CTT181" s="91"/>
      <c r="CTW181" s="89"/>
      <c r="CTY181" s="91"/>
      <c r="CUB181" s="89"/>
      <c r="CUD181" s="91"/>
      <c r="CUG181" s="89"/>
      <c r="CUI181" s="91"/>
      <c r="CUL181" s="89"/>
      <c r="CUN181" s="91"/>
      <c r="CUQ181" s="89"/>
      <c r="CUS181" s="91"/>
      <c r="CUV181" s="89"/>
      <c r="CUX181" s="91"/>
      <c r="CVA181" s="89"/>
      <c r="CVC181" s="91"/>
      <c r="CVF181" s="89"/>
      <c r="CVH181" s="91"/>
      <c r="CVK181" s="89"/>
      <c r="CVM181" s="91"/>
      <c r="CVP181" s="89"/>
      <c r="CVR181" s="91"/>
      <c r="CVU181" s="89"/>
      <c r="CVW181" s="91"/>
      <c r="CVZ181" s="89"/>
      <c r="CWB181" s="91"/>
      <c r="CWE181" s="89"/>
      <c r="CWG181" s="91"/>
      <c r="CWJ181" s="89"/>
      <c r="CWL181" s="91"/>
      <c r="CWO181" s="89"/>
      <c r="CWQ181" s="91"/>
      <c r="CWT181" s="89"/>
      <c r="CWV181" s="91"/>
      <c r="CWY181" s="89"/>
      <c r="CXA181" s="91"/>
      <c r="CXD181" s="89"/>
      <c r="CXF181" s="91"/>
      <c r="CXI181" s="89"/>
      <c r="CXK181" s="91"/>
      <c r="CXN181" s="89"/>
      <c r="CXP181" s="91"/>
      <c r="CXS181" s="89"/>
      <c r="CXU181" s="91"/>
      <c r="CXX181" s="89"/>
      <c r="CXZ181" s="91"/>
      <c r="CYC181" s="89"/>
      <c r="CYE181" s="91"/>
      <c r="CYH181" s="89"/>
      <c r="CYJ181" s="91"/>
      <c r="CYM181" s="89"/>
      <c r="CYO181" s="91"/>
      <c r="CYR181" s="89"/>
      <c r="CYT181" s="91"/>
      <c r="CYW181" s="89"/>
      <c r="CYY181" s="91"/>
      <c r="CZB181" s="89"/>
      <c r="CZD181" s="91"/>
      <c r="CZG181" s="89"/>
      <c r="CZI181" s="91"/>
      <c r="CZL181" s="89"/>
      <c r="CZN181" s="91"/>
      <c r="CZQ181" s="89"/>
      <c r="CZS181" s="91"/>
      <c r="CZV181" s="89"/>
      <c r="CZX181" s="91"/>
      <c r="DAA181" s="89"/>
      <c r="DAC181" s="91"/>
      <c r="DAF181" s="89"/>
      <c r="DAH181" s="91"/>
      <c r="DAK181" s="89"/>
      <c r="DAM181" s="91"/>
      <c r="DAP181" s="89"/>
      <c r="DAR181" s="91"/>
      <c r="DAU181" s="89"/>
      <c r="DAW181" s="91"/>
      <c r="DAZ181" s="89"/>
      <c r="DBB181" s="91"/>
      <c r="DBE181" s="89"/>
      <c r="DBG181" s="91"/>
      <c r="DBJ181" s="89"/>
      <c r="DBL181" s="91"/>
      <c r="DBO181" s="89"/>
      <c r="DBQ181" s="91"/>
      <c r="DBT181" s="89"/>
      <c r="DBV181" s="91"/>
      <c r="DBY181" s="89"/>
      <c r="DCA181" s="91"/>
      <c r="DCD181" s="89"/>
      <c r="DCF181" s="91"/>
      <c r="DCI181" s="89"/>
      <c r="DCK181" s="91"/>
      <c r="DCN181" s="89"/>
      <c r="DCP181" s="91"/>
      <c r="DCS181" s="89"/>
      <c r="DCU181" s="91"/>
      <c r="DCX181" s="89"/>
      <c r="DCZ181" s="91"/>
      <c r="DDC181" s="89"/>
      <c r="DDE181" s="91"/>
      <c r="DDH181" s="89"/>
      <c r="DDJ181" s="91"/>
      <c r="DDM181" s="89"/>
      <c r="DDO181" s="91"/>
      <c r="DDR181" s="89"/>
      <c r="DDT181" s="91"/>
      <c r="DDW181" s="89"/>
      <c r="DDY181" s="91"/>
      <c r="DEB181" s="89"/>
      <c r="DED181" s="91"/>
      <c r="DEG181" s="89"/>
      <c r="DEI181" s="91"/>
      <c r="DEL181" s="89"/>
      <c r="DEN181" s="91"/>
      <c r="DEQ181" s="89"/>
      <c r="DES181" s="91"/>
      <c r="DEV181" s="89"/>
      <c r="DEX181" s="91"/>
      <c r="DFA181" s="89"/>
      <c r="DFC181" s="91"/>
      <c r="DFF181" s="89"/>
      <c r="DFH181" s="91"/>
      <c r="DFK181" s="89"/>
      <c r="DFM181" s="91"/>
      <c r="DFP181" s="89"/>
      <c r="DFR181" s="91"/>
      <c r="DFU181" s="89"/>
      <c r="DFW181" s="91"/>
      <c r="DFZ181" s="89"/>
      <c r="DGB181" s="91"/>
      <c r="DGE181" s="89"/>
      <c r="DGG181" s="91"/>
      <c r="DGJ181" s="89"/>
      <c r="DGL181" s="91"/>
      <c r="DGO181" s="89"/>
      <c r="DGQ181" s="91"/>
      <c r="DGT181" s="89"/>
      <c r="DGV181" s="91"/>
      <c r="DGY181" s="89"/>
      <c r="DHA181" s="91"/>
      <c r="DHD181" s="89"/>
      <c r="DHF181" s="91"/>
      <c r="DHI181" s="89"/>
      <c r="DHK181" s="91"/>
      <c r="DHN181" s="89"/>
      <c r="DHP181" s="91"/>
      <c r="DHS181" s="89"/>
      <c r="DHU181" s="91"/>
      <c r="DHX181" s="89"/>
      <c r="DHZ181" s="91"/>
      <c r="DIC181" s="89"/>
      <c r="DIE181" s="91"/>
      <c r="DIH181" s="89"/>
      <c r="DIJ181" s="91"/>
      <c r="DIM181" s="89"/>
      <c r="DIO181" s="91"/>
      <c r="DIR181" s="89"/>
      <c r="DIT181" s="91"/>
      <c r="DIW181" s="89"/>
      <c r="DIY181" s="91"/>
      <c r="DJB181" s="89"/>
      <c r="DJD181" s="91"/>
      <c r="DJG181" s="89"/>
      <c r="DJI181" s="91"/>
      <c r="DJL181" s="89"/>
      <c r="DJN181" s="91"/>
      <c r="DJQ181" s="89"/>
      <c r="DJS181" s="91"/>
      <c r="DJV181" s="89"/>
      <c r="DJX181" s="91"/>
      <c r="DKA181" s="89"/>
      <c r="DKC181" s="91"/>
      <c r="DKF181" s="89"/>
      <c r="DKH181" s="91"/>
      <c r="DKK181" s="89"/>
      <c r="DKM181" s="91"/>
      <c r="DKP181" s="89"/>
      <c r="DKR181" s="91"/>
      <c r="DKU181" s="89"/>
      <c r="DKW181" s="91"/>
      <c r="DKZ181" s="89"/>
      <c r="DLB181" s="91"/>
      <c r="DLE181" s="89"/>
      <c r="DLG181" s="91"/>
      <c r="DLJ181" s="89"/>
      <c r="DLL181" s="91"/>
      <c r="DLO181" s="89"/>
      <c r="DLQ181" s="91"/>
      <c r="DLT181" s="89"/>
      <c r="DLV181" s="91"/>
      <c r="DLY181" s="89"/>
      <c r="DMA181" s="91"/>
      <c r="DMD181" s="89"/>
      <c r="DMF181" s="91"/>
      <c r="DMI181" s="89"/>
      <c r="DMK181" s="91"/>
      <c r="DMN181" s="89"/>
      <c r="DMP181" s="91"/>
      <c r="DMS181" s="89"/>
      <c r="DMU181" s="91"/>
      <c r="DMX181" s="89"/>
      <c r="DMZ181" s="91"/>
      <c r="DNC181" s="89"/>
      <c r="DNE181" s="91"/>
      <c r="DNH181" s="89"/>
      <c r="DNJ181" s="91"/>
      <c r="DNM181" s="89"/>
      <c r="DNO181" s="91"/>
      <c r="DNR181" s="89"/>
      <c r="DNT181" s="91"/>
      <c r="DNW181" s="89"/>
      <c r="DNY181" s="91"/>
      <c r="DOB181" s="89"/>
      <c r="DOD181" s="91"/>
      <c r="DOG181" s="89"/>
      <c r="DOI181" s="91"/>
      <c r="DOL181" s="89"/>
      <c r="DON181" s="91"/>
      <c r="DOQ181" s="89"/>
      <c r="DOS181" s="91"/>
      <c r="DOV181" s="89"/>
      <c r="DOX181" s="91"/>
      <c r="DPA181" s="89"/>
      <c r="DPC181" s="91"/>
      <c r="DPF181" s="89"/>
      <c r="DPH181" s="91"/>
      <c r="DPK181" s="89"/>
      <c r="DPM181" s="91"/>
      <c r="DPP181" s="89"/>
      <c r="DPR181" s="91"/>
      <c r="DPU181" s="89"/>
      <c r="DPW181" s="91"/>
      <c r="DPZ181" s="89"/>
      <c r="DQB181" s="91"/>
      <c r="DQE181" s="89"/>
      <c r="DQG181" s="91"/>
      <c r="DQJ181" s="89"/>
      <c r="DQL181" s="91"/>
      <c r="DQO181" s="89"/>
      <c r="DQQ181" s="91"/>
      <c r="DQT181" s="89"/>
      <c r="DQV181" s="91"/>
      <c r="DQY181" s="89"/>
      <c r="DRA181" s="91"/>
      <c r="DRD181" s="89"/>
      <c r="DRF181" s="91"/>
      <c r="DRI181" s="89"/>
      <c r="DRK181" s="91"/>
      <c r="DRN181" s="89"/>
      <c r="DRP181" s="91"/>
      <c r="DRS181" s="89"/>
      <c r="DRU181" s="91"/>
      <c r="DRX181" s="89"/>
      <c r="DRZ181" s="91"/>
      <c r="DSC181" s="89"/>
      <c r="DSE181" s="91"/>
      <c r="DSH181" s="89"/>
      <c r="DSJ181" s="91"/>
      <c r="DSM181" s="89"/>
      <c r="DSO181" s="91"/>
      <c r="DSR181" s="89"/>
      <c r="DST181" s="91"/>
      <c r="DSW181" s="89"/>
      <c r="DSY181" s="91"/>
      <c r="DTB181" s="89"/>
      <c r="DTD181" s="91"/>
      <c r="DTG181" s="89"/>
      <c r="DTI181" s="91"/>
      <c r="DTL181" s="89"/>
      <c r="DTN181" s="91"/>
      <c r="DTQ181" s="89"/>
      <c r="DTS181" s="91"/>
      <c r="DTV181" s="89"/>
      <c r="DTX181" s="91"/>
      <c r="DUA181" s="89"/>
      <c r="DUC181" s="91"/>
      <c r="DUF181" s="89"/>
      <c r="DUH181" s="91"/>
      <c r="DUK181" s="89"/>
      <c r="DUM181" s="91"/>
      <c r="DUP181" s="89"/>
      <c r="DUR181" s="91"/>
      <c r="DUU181" s="89"/>
      <c r="DUW181" s="91"/>
      <c r="DUZ181" s="89"/>
      <c r="DVB181" s="91"/>
      <c r="DVE181" s="89"/>
      <c r="DVG181" s="91"/>
      <c r="DVJ181" s="89"/>
      <c r="DVL181" s="91"/>
      <c r="DVO181" s="89"/>
      <c r="DVQ181" s="91"/>
      <c r="DVT181" s="89"/>
      <c r="DVV181" s="91"/>
      <c r="DVY181" s="89"/>
      <c r="DWA181" s="91"/>
      <c r="DWD181" s="89"/>
      <c r="DWF181" s="91"/>
      <c r="DWI181" s="89"/>
      <c r="DWK181" s="91"/>
      <c r="DWN181" s="89"/>
      <c r="DWP181" s="91"/>
      <c r="DWS181" s="89"/>
      <c r="DWU181" s="91"/>
      <c r="DWX181" s="89"/>
      <c r="DWZ181" s="91"/>
      <c r="DXC181" s="89"/>
      <c r="DXE181" s="91"/>
      <c r="DXH181" s="89"/>
      <c r="DXJ181" s="91"/>
      <c r="DXM181" s="89"/>
      <c r="DXO181" s="91"/>
      <c r="DXR181" s="89"/>
      <c r="DXT181" s="91"/>
      <c r="DXW181" s="89"/>
      <c r="DXY181" s="91"/>
      <c r="DYB181" s="89"/>
      <c r="DYD181" s="91"/>
      <c r="DYG181" s="89"/>
      <c r="DYI181" s="91"/>
      <c r="DYL181" s="89"/>
      <c r="DYN181" s="91"/>
      <c r="DYQ181" s="89"/>
      <c r="DYS181" s="91"/>
      <c r="DYV181" s="89"/>
      <c r="DYX181" s="91"/>
      <c r="DZA181" s="89"/>
      <c r="DZC181" s="91"/>
      <c r="DZF181" s="89"/>
      <c r="DZH181" s="91"/>
      <c r="DZK181" s="89"/>
      <c r="DZM181" s="91"/>
      <c r="DZP181" s="89"/>
      <c r="DZR181" s="91"/>
      <c r="DZU181" s="89"/>
      <c r="DZW181" s="91"/>
      <c r="DZZ181" s="89"/>
      <c r="EAB181" s="91"/>
      <c r="EAE181" s="89"/>
      <c r="EAG181" s="91"/>
      <c r="EAJ181" s="89"/>
      <c r="EAL181" s="91"/>
      <c r="EAO181" s="89"/>
      <c r="EAQ181" s="91"/>
      <c r="EAT181" s="89"/>
      <c r="EAV181" s="91"/>
      <c r="EAY181" s="89"/>
      <c r="EBA181" s="91"/>
      <c r="EBD181" s="89"/>
      <c r="EBF181" s="91"/>
      <c r="EBI181" s="89"/>
      <c r="EBK181" s="91"/>
      <c r="EBN181" s="89"/>
      <c r="EBP181" s="91"/>
      <c r="EBS181" s="89"/>
      <c r="EBU181" s="91"/>
      <c r="EBX181" s="89"/>
      <c r="EBZ181" s="91"/>
      <c r="ECC181" s="89"/>
      <c r="ECE181" s="91"/>
      <c r="ECH181" s="89"/>
      <c r="ECJ181" s="91"/>
      <c r="ECM181" s="89"/>
      <c r="ECO181" s="91"/>
      <c r="ECR181" s="89"/>
      <c r="ECT181" s="91"/>
      <c r="ECW181" s="89"/>
      <c r="ECY181" s="91"/>
      <c r="EDB181" s="89"/>
      <c r="EDD181" s="91"/>
      <c r="EDG181" s="89"/>
      <c r="EDI181" s="91"/>
      <c r="EDL181" s="89"/>
      <c r="EDN181" s="91"/>
      <c r="EDQ181" s="89"/>
      <c r="EDS181" s="91"/>
      <c r="EDV181" s="89"/>
      <c r="EDX181" s="91"/>
      <c r="EEA181" s="89"/>
      <c r="EEC181" s="91"/>
      <c r="EEF181" s="89"/>
      <c r="EEH181" s="91"/>
      <c r="EEK181" s="89"/>
      <c r="EEM181" s="91"/>
      <c r="EEP181" s="89"/>
      <c r="EER181" s="91"/>
      <c r="EEU181" s="89"/>
      <c r="EEW181" s="91"/>
      <c r="EEZ181" s="89"/>
      <c r="EFB181" s="91"/>
      <c r="EFE181" s="89"/>
      <c r="EFG181" s="91"/>
      <c r="EFJ181" s="89"/>
      <c r="EFL181" s="91"/>
      <c r="EFO181" s="89"/>
      <c r="EFQ181" s="91"/>
      <c r="EFT181" s="89"/>
      <c r="EFV181" s="91"/>
      <c r="EFY181" s="89"/>
      <c r="EGA181" s="91"/>
      <c r="EGD181" s="89"/>
      <c r="EGF181" s="91"/>
      <c r="EGI181" s="89"/>
      <c r="EGK181" s="91"/>
      <c r="EGN181" s="89"/>
      <c r="EGP181" s="91"/>
      <c r="EGS181" s="89"/>
      <c r="EGU181" s="91"/>
      <c r="EGX181" s="89"/>
      <c r="EGZ181" s="91"/>
      <c r="EHC181" s="89"/>
      <c r="EHE181" s="91"/>
      <c r="EHH181" s="89"/>
      <c r="EHJ181" s="91"/>
      <c r="EHM181" s="89"/>
      <c r="EHO181" s="91"/>
      <c r="EHR181" s="89"/>
      <c r="EHT181" s="91"/>
      <c r="EHW181" s="89"/>
      <c r="EHY181" s="91"/>
      <c r="EIB181" s="89"/>
      <c r="EID181" s="91"/>
      <c r="EIG181" s="89"/>
      <c r="EII181" s="91"/>
      <c r="EIL181" s="89"/>
      <c r="EIN181" s="91"/>
      <c r="EIQ181" s="89"/>
      <c r="EIS181" s="91"/>
      <c r="EIV181" s="89"/>
      <c r="EIX181" s="91"/>
      <c r="EJA181" s="89"/>
      <c r="EJC181" s="91"/>
      <c r="EJF181" s="89"/>
      <c r="EJH181" s="91"/>
      <c r="EJK181" s="89"/>
      <c r="EJM181" s="91"/>
      <c r="EJP181" s="89"/>
      <c r="EJR181" s="91"/>
      <c r="EJU181" s="89"/>
      <c r="EJW181" s="91"/>
      <c r="EJZ181" s="89"/>
      <c r="EKB181" s="91"/>
      <c r="EKE181" s="89"/>
      <c r="EKG181" s="91"/>
      <c r="EKJ181" s="89"/>
      <c r="EKL181" s="91"/>
      <c r="EKO181" s="89"/>
      <c r="EKQ181" s="91"/>
      <c r="EKT181" s="89"/>
      <c r="EKV181" s="91"/>
      <c r="EKY181" s="89"/>
      <c r="ELA181" s="91"/>
      <c r="ELD181" s="89"/>
      <c r="ELF181" s="91"/>
      <c r="ELI181" s="89"/>
      <c r="ELK181" s="91"/>
      <c r="ELN181" s="89"/>
      <c r="ELP181" s="91"/>
      <c r="ELS181" s="89"/>
      <c r="ELU181" s="91"/>
      <c r="ELX181" s="89"/>
      <c r="ELZ181" s="91"/>
      <c r="EMC181" s="89"/>
      <c r="EME181" s="91"/>
      <c r="EMH181" s="89"/>
      <c r="EMJ181" s="91"/>
      <c r="EMM181" s="89"/>
      <c r="EMO181" s="91"/>
      <c r="EMR181" s="89"/>
      <c r="EMT181" s="91"/>
      <c r="EMW181" s="89"/>
      <c r="EMY181" s="91"/>
      <c r="ENB181" s="89"/>
      <c r="END181" s="91"/>
      <c r="ENG181" s="89"/>
      <c r="ENI181" s="91"/>
      <c r="ENL181" s="89"/>
      <c r="ENN181" s="91"/>
      <c r="ENQ181" s="89"/>
      <c r="ENS181" s="91"/>
      <c r="ENV181" s="89"/>
      <c r="ENX181" s="91"/>
      <c r="EOA181" s="89"/>
      <c r="EOC181" s="91"/>
      <c r="EOF181" s="89"/>
      <c r="EOH181" s="91"/>
      <c r="EOK181" s="89"/>
      <c r="EOM181" s="91"/>
      <c r="EOP181" s="89"/>
      <c r="EOR181" s="91"/>
      <c r="EOU181" s="89"/>
      <c r="EOW181" s="91"/>
      <c r="EOZ181" s="89"/>
      <c r="EPB181" s="91"/>
      <c r="EPE181" s="89"/>
      <c r="EPG181" s="91"/>
      <c r="EPJ181" s="89"/>
      <c r="EPL181" s="91"/>
      <c r="EPO181" s="89"/>
      <c r="EPQ181" s="91"/>
      <c r="EPT181" s="89"/>
      <c r="EPV181" s="91"/>
      <c r="EPY181" s="89"/>
      <c r="EQA181" s="91"/>
      <c r="EQD181" s="89"/>
      <c r="EQF181" s="91"/>
      <c r="EQI181" s="89"/>
      <c r="EQK181" s="91"/>
      <c r="EQN181" s="89"/>
      <c r="EQP181" s="91"/>
      <c r="EQS181" s="89"/>
      <c r="EQU181" s="91"/>
      <c r="EQX181" s="89"/>
      <c r="EQZ181" s="91"/>
      <c r="ERC181" s="89"/>
      <c r="ERE181" s="91"/>
      <c r="ERH181" s="89"/>
      <c r="ERJ181" s="91"/>
      <c r="ERM181" s="89"/>
      <c r="ERO181" s="91"/>
      <c r="ERR181" s="89"/>
      <c r="ERT181" s="91"/>
      <c r="ERW181" s="89"/>
      <c r="ERY181" s="91"/>
      <c r="ESB181" s="89"/>
      <c r="ESD181" s="91"/>
      <c r="ESG181" s="89"/>
      <c r="ESI181" s="91"/>
      <c r="ESL181" s="89"/>
      <c r="ESN181" s="91"/>
      <c r="ESQ181" s="89"/>
      <c r="ESS181" s="91"/>
      <c r="ESV181" s="89"/>
      <c r="ESX181" s="91"/>
      <c r="ETA181" s="89"/>
      <c r="ETC181" s="91"/>
      <c r="ETF181" s="89"/>
      <c r="ETH181" s="91"/>
      <c r="ETK181" s="89"/>
      <c r="ETM181" s="91"/>
      <c r="ETP181" s="89"/>
      <c r="ETR181" s="91"/>
      <c r="ETU181" s="89"/>
      <c r="ETW181" s="91"/>
      <c r="ETZ181" s="89"/>
      <c r="EUB181" s="91"/>
      <c r="EUE181" s="89"/>
      <c r="EUG181" s="91"/>
      <c r="EUJ181" s="89"/>
      <c r="EUL181" s="91"/>
      <c r="EUO181" s="89"/>
      <c r="EUQ181" s="91"/>
      <c r="EUT181" s="89"/>
      <c r="EUV181" s="91"/>
      <c r="EUY181" s="89"/>
      <c r="EVA181" s="91"/>
      <c r="EVD181" s="89"/>
      <c r="EVF181" s="91"/>
      <c r="EVI181" s="89"/>
      <c r="EVK181" s="91"/>
      <c r="EVN181" s="89"/>
      <c r="EVP181" s="91"/>
      <c r="EVS181" s="89"/>
      <c r="EVU181" s="91"/>
      <c r="EVX181" s="89"/>
      <c r="EVZ181" s="91"/>
      <c r="EWC181" s="89"/>
      <c r="EWE181" s="91"/>
      <c r="EWH181" s="89"/>
      <c r="EWJ181" s="91"/>
      <c r="EWM181" s="89"/>
      <c r="EWO181" s="91"/>
      <c r="EWR181" s="89"/>
      <c r="EWT181" s="91"/>
      <c r="EWW181" s="89"/>
      <c r="EWY181" s="91"/>
      <c r="EXB181" s="89"/>
      <c r="EXD181" s="91"/>
      <c r="EXG181" s="89"/>
      <c r="EXI181" s="91"/>
      <c r="EXL181" s="89"/>
      <c r="EXN181" s="91"/>
      <c r="EXQ181" s="89"/>
      <c r="EXS181" s="91"/>
      <c r="EXV181" s="89"/>
      <c r="EXX181" s="91"/>
      <c r="EYA181" s="89"/>
      <c r="EYC181" s="91"/>
      <c r="EYF181" s="89"/>
      <c r="EYH181" s="91"/>
      <c r="EYK181" s="89"/>
      <c r="EYM181" s="91"/>
      <c r="EYP181" s="89"/>
      <c r="EYR181" s="91"/>
      <c r="EYU181" s="89"/>
      <c r="EYW181" s="91"/>
      <c r="EYZ181" s="89"/>
      <c r="EZB181" s="91"/>
      <c r="EZE181" s="89"/>
      <c r="EZG181" s="91"/>
      <c r="EZJ181" s="89"/>
      <c r="EZL181" s="91"/>
      <c r="EZO181" s="89"/>
      <c r="EZQ181" s="91"/>
      <c r="EZT181" s="89"/>
      <c r="EZV181" s="91"/>
      <c r="EZY181" s="89"/>
      <c r="FAA181" s="91"/>
      <c r="FAD181" s="89"/>
      <c r="FAF181" s="91"/>
      <c r="FAI181" s="89"/>
      <c r="FAK181" s="91"/>
      <c r="FAN181" s="89"/>
      <c r="FAP181" s="91"/>
      <c r="FAS181" s="89"/>
      <c r="FAU181" s="91"/>
      <c r="FAX181" s="89"/>
      <c r="FAZ181" s="91"/>
      <c r="FBC181" s="89"/>
      <c r="FBE181" s="91"/>
      <c r="FBH181" s="89"/>
      <c r="FBJ181" s="91"/>
      <c r="FBM181" s="89"/>
      <c r="FBO181" s="91"/>
      <c r="FBR181" s="89"/>
      <c r="FBT181" s="91"/>
      <c r="FBW181" s="89"/>
      <c r="FBY181" s="91"/>
      <c r="FCB181" s="89"/>
      <c r="FCD181" s="91"/>
      <c r="FCG181" s="89"/>
      <c r="FCI181" s="91"/>
      <c r="FCL181" s="89"/>
      <c r="FCN181" s="91"/>
      <c r="FCQ181" s="89"/>
      <c r="FCS181" s="91"/>
      <c r="FCV181" s="89"/>
      <c r="FCX181" s="91"/>
      <c r="FDA181" s="89"/>
      <c r="FDC181" s="91"/>
      <c r="FDF181" s="89"/>
      <c r="FDH181" s="91"/>
      <c r="FDK181" s="89"/>
      <c r="FDM181" s="91"/>
      <c r="FDP181" s="89"/>
      <c r="FDR181" s="91"/>
      <c r="FDU181" s="89"/>
      <c r="FDW181" s="91"/>
      <c r="FDZ181" s="89"/>
      <c r="FEB181" s="91"/>
      <c r="FEE181" s="89"/>
      <c r="FEG181" s="91"/>
      <c r="FEJ181" s="89"/>
      <c r="FEL181" s="91"/>
      <c r="FEO181" s="89"/>
      <c r="FEQ181" s="91"/>
      <c r="FET181" s="89"/>
      <c r="FEV181" s="91"/>
      <c r="FEY181" s="89"/>
      <c r="FFA181" s="91"/>
      <c r="FFD181" s="89"/>
      <c r="FFF181" s="91"/>
      <c r="FFI181" s="89"/>
      <c r="FFK181" s="91"/>
      <c r="FFN181" s="89"/>
      <c r="FFP181" s="91"/>
      <c r="FFS181" s="89"/>
      <c r="FFU181" s="91"/>
      <c r="FFX181" s="89"/>
      <c r="FFZ181" s="91"/>
      <c r="FGC181" s="89"/>
      <c r="FGE181" s="91"/>
      <c r="FGH181" s="89"/>
      <c r="FGJ181" s="91"/>
      <c r="FGM181" s="89"/>
      <c r="FGO181" s="91"/>
      <c r="FGR181" s="89"/>
      <c r="FGT181" s="91"/>
      <c r="FGW181" s="89"/>
      <c r="FGY181" s="91"/>
      <c r="FHB181" s="89"/>
      <c r="FHD181" s="91"/>
      <c r="FHG181" s="89"/>
      <c r="FHI181" s="91"/>
      <c r="FHL181" s="89"/>
      <c r="FHN181" s="91"/>
      <c r="FHQ181" s="89"/>
      <c r="FHS181" s="91"/>
      <c r="FHV181" s="89"/>
      <c r="FHX181" s="91"/>
      <c r="FIA181" s="89"/>
      <c r="FIC181" s="91"/>
      <c r="FIF181" s="89"/>
      <c r="FIH181" s="91"/>
      <c r="FIK181" s="89"/>
      <c r="FIM181" s="91"/>
      <c r="FIP181" s="89"/>
      <c r="FIR181" s="91"/>
      <c r="FIU181" s="89"/>
      <c r="FIW181" s="91"/>
      <c r="FIZ181" s="89"/>
      <c r="FJB181" s="91"/>
      <c r="FJE181" s="89"/>
      <c r="FJG181" s="91"/>
      <c r="FJJ181" s="89"/>
      <c r="FJL181" s="91"/>
      <c r="FJO181" s="89"/>
      <c r="FJQ181" s="91"/>
      <c r="FJT181" s="89"/>
      <c r="FJV181" s="91"/>
      <c r="FJY181" s="89"/>
      <c r="FKA181" s="91"/>
      <c r="FKD181" s="89"/>
      <c r="FKF181" s="91"/>
      <c r="FKI181" s="89"/>
      <c r="FKK181" s="91"/>
      <c r="FKN181" s="89"/>
      <c r="FKP181" s="91"/>
      <c r="FKS181" s="89"/>
      <c r="FKU181" s="91"/>
      <c r="FKX181" s="89"/>
      <c r="FKZ181" s="91"/>
      <c r="FLC181" s="89"/>
      <c r="FLE181" s="91"/>
      <c r="FLH181" s="89"/>
      <c r="FLJ181" s="91"/>
      <c r="FLM181" s="89"/>
      <c r="FLO181" s="91"/>
      <c r="FLR181" s="89"/>
      <c r="FLT181" s="91"/>
      <c r="FLW181" s="89"/>
      <c r="FLY181" s="91"/>
      <c r="FMB181" s="89"/>
      <c r="FMD181" s="91"/>
      <c r="FMG181" s="89"/>
      <c r="FMI181" s="91"/>
      <c r="FML181" s="89"/>
      <c r="FMN181" s="91"/>
      <c r="FMQ181" s="89"/>
      <c r="FMS181" s="91"/>
      <c r="FMV181" s="89"/>
      <c r="FMX181" s="91"/>
      <c r="FNA181" s="89"/>
      <c r="FNC181" s="91"/>
      <c r="FNF181" s="89"/>
      <c r="FNH181" s="91"/>
      <c r="FNK181" s="89"/>
      <c r="FNM181" s="91"/>
      <c r="FNP181" s="89"/>
      <c r="FNR181" s="91"/>
      <c r="FNU181" s="89"/>
      <c r="FNW181" s="91"/>
      <c r="FNZ181" s="89"/>
      <c r="FOB181" s="91"/>
      <c r="FOE181" s="89"/>
      <c r="FOG181" s="91"/>
      <c r="FOJ181" s="89"/>
      <c r="FOL181" s="91"/>
      <c r="FOO181" s="89"/>
      <c r="FOQ181" s="91"/>
      <c r="FOT181" s="89"/>
      <c r="FOV181" s="91"/>
      <c r="FOY181" s="89"/>
      <c r="FPA181" s="91"/>
      <c r="FPD181" s="89"/>
      <c r="FPF181" s="91"/>
      <c r="FPI181" s="89"/>
      <c r="FPK181" s="91"/>
      <c r="FPN181" s="89"/>
      <c r="FPP181" s="91"/>
      <c r="FPS181" s="89"/>
      <c r="FPU181" s="91"/>
      <c r="FPX181" s="89"/>
      <c r="FPZ181" s="91"/>
      <c r="FQC181" s="89"/>
      <c r="FQE181" s="91"/>
      <c r="FQH181" s="89"/>
      <c r="FQJ181" s="91"/>
      <c r="FQM181" s="89"/>
      <c r="FQO181" s="91"/>
      <c r="FQR181" s="89"/>
      <c r="FQT181" s="91"/>
      <c r="FQW181" s="89"/>
      <c r="FQY181" s="91"/>
      <c r="FRB181" s="89"/>
      <c r="FRD181" s="91"/>
      <c r="FRG181" s="89"/>
      <c r="FRI181" s="91"/>
      <c r="FRL181" s="89"/>
      <c r="FRN181" s="91"/>
      <c r="FRQ181" s="89"/>
      <c r="FRS181" s="91"/>
      <c r="FRV181" s="89"/>
      <c r="FRX181" s="91"/>
      <c r="FSA181" s="89"/>
      <c r="FSC181" s="91"/>
      <c r="FSF181" s="89"/>
      <c r="FSH181" s="91"/>
      <c r="FSK181" s="89"/>
      <c r="FSM181" s="91"/>
      <c r="FSP181" s="89"/>
      <c r="FSR181" s="91"/>
      <c r="FSU181" s="89"/>
      <c r="FSW181" s="91"/>
      <c r="FSZ181" s="89"/>
      <c r="FTB181" s="91"/>
      <c r="FTE181" s="89"/>
      <c r="FTG181" s="91"/>
      <c r="FTJ181" s="89"/>
      <c r="FTL181" s="91"/>
      <c r="FTO181" s="89"/>
      <c r="FTQ181" s="91"/>
      <c r="FTT181" s="89"/>
      <c r="FTV181" s="91"/>
      <c r="FTY181" s="89"/>
      <c r="FUA181" s="91"/>
      <c r="FUD181" s="89"/>
      <c r="FUF181" s="91"/>
      <c r="FUI181" s="89"/>
      <c r="FUK181" s="91"/>
      <c r="FUN181" s="89"/>
      <c r="FUP181" s="91"/>
      <c r="FUS181" s="89"/>
      <c r="FUU181" s="91"/>
      <c r="FUX181" s="89"/>
      <c r="FUZ181" s="91"/>
      <c r="FVC181" s="89"/>
      <c r="FVE181" s="91"/>
      <c r="FVH181" s="89"/>
      <c r="FVJ181" s="91"/>
      <c r="FVM181" s="89"/>
      <c r="FVO181" s="91"/>
      <c r="FVR181" s="89"/>
      <c r="FVT181" s="91"/>
      <c r="FVW181" s="89"/>
      <c r="FVY181" s="91"/>
      <c r="FWB181" s="89"/>
      <c r="FWD181" s="91"/>
      <c r="FWG181" s="89"/>
      <c r="FWI181" s="91"/>
      <c r="FWL181" s="89"/>
      <c r="FWN181" s="91"/>
      <c r="FWQ181" s="89"/>
      <c r="FWS181" s="91"/>
      <c r="FWV181" s="89"/>
      <c r="FWX181" s="91"/>
      <c r="FXA181" s="89"/>
      <c r="FXC181" s="91"/>
      <c r="FXF181" s="89"/>
      <c r="FXH181" s="91"/>
      <c r="FXK181" s="89"/>
      <c r="FXM181" s="91"/>
      <c r="FXP181" s="89"/>
      <c r="FXR181" s="91"/>
      <c r="FXU181" s="89"/>
      <c r="FXW181" s="91"/>
      <c r="FXZ181" s="89"/>
      <c r="FYB181" s="91"/>
      <c r="FYE181" s="89"/>
      <c r="FYG181" s="91"/>
      <c r="FYJ181" s="89"/>
      <c r="FYL181" s="91"/>
      <c r="FYO181" s="89"/>
      <c r="FYQ181" s="91"/>
      <c r="FYT181" s="89"/>
      <c r="FYV181" s="91"/>
      <c r="FYY181" s="89"/>
      <c r="FZA181" s="91"/>
      <c r="FZD181" s="89"/>
      <c r="FZF181" s="91"/>
      <c r="FZI181" s="89"/>
      <c r="FZK181" s="91"/>
      <c r="FZN181" s="89"/>
      <c r="FZP181" s="91"/>
      <c r="FZS181" s="89"/>
      <c r="FZU181" s="91"/>
      <c r="FZX181" s="89"/>
      <c r="FZZ181" s="91"/>
      <c r="GAC181" s="89"/>
      <c r="GAE181" s="91"/>
      <c r="GAH181" s="89"/>
      <c r="GAJ181" s="91"/>
      <c r="GAM181" s="89"/>
      <c r="GAO181" s="91"/>
      <c r="GAR181" s="89"/>
      <c r="GAT181" s="91"/>
      <c r="GAW181" s="89"/>
      <c r="GAY181" s="91"/>
      <c r="GBB181" s="89"/>
      <c r="GBD181" s="91"/>
      <c r="GBG181" s="89"/>
      <c r="GBI181" s="91"/>
      <c r="GBL181" s="89"/>
      <c r="GBN181" s="91"/>
      <c r="GBQ181" s="89"/>
      <c r="GBS181" s="91"/>
      <c r="GBV181" s="89"/>
      <c r="GBX181" s="91"/>
      <c r="GCA181" s="89"/>
      <c r="GCC181" s="91"/>
      <c r="GCF181" s="89"/>
      <c r="GCH181" s="91"/>
      <c r="GCK181" s="89"/>
      <c r="GCM181" s="91"/>
      <c r="GCP181" s="89"/>
      <c r="GCR181" s="91"/>
      <c r="GCU181" s="89"/>
      <c r="GCW181" s="91"/>
      <c r="GCZ181" s="89"/>
      <c r="GDB181" s="91"/>
      <c r="GDE181" s="89"/>
      <c r="GDG181" s="91"/>
      <c r="GDJ181" s="89"/>
      <c r="GDL181" s="91"/>
      <c r="GDO181" s="89"/>
      <c r="GDQ181" s="91"/>
      <c r="GDT181" s="89"/>
      <c r="GDV181" s="91"/>
      <c r="GDY181" s="89"/>
      <c r="GEA181" s="91"/>
      <c r="GED181" s="89"/>
      <c r="GEF181" s="91"/>
      <c r="GEI181" s="89"/>
      <c r="GEK181" s="91"/>
      <c r="GEN181" s="89"/>
      <c r="GEP181" s="91"/>
      <c r="GES181" s="89"/>
      <c r="GEU181" s="91"/>
      <c r="GEX181" s="89"/>
      <c r="GEZ181" s="91"/>
      <c r="GFC181" s="89"/>
      <c r="GFE181" s="91"/>
      <c r="GFH181" s="89"/>
      <c r="GFJ181" s="91"/>
      <c r="GFM181" s="89"/>
      <c r="GFO181" s="91"/>
      <c r="GFR181" s="89"/>
      <c r="GFT181" s="91"/>
      <c r="GFW181" s="89"/>
      <c r="GFY181" s="91"/>
      <c r="GGB181" s="89"/>
      <c r="GGD181" s="91"/>
      <c r="GGG181" s="89"/>
      <c r="GGI181" s="91"/>
      <c r="GGL181" s="89"/>
      <c r="GGN181" s="91"/>
      <c r="GGQ181" s="89"/>
      <c r="GGS181" s="91"/>
      <c r="GGV181" s="89"/>
      <c r="GGX181" s="91"/>
      <c r="GHA181" s="89"/>
      <c r="GHC181" s="91"/>
      <c r="GHF181" s="89"/>
      <c r="GHH181" s="91"/>
      <c r="GHK181" s="89"/>
      <c r="GHM181" s="91"/>
      <c r="GHP181" s="89"/>
      <c r="GHR181" s="91"/>
      <c r="GHU181" s="89"/>
      <c r="GHW181" s="91"/>
      <c r="GHZ181" s="89"/>
      <c r="GIB181" s="91"/>
      <c r="GIE181" s="89"/>
      <c r="GIG181" s="91"/>
      <c r="GIJ181" s="89"/>
      <c r="GIL181" s="91"/>
      <c r="GIO181" s="89"/>
      <c r="GIQ181" s="91"/>
      <c r="GIT181" s="89"/>
      <c r="GIV181" s="91"/>
      <c r="GIY181" s="89"/>
      <c r="GJA181" s="91"/>
      <c r="GJD181" s="89"/>
      <c r="GJF181" s="91"/>
      <c r="GJI181" s="89"/>
      <c r="GJK181" s="91"/>
      <c r="GJN181" s="89"/>
      <c r="GJP181" s="91"/>
      <c r="GJS181" s="89"/>
      <c r="GJU181" s="91"/>
      <c r="GJX181" s="89"/>
      <c r="GJZ181" s="91"/>
      <c r="GKC181" s="89"/>
      <c r="GKE181" s="91"/>
      <c r="GKH181" s="89"/>
      <c r="GKJ181" s="91"/>
      <c r="GKM181" s="89"/>
      <c r="GKO181" s="91"/>
      <c r="GKR181" s="89"/>
      <c r="GKT181" s="91"/>
      <c r="GKW181" s="89"/>
      <c r="GKY181" s="91"/>
      <c r="GLB181" s="89"/>
      <c r="GLD181" s="91"/>
      <c r="GLG181" s="89"/>
      <c r="GLI181" s="91"/>
      <c r="GLL181" s="89"/>
      <c r="GLN181" s="91"/>
      <c r="GLQ181" s="89"/>
      <c r="GLS181" s="91"/>
      <c r="GLV181" s="89"/>
      <c r="GLX181" s="91"/>
      <c r="GMA181" s="89"/>
      <c r="GMC181" s="91"/>
      <c r="GMF181" s="89"/>
      <c r="GMH181" s="91"/>
      <c r="GMK181" s="89"/>
      <c r="GMM181" s="91"/>
      <c r="GMP181" s="89"/>
      <c r="GMR181" s="91"/>
      <c r="GMU181" s="89"/>
      <c r="GMW181" s="91"/>
      <c r="GMZ181" s="89"/>
      <c r="GNB181" s="91"/>
      <c r="GNE181" s="89"/>
      <c r="GNG181" s="91"/>
      <c r="GNJ181" s="89"/>
      <c r="GNL181" s="91"/>
      <c r="GNO181" s="89"/>
      <c r="GNQ181" s="91"/>
      <c r="GNT181" s="89"/>
      <c r="GNV181" s="91"/>
      <c r="GNY181" s="89"/>
      <c r="GOA181" s="91"/>
      <c r="GOD181" s="89"/>
      <c r="GOF181" s="91"/>
      <c r="GOI181" s="89"/>
      <c r="GOK181" s="91"/>
      <c r="GON181" s="89"/>
      <c r="GOP181" s="91"/>
      <c r="GOS181" s="89"/>
      <c r="GOU181" s="91"/>
      <c r="GOX181" s="89"/>
      <c r="GOZ181" s="91"/>
      <c r="GPC181" s="89"/>
      <c r="GPE181" s="91"/>
      <c r="GPH181" s="89"/>
      <c r="GPJ181" s="91"/>
      <c r="GPM181" s="89"/>
      <c r="GPO181" s="91"/>
      <c r="GPR181" s="89"/>
      <c r="GPT181" s="91"/>
      <c r="GPW181" s="89"/>
      <c r="GPY181" s="91"/>
      <c r="GQB181" s="89"/>
      <c r="GQD181" s="91"/>
      <c r="GQG181" s="89"/>
      <c r="GQI181" s="91"/>
      <c r="GQL181" s="89"/>
      <c r="GQN181" s="91"/>
      <c r="GQQ181" s="89"/>
      <c r="GQS181" s="91"/>
      <c r="GQV181" s="89"/>
      <c r="GQX181" s="91"/>
      <c r="GRA181" s="89"/>
      <c r="GRC181" s="91"/>
      <c r="GRF181" s="89"/>
      <c r="GRH181" s="91"/>
      <c r="GRK181" s="89"/>
      <c r="GRM181" s="91"/>
      <c r="GRP181" s="89"/>
      <c r="GRR181" s="91"/>
      <c r="GRU181" s="89"/>
      <c r="GRW181" s="91"/>
      <c r="GRZ181" s="89"/>
      <c r="GSB181" s="91"/>
      <c r="GSE181" s="89"/>
      <c r="GSG181" s="91"/>
      <c r="GSJ181" s="89"/>
      <c r="GSL181" s="91"/>
      <c r="GSO181" s="89"/>
      <c r="GSQ181" s="91"/>
      <c r="GST181" s="89"/>
      <c r="GSV181" s="91"/>
      <c r="GSY181" s="89"/>
      <c r="GTA181" s="91"/>
      <c r="GTD181" s="89"/>
      <c r="GTF181" s="91"/>
      <c r="GTI181" s="89"/>
      <c r="GTK181" s="91"/>
      <c r="GTN181" s="89"/>
      <c r="GTP181" s="91"/>
      <c r="GTS181" s="89"/>
      <c r="GTU181" s="91"/>
      <c r="GTX181" s="89"/>
      <c r="GTZ181" s="91"/>
      <c r="GUC181" s="89"/>
      <c r="GUE181" s="91"/>
      <c r="GUH181" s="89"/>
      <c r="GUJ181" s="91"/>
      <c r="GUM181" s="89"/>
      <c r="GUO181" s="91"/>
      <c r="GUR181" s="89"/>
      <c r="GUT181" s="91"/>
      <c r="GUW181" s="89"/>
      <c r="GUY181" s="91"/>
      <c r="GVB181" s="89"/>
      <c r="GVD181" s="91"/>
      <c r="GVG181" s="89"/>
      <c r="GVI181" s="91"/>
      <c r="GVL181" s="89"/>
      <c r="GVN181" s="91"/>
      <c r="GVQ181" s="89"/>
      <c r="GVS181" s="91"/>
      <c r="GVV181" s="89"/>
      <c r="GVX181" s="91"/>
      <c r="GWA181" s="89"/>
      <c r="GWC181" s="91"/>
      <c r="GWF181" s="89"/>
      <c r="GWH181" s="91"/>
      <c r="GWK181" s="89"/>
      <c r="GWM181" s="91"/>
      <c r="GWP181" s="89"/>
      <c r="GWR181" s="91"/>
      <c r="GWU181" s="89"/>
      <c r="GWW181" s="91"/>
      <c r="GWZ181" s="89"/>
      <c r="GXB181" s="91"/>
      <c r="GXE181" s="89"/>
      <c r="GXG181" s="91"/>
      <c r="GXJ181" s="89"/>
      <c r="GXL181" s="91"/>
      <c r="GXO181" s="89"/>
      <c r="GXQ181" s="91"/>
      <c r="GXT181" s="89"/>
      <c r="GXV181" s="91"/>
      <c r="GXY181" s="89"/>
      <c r="GYA181" s="91"/>
      <c r="GYD181" s="89"/>
      <c r="GYF181" s="91"/>
      <c r="GYI181" s="89"/>
      <c r="GYK181" s="91"/>
      <c r="GYN181" s="89"/>
      <c r="GYP181" s="91"/>
      <c r="GYS181" s="89"/>
      <c r="GYU181" s="91"/>
      <c r="GYX181" s="89"/>
      <c r="GYZ181" s="91"/>
      <c r="GZC181" s="89"/>
      <c r="GZE181" s="91"/>
      <c r="GZH181" s="89"/>
      <c r="GZJ181" s="91"/>
      <c r="GZM181" s="89"/>
      <c r="GZO181" s="91"/>
      <c r="GZR181" s="89"/>
      <c r="GZT181" s="91"/>
      <c r="GZW181" s="89"/>
      <c r="GZY181" s="91"/>
      <c r="HAB181" s="89"/>
      <c r="HAD181" s="91"/>
      <c r="HAG181" s="89"/>
      <c r="HAI181" s="91"/>
      <c r="HAL181" s="89"/>
      <c r="HAN181" s="91"/>
      <c r="HAQ181" s="89"/>
      <c r="HAS181" s="91"/>
      <c r="HAV181" s="89"/>
      <c r="HAX181" s="91"/>
      <c r="HBA181" s="89"/>
      <c r="HBC181" s="91"/>
      <c r="HBF181" s="89"/>
      <c r="HBH181" s="91"/>
      <c r="HBK181" s="89"/>
      <c r="HBM181" s="91"/>
      <c r="HBP181" s="89"/>
      <c r="HBR181" s="91"/>
      <c r="HBU181" s="89"/>
      <c r="HBW181" s="91"/>
      <c r="HBZ181" s="89"/>
      <c r="HCB181" s="91"/>
      <c r="HCE181" s="89"/>
      <c r="HCG181" s="91"/>
      <c r="HCJ181" s="89"/>
      <c r="HCL181" s="91"/>
      <c r="HCO181" s="89"/>
      <c r="HCQ181" s="91"/>
      <c r="HCT181" s="89"/>
      <c r="HCV181" s="91"/>
      <c r="HCY181" s="89"/>
      <c r="HDA181" s="91"/>
      <c r="HDD181" s="89"/>
      <c r="HDF181" s="91"/>
      <c r="HDI181" s="89"/>
      <c r="HDK181" s="91"/>
      <c r="HDN181" s="89"/>
      <c r="HDP181" s="91"/>
      <c r="HDS181" s="89"/>
      <c r="HDU181" s="91"/>
      <c r="HDX181" s="89"/>
      <c r="HDZ181" s="91"/>
      <c r="HEC181" s="89"/>
      <c r="HEE181" s="91"/>
      <c r="HEH181" s="89"/>
      <c r="HEJ181" s="91"/>
      <c r="HEM181" s="89"/>
      <c r="HEO181" s="91"/>
      <c r="HER181" s="89"/>
      <c r="HET181" s="91"/>
      <c r="HEW181" s="89"/>
      <c r="HEY181" s="91"/>
      <c r="HFB181" s="89"/>
      <c r="HFD181" s="91"/>
      <c r="HFG181" s="89"/>
      <c r="HFI181" s="91"/>
      <c r="HFL181" s="89"/>
      <c r="HFN181" s="91"/>
      <c r="HFQ181" s="89"/>
      <c r="HFS181" s="91"/>
      <c r="HFV181" s="89"/>
      <c r="HFX181" s="91"/>
      <c r="HGA181" s="89"/>
      <c r="HGC181" s="91"/>
      <c r="HGF181" s="89"/>
      <c r="HGH181" s="91"/>
      <c r="HGK181" s="89"/>
      <c r="HGM181" s="91"/>
      <c r="HGP181" s="89"/>
      <c r="HGR181" s="91"/>
      <c r="HGU181" s="89"/>
      <c r="HGW181" s="91"/>
      <c r="HGZ181" s="89"/>
      <c r="HHB181" s="91"/>
      <c r="HHE181" s="89"/>
      <c r="HHG181" s="91"/>
      <c r="HHJ181" s="89"/>
      <c r="HHL181" s="91"/>
      <c r="HHO181" s="89"/>
      <c r="HHQ181" s="91"/>
      <c r="HHT181" s="89"/>
      <c r="HHV181" s="91"/>
      <c r="HHY181" s="89"/>
      <c r="HIA181" s="91"/>
      <c r="HID181" s="89"/>
      <c r="HIF181" s="91"/>
      <c r="HII181" s="89"/>
      <c r="HIK181" s="91"/>
      <c r="HIN181" s="89"/>
      <c r="HIP181" s="91"/>
      <c r="HIS181" s="89"/>
      <c r="HIU181" s="91"/>
      <c r="HIX181" s="89"/>
      <c r="HIZ181" s="91"/>
      <c r="HJC181" s="89"/>
      <c r="HJE181" s="91"/>
      <c r="HJH181" s="89"/>
      <c r="HJJ181" s="91"/>
      <c r="HJM181" s="89"/>
      <c r="HJO181" s="91"/>
      <c r="HJR181" s="89"/>
      <c r="HJT181" s="91"/>
      <c r="HJW181" s="89"/>
      <c r="HJY181" s="91"/>
      <c r="HKB181" s="89"/>
      <c r="HKD181" s="91"/>
      <c r="HKG181" s="89"/>
      <c r="HKI181" s="91"/>
      <c r="HKL181" s="89"/>
      <c r="HKN181" s="91"/>
      <c r="HKQ181" s="89"/>
      <c r="HKS181" s="91"/>
      <c r="HKV181" s="89"/>
      <c r="HKX181" s="91"/>
      <c r="HLA181" s="89"/>
      <c r="HLC181" s="91"/>
      <c r="HLF181" s="89"/>
      <c r="HLH181" s="91"/>
      <c r="HLK181" s="89"/>
      <c r="HLM181" s="91"/>
      <c r="HLP181" s="89"/>
      <c r="HLR181" s="91"/>
      <c r="HLU181" s="89"/>
      <c r="HLW181" s="91"/>
      <c r="HLZ181" s="89"/>
      <c r="HMB181" s="91"/>
      <c r="HME181" s="89"/>
      <c r="HMG181" s="91"/>
      <c r="HMJ181" s="89"/>
      <c r="HML181" s="91"/>
      <c r="HMO181" s="89"/>
      <c r="HMQ181" s="91"/>
      <c r="HMT181" s="89"/>
      <c r="HMV181" s="91"/>
      <c r="HMY181" s="89"/>
      <c r="HNA181" s="91"/>
      <c r="HND181" s="89"/>
      <c r="HNF181" s="91"/>
      <c r="HNI181" s="89"/>
      <c r="HNK181" s="91"/>
      <c r="HNN181" s="89"/>
      <c r="HNP181" s="91"/>
      <c r="HNS181" s="89"/>
      <c r="HNU181" s="91"/>
      <c r="HNX181" s="89"/>
      <c r="HNZ181" s="91"/>
      <c r="HOC181" s="89"/>
      <c r="HOE181" s="91"/>
      <c r="HOH181" s="89"/>
      <c r="HOJ181" s="91"/>
      <c r="HOM181" s="89"/>
      <c r="HOO181" s="91"/>
      <c r="HOR181" s="89"/>
      <c r="HOT181" s="91"/>
      <c r="HOW181" s="89"/>
      <c r="HOY181" s="91"/>
      <c r="HPB181" s="89"/>
      <c r="HPD181" s="91"/>
      <c r="HPG181" s="89"/>
      <c r="HPI181" s="91"/>
      <c r="HPL181" s="89"/>
      <c r="HPN181" s="91"/>
      <c r="HPQ181" s="89"/>
      <c r="HPS181" s="91"/>
      <c r="HPV181" s="89"/>
      <c r="HPX181" s="91"/>
      <c r="HQA181" s="89"/>
      <c r="HQC181" s="91"/>
      <c r="HQF181" s="89"/>
      <c r="HQH181" s="91"/>
      <c r="HQK181" s="89"/>
      <c r="HQM181" s="91"/>
      <c r="HQP181" s="89"/>
      <c r="HQR181" s="91"/>
      <c r="HQU181" s="89"/>
      <c r="HQW181" s="91"/>
      <c r="HQZ181" s="89"/>
      <c r="HRB181" s="91"/>
      <c r="HRE181" s="89"/>
      <c r="HRG181" s="91"/>
      <c r="HRJ181" s="89"/>
      <c r="HRL181" s="91"/>
      <c r="HRO181" s="89"/>
      <c r="HRQ181" s="91"/>
      <c r="HRT181" s="89"/>
      <c r="HRV181" s="91"/>
      <c r="HRY181" s="89"/>
      <c r="HSA181" s="91"/>
      <c r="HSD181" s="89"/>
      <c r="HSF181" s="91"/>
      <c r="HSI181" s="89"/>
      <c r="HSK181" s="91"/>
      <c r="HSN181" s="89"/>
      <c r="HSP181" s="91"/>
      <c r="HSS181" s="89"/>
      <c r="HSU181" s="91"/>
      <c r="HSX181" s="89"/>
      <c r="HSZ181" s="91"/>
      <c r="HTC181" s="89"/>
      <c r="HTE181" s="91"/>
      <c r="HTH181" s="89"/>
      <c r="HTJ181" s="91"/>
      <c r="HTM181" s="89"/>
      <c r="HTO181" s="91"/>
      <c r="HTR181" s="89"/>
      <c r="HTT181" s="91"/>
      <c r="HTW181" s="89"/>
      <c r="HTY181" s="91"/>
      <c r="HUB181" s="89"/>
      <c r="HUD181" s="91"/>
      <c r="HUG181" s="89"/>
      <c r="HUI181" s="91"/>
      <c r="HUL181" s="89"/>
      <c r="HUN181" s="91"/>
      <c r="HUQ181" s="89"/>
      <c r="HUS181" s="91"/>
      <c r="HUV181" s="89"/>
      <c r="HUX181" s="91"/>
      <c r="HVA181" s="89"/>
      <c r="HVC181" s="91"/>
      <c r="HVF181" s="89"/>
      <c r="HVH181" s="91"/>
      <c r="HVK181" s="89"/>
      <c r="HVM181" s="91"/>
      <c r="HVP181" s="89"/>
      <c r="HVR181" s="91"/>
      <c r="HVU181" s="89"/>
      <c r="HVW181" s="91"/>
      <c r="HVZ181" s="89"/>
      <c r="HWB181" s="91"/>
      <c r="HWE181" s="89"/>
      <c r="HWG181" s="91"/>
      <c r="HWJ181" s="89"/>
      <c r="HWL181" s="91"/>
      <c r="HWO181" s="89"/>
      <c r="HWQ181" s="91"/>
      <c r="HWT181" s="89"/>
      <c r="HWV181" s="91"/>
      <c r="HWY181" s="89"/>
      <c r="HXA181" s="91"/>
      <c r="HXD181" s="89"/>
      <c r="HXF181" s="91"/>
      <c r="HXI181" s="89"/>
      <c r="HXK181" s="91"/>
      <c r="HXN181" s="89"/>
      <c r="HXP181" s="91"/>
      <c r="HXS181" s="89"/>
      <c r="HXU181" s="91"/>
      <c r="HXX181" s="89"/>
      <c r="HXZ181" s="91"/>
      <c r="HYC181" s="89"/>
      <c r="HYE181" s="91"/>
      <c r="HYH181" s="89"/>
      <c r="HYJ181" s="91"/>
      <c r="HYM181" s="89"/>
      <c r="HYO181" s="91"/>
      <c r="HYR181" s="89"/>
      <c r="HYT181" s="91"/>
      <c r="HYW181" s="89"/>
      <c r="HYY181" s="91"/>
      <c r="HZB181" s="89"/>
      <c r="HZD181" s="91"/>
      <c r="HZG181" s="89"/>
      <c r="HZI181" s="91"/>
      <c r="HZL181" s="89"/>
      <c r="HZN181" s="91"/>
      <c r="HZQ181" s="89"/>
      <c r="HZS181" s="91"/>
      <c r="HZV181" s="89"/>
      <c r="HZX181" s="91"/>
      <c r="IAA181" s="89"/>
      <c r="IAC181" s="91"/>
      <c r="IAF181" s="89"/>
      <c r="IAH181" s="91"/>
      <c r="IAK181" s="89"/>
      <c r="IAM181" s="91"/>
      <c r="IAP181" s="89"/>
      <c r="IAR181" s="91"/>
      <c r="IAU181" s="89"/>
      <c r="IAW181" s="91"/>
      <c r="IAZ181" s="89"/>
      <c r="IBB181" s="91"/>
      <c r="IBE181" s="89"/>
      <c r="IBG181" s="91"/>
      <c r="IBJ181" s="89"/>
      <c r="IBL181" s="91"/>
      <c r="IBO181" s="89"/>
      <c r="IBQ181" s="91"/>
      <c r="IBT181" s="89"/>
      <c r="IBV181" s="91"/>
      <c r="IBY181" s="89"/>
      <c r="ICA181" s="91"/>
      <c r="ICD181" s="89"/>
      <c r="ICF181" s="91"/>
      <c r="ICI181" s="89"/>
      <c r="ICK181" s="91"/>
      <c r="ICN181" s="89"/>
      <c r="ICP181" s="91"/>
      <c r="ICS181" s="89"/>
      <c r="ICU181" s="91"/>
      <c r="ICX181" s="89"/>
      <c r="ICZ181" s="91"/>
      <c r="IDC181" s="89"/>
      <c r="IDE181" s="91"/>
      <c r="IDH181" s="89"/>
      <c r="IDJ181" s="91"/>
      <c r="IDM181" s="89"/>
      <c r="IDO181" s="91"/>
      <c r="IDR181" s="89"/>
      <c r="IDT181" s="91"/>
      <c r="IDW181" s="89"/>
      <c r="IDY181" s="91"/>
      <c r="IEB181" s="89"/>
      <c r="IED181" s="91"/>
      <c r="IEG181" s="89"/>
      <c r="IEI181" s="91"/>
      <c r="IEL181" s="89"/>
      <c r="IEN181" s="91"/>
      <c r="IEQ181" s="89"/>
      <c r="IES181" s="91"/>
      <c r="IEV181" s="89"/>
      <c r="IEX181" s="91"/>
      <c r="IFA181" s="89"/>
      <c r="IFC181" s="91"/>
      <c r="IFF181" s="89"/>
      <c r="IFH181" s="91"/>
      <c r="IFK181" s="89"/>
      <c r="IFM181" s="91"/>
      <c r="IFP181" s="89"/>
      <c r="IFR181" s="91"/>
      <c r="IFU181" s="89"/>
      <c r="IFW181" s="91"/>
      <c r="IFZ181" s="89"/>
      <c r="IGB181" s="91"/>
      <c r="IGE181" s="89"/>
      <c r="IGG181" s="91"/>
      <c r="IGJ181" s="89"/>
      <c r="IGL181" s="91"/>
      <c r="IGO181" s="89"/>
      <c r="IGQ181" s="91"/>
      <c r="IGT181" s="89"/>
      <c r="IGV181" s="91"/>
      <c r="IGY181" s="89"/>
      <c r="IHA181" s="91"/>
      <c r="IHD181" s="89"/>
      <c r="IHF181" s="91"/>
      <c r="IHI181" s="89"/>
      <c r="IHK181" s="91"/>
      <c r="IHN181" s="89"/>
      <c r="IHP181" s="91"/>
      <c r="IHS181" s="89"/>
      <c r="IHU181" s="91"/>
      <c r="IHX181" s="89"/>
      <c r="IHZ181" s="91"/>
      <c r="IIC181" s="89"/>
      <c r="IIE181" s="91"/>
      <c r="IIH181" s="89"/>
      <c r="IIJ181" s="91"/>
      <c r="IIM181" s="89"/>
      <c r="IIO181" s="91"/>
      <c r="IIR181" s="89"/>
      <c r="IIT181" s="91"/>
      <c r="IIW181" s="89"/>
      <c r="IIY181" s="91"/>
      <c r="IJB181" s="89"/>
      <c r="IJD181" s="91"/>
      <c r="IJG181" s="89"/>
      <c r="IJI181" s="91"/>
      <c r="IJL181" s="89"/>
      <c r="IJN181" s="91"/>
      <c r="IJQ181" s="89"/>
      <c r="IJS181" s="91"/>
      <c r="IJV181" s="89"/>
      <c r="IJX181" s="91"/>
      <c r="IKA181" s="89"/>
      <c r="IKC181" s="91"/>
      <c r="IKF181" s="89"/>
      <c r="IKH181" s="91"/>
      <c r="IKK181" s="89"/>
      <c r="IKM181" s="91"/>
      <c r="IKP181" s="89"/>
      <c r="IKR181" s="91"/>
      <c r="IKU181" s="89"/>
      <c r="IKW181" s="91"/>
      <c r="IKZ181" s="89"/>
      <c r="ILB181" s="91"/>
      <c r="ILE181" s="89"/>
      <c r="ILG181" s="91"/>
      <c r="ILJ181" s="89"/>
      <c r="ILL181" s="91"/>
      <c r="ILO181" s="89"/>
      <c r="ILQ181" s="91"/>
      <c r="ILT181" s="89"/>
      <c r="ILV181" s="91"/>
      <c r="ILY181" s="89"/>
      <c r="IMA181" s="91"/>
      <c r="IMD181" s="89"/>
      <c r="IMF181" s="91"/>
      <c r="IMI181" s="89"/>
      <c r="IMK181" s="91"/>
      <c r="IMN181" s="89"/>
      <c r="IMP181" s="91"/>
      <c r="IMS181" s="89"/>
      <c r="IMU181" s="91"/>
      <c r="IMX181" s="89"/>
      <c r="IMZ181" s="91"/>
      <c r="INC181" s="89"/>
      <c r="INE181" s="91"/>
      <c r="INH181" s="89"/>
      <c r="INJ181" s="91"/>
      <c r="INM181" s="89"/>
      <c r="INO181" s="91"/>
      <c r="INR181" s="89"/>
      <c r="INT181" s="91"/>
      <c r="INW181" s="89"/>
      <c r="INY181" s="91"/>
      <c r="IOB181" s="89"/>
      <c r="IOD181" s="91"/>
      <c r="IOG181" s="89"/>
      <c r="IOI181" s="91"/>
      <c r="IOL181" s="89"/>
      <c r="ION181" s="91"/>
      <c r="IOQ181" s="89"/>
      <c r="IOS181" s="91"/>
      <c r="IOV181" s="89"/>
      <c r="IOX181" s="91"/>
      <c r="IPA181" s="89"/>
      <c r="IPC181" s="91"/>
      <c r="IPF181" s="89"/>
      <c r="IPH181" s="91"/>
      <c r="IPK181" s="89"/>
      <c r="IPM181" s="91"/>
      <c r="IPP181" s="89"/>
      <c r="IPR181" s="91"/>
      <c r="IPU181" s="89"/>
      <c r="IPW181" s="91"/>
      <c r="IPZ181" s="89"/>
      <c r="IQB181" s="91"/>
      <c r="IQE181" s="89"/>
      <c r="IQG181" s="91"/>
      <c r="IQJ181" s="89"/>
      <c r="IQL181" s="91"/>
      <c r="IQO181" s="89"/>
      <c r="IQQ181" s="91"/>
      <c r="IQT181" s="89"/>
      <c r="IQV181" s="91"/>
      <c r="IQY181" s="89"/>
      <c r="IRA181" s="91"/>
      <c r="IRD181" s="89"/>
      <c r="IRF181" s="91"/>
      <c r="IRI181" s="89"/>
      <c r="IRK181" s="91"/>
      <c r="IRN181" s="89"/>
      <c r="IRP181" s="91"/>
      <c r="IRS181" s="89"/>
      <c r="IRU181" s="91"/>
      <c r="IRX181" s="89"/>
      <c r="IRZ181" s="91"/>
      <c r="ISC181" s="89"/>
      <c r="ISE181" s="91"/>
      <c r="ISH181" s="89"/>
      <c r="ISJ181" s="91"/>
      <c r="ISM181" s="89"/>
      <c r="ISO181" s="91"/>
      <c r="ISR181" s="89"/>
      <c r="IST181" s="91"/>
      <c r="ISW181" s="89"/>
      <c r="ISY181" s="91"/>
      <c r="ITB181" s="89"/>
      <c r="ITD181" s="91"/>
      <c r="ITG181" s="89"/>
      <c r="ITI181" s="91"/>
      <c r="ITL181" s="89"/>
      <c r="ITN181" s="91"/>
      <c r="ITQ181" s="89"/>
      <c r="ITS181" s="91"/>
      <c r="ITV181" s="89"/>
      <c r="ITX181" s="91"/>
      <c r="IUA181" s="89"/>
      <c r="IUC181" s="91"/>
      <c r="IUF181" s="89"/>
      <c r="IUH181" s="91"/>
      <c r="IUK181" s="89"/>
      <c r="IUM181" s="91"/>
      <c r="IUP181" s="89"/>
      <c r="IUR181" s="91"/>
      <c r="IUU181" s="89"/>
      <c r="IUW181" s="91"/>
      <c r="IUZ181" s="89"/>
      <c r="IVB181" s="91"/>
      <c r="IVE181" s="89"/>
      <c r="IVG181" s="91"/>
      <c r="IVJ181" s="89"/>
      <c r="IVL181" s="91"/>
      <c r="IVO181" s="89"/>
      <c r="IVQ181" s="91"/>
      <c r="IVT181" s="89"/>
      <c r="IVV181" s="91"/>
      <c r="IVY181" s="89"/>
      <c r="IWA181" s="91"/>
      <c r="IWD181" s="89"/>
      <c r="IWF181" s="91"/>
      <c r="IWI181" s="89"/>
      <c r="IWK181" s="91"/>
      <c r="IWN181" s="89"/>
      <c r="IWP181" s="91"/>
      <c r="IWS181" s="89"/>
      <c r="IWU181" s="91"/>
      <c r="IWX181" s="89"/>
      <c r="IWZ181" s="91"/>
      <c r="IXC181" s="89"/>
      <c r="IXE181" s="91"/>
      <c r="IXH181" s="89"/>
      <c r="IXJ181" s="91"/>
      <c r="IXM181" s="89"/>
      <c r="IXO181" s="91"/>
      <c r="IXR181" s="89"/>
      <c r="IXT181" s="91"/>
      <c r="IXW181" s="89"/>
      <c r="IXY181" s="91"/>
      <c r="IYB181" s="89"/>
      <c r="IYD181" s="91"/>
      <c r="IYG181" s="89"/>
      <c r="IYI181" s="91"/>
      <c r="IYL181" s="89"/>
      <c r="IYN181" s="91"/>
      <c r="IYQ181" s="89"/>
      <c r="IYS181" s="91"/>
      <c r="IYV181" s="89"/>
      <c r="IYX181" s="91"/>
      <c r="IZA181" s="89"/>
      <c r="IZC181" s="91"/>
      <c r="IZF181" s="89"/>
      <c r="IZH181" s="91"/>
      <c r="IZK181" s="89"/>
      <c r="IZM181" s="91"/>
      <c r="IZP181" s="89"/>
      <c r="IZR181" s="91"/>
      <c r="IZU181" s="89"/>
      <c r="IZW181" s="91"/>
      <c r="IZZ181" s="89"/>
      <c r="JAB181" s="91"/>
      <c r="JAE181" s="89"/>
      <c r="JAG181" s="91"/>
      <c r="JAJ181" s="89"/>
      <c r="JAL181" s="91"/>
      <c r="JAO181" s="89"/>
      <c r="JAQ181" s="91"/>
      <c r="JAT181" s="89"/>
      <c r="JAV181" s="91"/>
      <c r="JAY181" s="89"/>
      <c r="JBA181" s="91"/>
      <c r="JBD181" s="89"/>
      <c r="JBF181" s="91"/>
      <c r="JBI181" s="89"/>
      <c r="JBK181" s="91"/>
      <c r="JBN181" s="89"/>
      <c r="JBP181" s="91"/>
      <c r="JBS181" s="89"/>
      <c r="JBU181" s="91"/>
      <c r="JBX181" s="89"/>
      <c r="JBZ181" s="91"/>
      <c r="JCC181" s="89"/>
      <c r="JCE181" s="91"/>
      <c r="JCH181" s="89"/>
      <c r="JCJ181" s="91"/>
      <c r="JCM181" s="89"/>
      <c r="JCO181" s="91"/>
      <c r="JCR181" s="89"/>
      <c r="JCT181" s="91"/>
      <c r="JCW181" s="89"/>
      <c r="JCY181" s="91"/>
      <c r="JDB181" s="89"/>
      <c r="JDD181" s="91"/>
      <c r="JDG181" s="89"/>
      <c r="JDI181" s="91"/>
      <c r="JDL181" s="89"/>
      <c r="JDN181" s="91"/>
      <c r="JDQ181" s="89"/>
      <c r="JDS181" s="91"/>
      <c r="JDV181" s="89"/>
      <c r="JDX181" s="91"/>
      <c r="JEA181" s="89"/>
      <c r="JEC181" s="91"/>
      <c r="JEF181" s="89"/>
      <c r="JEH181" s="91"/>
      <c r="JEK181" s="89"/>
      <c r="JEM181" s="91"/>
      <c r="JEP181" s="89"/>
      <c r="JER181" s="91"/>
      <c r="JEU181" s="89"/>
      <c r="JEW181" s="91"/>
      <c r="JEZ181" s="89"/>
      <c r="JFB181" s="91"/>
      <c r="JFE181" s="89"/>
      <c r="JFG181" s="91"/>
      <c r="JFJ181" s="89"/>
      <c r="JFL181" s="91"/>
      <c r="JFO181" s="89"/>
      <c r="JFQ181" s="91"/>
      <c r="JFT181" s="89"/>
      <c r="JFV181" s="91"/>
      <c r="JFY181" s="89"/>
      <c r="JGA181" s="91"/>
      <c r="JGD181" s="89"/>
      <c r="JGF181" s="91"/>
      <c r="JGI181" s="89"/>
      <c r="JGK181" s="91"/>
      <c r="JGN181" s="89"/>
      <c r="JGP181" s="91"/>
      <c r="JGS181" s="89"/>
      <c r="JGU181" s="91"/>
      <c r="JGX181" s="89"/>
      <c r="JGZ181" s="91"/>
      <c r="JHC181" s="89"/>
      <c r="JHE181" s="91"/>
      <c r="JHH181" s="89"/>
      <c r="JHJ181" s="91"/>
      <c r="JHM181" s="89"/>
      <c r="JHO181" s="91"/>
      <c r="JHR181" s="89"/>
      <c r="JHT181" s="91"/>
      <c r="JHW181" s="89"/>
      <c r="JHY181" s="91"/>
      <c r="JIB181" s="89"/>
      <c r="JID181" s="91"/>
      <c r="JIG181" s="89"/>
      <c r="JII181" s="91"/>
      <c r="JIL181" s="89"/>
      <c r="JIN181" s="91"/>
      <c r="JIQ181" s="89"/>
      <c r="JIS181" s="91"/>
      <c r="JIV181" s="89"/>
      <c r="JIX181" s="91"/>
      <c r="JJA181" s="89"/>
      <c r="JJC181" s="91"/>
      <c r="JJF181" s="89"/>
      <c r="JJH181" s="91"/>
      <c r="JJK181" s="89"/>
      <c r="JJM181" s="91"/>
      <c r="JJP181" s="89"/>
      <c r="JJR181" s="91"/>
      <c r="JJU181" s="89"/>
      <c r="JJW181" s="91"/>
      <c r="JJZ181" s="89"/>
      <c r="JKB181" s="91"/>
      <c r="JKE181" s="89"/>
      <c r="JKG181" s="91"/>
      <c r="JKJ181" s="89"/>
      <c r="JKL181" s="91"/>
      <c r="JKO181" s="89"/>
      <c r="JKQ181" s="91"/>
      <c r="JKT181" s="89"/>
      <c r="JKV181" s="91"/>
      <c r="JKY181" s="89"/>
      <c r="JLA181" s="91"/>
      <c r="JLD181" s="89"/>
      <c r="JLF181" s="91"/>
      <c r="JLI181" s="89"/>
      <c r="JLK181" s="91"/>
      <c r="JLN181" s="89"/>
      <c r="JLP181" s="91"/>
      <c r="JLS181" s="89"/>
      <c r="JLU181" s="91"/>
      <c r="JLX181" s="89"/>
      <c r="JLZ181" s="91"/>
      <c r="JMC181" s="89"/>
      <c r="JME181" s="91"/>
      <c r="JMH181" s="89"/>
      <c r="JMJ181" s="91"/>
      <c r="JMM181" s="89"/>
      <c r="JMO181" s="91"/>
      <c r="JMR181" s="89"/>
      <c r="JMT181" s="91"/>
      <c r="JMW181" s="89"/>
      <c r="JMY181" s="91"/>
      <c r="JNB181" s="89"/>
      <c r="JND181" s="91"/>
      <c r="JNG181" s="89"/>
      <c r="JNI181" s="91"/>
      <c r="JNL181" s="89"/>
      <c r="JNN181" s="91"/>
      <c r="JNQ181" s="89"/>
      <c r="JNS181" s="91"/>
      <c r="JNV181" s="89"/>
      <c r="JNX181" s="91"/>
      <c r="JOA181" s="89"/>
      <c r="JOC181" s="91"/>
      <c r="JOF181" s="89"/>
      <c r="JOH181" s="91"/>
      <c r="JOK181" s="89"/>
      <c r="JOM181" s="91"/>
      <c r="JOP181" s="89"/>
      <c r="JOR181" s="91"/>
      <c r="JOU181" s="89"/>
      <c r="JOW181" s="91"/>
      <c r="JOZ181" s="89"/>
      <c r="JPB181" s="91"/>
      <c r="JPE181" s="89"/>
      <c r="JPG181" s="91"/>
      <c r="JPJ181" s="89"/>
      <c r="JPL181" s="91"/>
      <c r="JPO181" s="89"/>
      <c r="JPQ181" s="91"/>
      <c r="JPT181" s="89"/>
      <c r="JPV181" s="91"/>
      <c r="JPY181" s="89"/>
      <c r="JQA181" s="91"/>
      <c r="JQD181" s="89"/>
      <c r="JQF181" s="91"/>
      <c r="JQI181" s="89"/>
      <c r="JQK181" s="91"/>
      <c r="JQN181" s="89"/>
      <c r="JQP181" s="91"/>
      <c r="JQS181" s="89"/>
      <c r="JQU181" s="91"/>
      <c r="JQX181" s="89"/>
      <c r="JQZ181" s="91"/>
      <c r="JRC181" s="89"/>
      <c r="JRE181" s="91"/>
      <c r="JRH181" s="89"/>
      <c r="JRJ181" s="91"/>
      <c r="JRM181" s="89"/>
      <c r="JRO181" s="91"/>
      <c r="JRR181" s="89"/>
      <c r="JRT181" s="91"/>
      <c r="JRW181" s="89"/>
      <c r="JRY181" s="91"/>
      <c r="JSB181" s="89"/>
      <c r="JSD181" s="91"/>
      <c r="JSG181" s="89"/>
      <c r="JSI181" s="91"/>
      <c r="JSL181" s="89"/>
      <c r="JSN181" s="91"/>
      <c r="JSQ181" s="89"/>
      <c r="JSS181" s="91"/>
      <c r="JSV181" s="89"/>
      <c r="JSX181" s="91"/>
      <c r="JTA181" s="89"/>
      <c r="JTC181" s="91"/>
      <c r="JTF181" s="89"/>
      <c r="JTH181" s="91"/>
      <c r="JTK181" s="89"/>
      <c r="JTM181" s="91"/>
      <c r="JTP181" s="89"/>
      <c r="JTR181" s="91"/>
      <c r="JTU181" s="89"/>
      <c r="JTW181" s="91"/>
      <c r="JTZ181" s="89"/>
      <c r="JUB181" s="91"/>
      <c r="JUE181" s="89"/>
      <c r="JUG181" s="91"/>
      <c r="JUJ181" s="89"/>
      <c r="JUL181" s="91"/>
      <c r="JUO181" s="89"/>
      <c r="JUQ181" s="91"/>
      <c r="JUT181" s="89"/>
      <c r="JUV181" s="91"/>
      <c r="JUY181" s="89"/>
      <c r="JVA181" s="91"/>
      <c r="JVD181" s="89"/>
      <c r="JVF181" s="91"/>
      <c r="JVI181" s="89"/>
      <c r="JVK181" s="91"/>
      <c r="JVN181" s="89"/>
      <c r="JVP181" s="91"/>
      <c r="JVS181" s="89"/>
      <c r="JVU181" s="91"/>
      <c r="JVX181" s="89"/>
      <c r="JVZ181" s="91"/>
      <c r="JWC181" s="89"/>
      <c r="JWE181" s="91"/>
      <c r="JWH181" s="89"/>
      <c r="JWJ181" s="91"/>
      <c r="JWM181" s="89"/>
      <c r="JWO181" s="91"/>
      <c r="JWR181" s="89"/>
      <c r="JWT181" s="91"/>
      <c r="JWW181" s="89"/>
      <c r="JWY181" s="91"/>
      <c r="JXB181" s="89"/>
      <c r="JXD181" s="91"/>
      <c r="JXG181" s="89"/>
      <c r="JXI181" s="91"/>
      <c r="JXL181" s="89"/>
      <c r="JXN181" s="91"/>
      <c r="JXQ181" s="89"/>
      <c r="JXS181" s="91"/>
      <c r="JXV181" s="89"/>
      <c r="JXX181" s="91"/>
      <c r="JYA181" s="89"/>
      <c r="JYC181" s="91"/>
      <c r="JYF181" s="89"/>
      <c r="JYH181" s="91"/>
      <c r="JYK181" s="89"/>
      <c r="JYM181" s="91"/>
      <c r="JYP181" s="89"/>
      <c r="JYR181" s="91"/>
      <c r="JYU181" s="89"/>
      <c r="JYW181" s="91"/>
      <c r="JYZ181" s="89"/>
      <c r="JZB181" s="91"/>
      <c r="JZE181" s="89"/>
      <c r="JZG181" s="91"/>
      <c r="JZJ181" s="89"/>
      <c r="JZL181" s="91"/>
      <c r="JZO181" s="89"/>
      <c r="JZQ181" s="91"/>
      <c r="JZT181" s="89"/>
      <c r="JZV181" s="91"/>
      <c r="JZY181" s="89"/>
      <c r="KAA181" s="91"/>
      <c r="KAD181" s="89"/>
      <c r="KAF181" s="91"/>
      <c r="KAI181" s="89"/>
      <c r="KAK181" s="91"/>
      <c r="KAN181" s="89"/>
      <c r="KAP181" s="91"/>
      <c r="KAS181" s="89"/>
      <c r="KAU181" s="91"/>
      <c r="KAX181" s="89"/>
      <c r="KAZ181" s="91"/>
      <c r="KBC181" s="89"/>
      <c r="KBE181" s="91"/>
      <c r="KBH181" s="89"/>
      <c r="KBJ181" s="91"/>
      <c r="KBM181" s="89"/>
      <c r="KBO181" s="91"/>
      <c r="KBR181" s="89"/>
      <c r="KBT181" s="91"/>
      <c r="KBW181" s="89"/>
      <c r="KBY181" s="91"/>
      <c r="KCB181" s="89"/>
      <c r="KCD181" s="91"/>
      <c r="KCG181" s="89"/>
      <c r="KCI181" s="91"/>
      <c r="KCL181" s="89"/>
      <c r="KCN181" s="91"/>
      <c r="KCQ181" s="89"/>
      <c r="KCS181" s="91"/>
      <c r="KCV181" s="89"/>
      <c r="KCX181" s="91"/>
      <c r="KDA181" s="89"/>
      <c r="KDC181" s="91"/>
      <c r="KDF181" s="89"/>
      <c r="KDH181" s="91"/>
      <c r="KDK181" s="89"/>
      <c r="KDM181" s="91"/>
      <c r="KDP181" s="89"/>
      <c r="KDR181" s="91"/>
      <c r="KDU181" s="89"/>
      <c r="KDW181" s="91"/>
      <c r="KDZ181" s="89"/>
      <c r="KEB181" s="91"/>
      <c r="KEE181" s="89"/>
      <c r="KEG181" s="91"/>
      <c r="KEJ181" s="89"/>
      <c r="KEL181" s="91"/>
      <c r="KEO181" s="89"/>
      <c r="KEQ181" s="91"/>
      <c r="KET181" s="89"/>
      <c r="KEV181" s="91"/>
      <c r="KEY181" s="89"/>
      <c r="KFA181" s="91"/>
      <c r="KFD181" s="89"/>
      <c r="KFF181" s="91"/>
      <c r="KFI181" s="89"/>
      <c r="KFK181" s="91"/>
      <c r="KFN181" s="89"/>
      <c r="KFP181" s="91"/>
      <c r="KFS181" s="89"/>
      <c r="KFU181" s="91"/>
      <c r="KFX181" s="89"/>
      <c r="KFZ181" s="91"/>
      <c r="KGC181" s="89"/>
      <c r="KGE181" s="91"/>
      <c r="KGH181" s="89"/>
      <c r="KGJ181" s="91"/>
      <c r="KGM181" s="89"/>
      <c r="KGO181" s="91"/>
      <c r="KGR181" s="89"/>
      <c r="KGT181" s="91"/>
      <c r="KGW181" s="89"/>
      <c r="KGY181" s="91"/>
      <c r="KHB181" s="89"/>
      <c r="KHD181" s="91"/>
      <c r="KHG181" s="89"/>
      <c r="KHI181" s="91"/>
      <c r="KHL181" s="89"/>
      <c r="KHN181" s="91"/>
      <c r="KHQ181" s="89"/>
      <c r="KHS181" s="91"/>
      <c r="KHV181" s="89"/>
      <c r="KHX181" s="91"/>
      <c r="KIA181" s="89"/>
      <c r="KIC181" s="91"/>
      <c r="KIF181" s="89"/>
      <c r="KIH181" s="91"/>
      <c r="KIK181" s="89"/>
      <c r="KIM181" s="91"/>
      <c r="KIP181" s="89"/>
      <c r="KIR181" s="91"/>
      <c r="KIU181" s="89"/>
      <c r="KIW181" s="91"/>
      <c r="KIZ181" s="89"/>
      <c r="KJB181" s="91"/>
      <c r="KJE181" s="89"/>
      <c r="KJG181" s="91"/>
      <c r="KJJ181" s="89"/>
      <c r="KJL181" s="91"/>
      <c r="KJO181" s="89"/>
      <c r="KJQ181" s="91"/>
      <c r="KJT181" s="89"/>
      <c r="KJV181" s="91"/>
      <c r="KJY181" s="89"/>
      <c r="KKA181" s="91"/>
      <c r="KKD181" s="89"/>
      <c r="KKF181" s="91"/>
      <c r="KKI181" s="89"/>
      <c r="KKK181" s="91"/>
      <c r="KKN181" s="89"/>
      <c r="KKP181" s="91"/>
      <c r="KKS181" s="89"/>
      <c r="KKU181" s="91"/>
      <c r="KKX181" s="89"/>
      <c r="KKZ181" s="91"/>
      <c r="KLC181" s="89"/>
      <c r="KLE181" s="91"/>
      <c r="KLH181" s="89"/>
      <c r="KLJ181" s="91"/>
      <c r="KLM181" s="89"/>
      <c r="KLO181" s="91"/>
      <c r="KLR181" s="89"/>
      <c r="KLT181" s="91"/>
      <c r="KLW181" s="89"/>
      <c r="KLY181" s="91"/>
      <c r="KMB181" s="89"/>
      <c r="KMD181" s="91"/>
      <c r="KMG181" s="89"/>
      <c r="KMI181" s="91"/>
      <c r="KML181" s="89"/>
      <c r="KMN181" s="91"/>
      <c r="KMQ181" s="89"/>
      <c r="KMS181" s="91"/>
      <c r="KMV181" s="89"/>
      <c r="KMX181" s="91"/>
      <c r="KNA181" s="89"/>
      <c r="KNC181" s="91"/>
      <c r="KNF181" s="89"/>
      <c r="KNH181" s="91"/>
      <c r="KNK181" s="89"/>
      <c r="KNM181" s="91"/>
      <c r="KNP181" s="89"/>
      <c r="KNR181" s="91"/>
      <c r="KNU181" s="89"/>
      <c r="KNW181" s="91"/>
      <c r="KNZ181" s="89"/>
      <c r="KOB181" s="91"/>
      <c r="KOE181" s="89"/>
      <c r="KOG181" s="91"/>
      <c r="KOJ181" s="89"/>
      <c r="KOL181" s="91"/>
      <c r="KOO181" s="89"/>
      <c r="KOQ181" s="91"/>
      <c r="KOT181" s="89"/>
      <c r="KOV181" s="91"/>
      <c r="KOY181" s="89"/>
      <c r="KPA181" s="91"/>
      <c r="KPD181" s="89"/>
      <c r="KPF181" s="91"/>
      <c r="KPI181" s="89"/>
      <c r="KPK181" s="91"/>
      <c r="KPN181" s="89"/>
      <c r="KPP181" s="91"/>
      <c r="KPS181" s="89"/>
      <c r="KPU181" s="91"/>
      <c r="KPX181" s="89"/>
      <c r="KPZ181" s="91"/>
      <c r="KQC181" s="89"/>
      <c r="KQE181" s="91"/>
      <c r="KQH181" s="89"/>
      <c r="KQJ181" s="91"/>
      <c r="KQM181" s="89"/>
      <c r="KQO181" s="91"/>
      <c r="KQR181" s="89"/>
      <c r="KQT181" s="91"/>
      <c r="KQW181" s="89"/>
      <c r="KQY181" s="91"/>
      <c r="KRB181" s="89"/>
      <c r="KRD181" s="91"/>
      <c r="KRG181" s="89"/>
      <c r="KRI181" s="91"/>
      <c r="KRL181" s="89"/>
      <c r="KRN181" s="91"/>
      <c r="KRQ181" s="89"/>
      <c r="KRS181" s="91"/>
      <c r="KRV181" s="89"/>
      <c r="KRX181" s="91"/>
      <c r="KSA181" s="89"/>
      <c r="KSC181" s="91"/>
      <c r="KSF181" s="89"/>
      <c r="KSH181" s="91"/>
      <c r="KSK181" s="89"/>
      <c r="KSM181" s="91"/>
      <c r="KSP181" s="89"/>
      <c r="KSR181" s="91"/>
      <c r="KSU181" s="89"/>
      <c r="KSW181" s="91"/>
      <c r="KSZ181" s="89"/>
      <c r="KTB181" s="91"/>
      <c r="KTE181" s="89"/>
      <c r="KTG181" s="91"/>
      <c r="KTJ181" s="89"/>
      <c r="KTL181" s="91"/>
      <c r="KTO181" s="89"/>
      <c r="KTQ181" s="91"/>
      <c r="KTT181" s="89"/>
      <c r="KTV181" s="91"/>
      <c r="KTY181" s="89"/>
      <c r="KUA181" s="91"/>
      <c r="KUD181" s="89"/>
      <c r="KUF181" s="91"/>
      <c r="KUI181" s="89"/>
      <c r="KUK181" s="91"/>
      <c r="KUN181" s="89"/>
      <c r="KUP181" s="91"/>
      <c r="KUS181" s="89"/>
      <c r="KUU181" s="91"/>
      <c r="KUX181" s="89"/>
      <c r="KUZ181" s="91"/>
      <c r="KVC181" s="89"/>
      <c r="KVE181" s="91"/>
      <c r="KVH181" s="89"/>
      <c r="KVJ181" s="91"/>
      <c r="KVM181" s="89"/>
      <c r="KVO181" s="91"/>
      <c r="KVR181" s="89"/>
      <c r="KVT181" s="91"/>
      <c r="KVW181" s="89"/>
      <c r="KVY181" s="91"/>
      <c r="KWB181" s="89"/>
      <c r="KWD181" s="91"/>
      <c r="KWG181" s="89"/>
      <c r="KWI181" s="91"/>
      <c r="KWL181" s="89"/>
      <c r="KWN181" s="91"/>
      <c r="KWQ181" s="89"/>
      <c r="KWS181" s="91"/>
      <c r="KWV181" s="89"/>
      <c r="KWX181" s="91"/>
      <c r="KXA181" s="89"/>
      <c r="KXC181" s="91"/>
      <c r="KXF181" s="89"/>
      <c r="KXH181" s="91"/>
      <c r="KXK181" s="89"/>
      <c r="KXM181" s="91"/>
      <c r="KXP181" s="89"/>
      <c r="KXR181" s="91"/>
      <c r="KXU181" s="89"/>
      <c r="KXW181" s="91"/>
      <c r="KXZ181" s="89"/>
      <c r="KYB181" s="91"/>
      <c r="KYE181" s="89"/>
      <c r="KYG181" s="91"/>
      <c r="KYJ181" s="89"/>
      <c r="KYL181" s="91"/>
      <c r="KYO181" s="89"/>
      <c r="KYQ181" s="91"/>
      <c r="KYT181" s="89"/>
      <c r="KYV181" s="91"/>
      <c r="KYY181" s="89"/>
      <c r="KZA181" s="91"/>
      <c r="KZD181" s="89"/>
      <c r="KZF181" s="91"/>
      <c r="KZI181" s="89"/>
      <c r="KZK181" s="91"/>
      <c r="KZN181" s="89"/>
      <c r="KZP181" s="91"/>
      <c r="KZS181" s="89"/>
      <c r="KZU181" s="91"/>
      <c r="KZX181" s="89"/>
      <c r="KZZ181" s="91"/>
      <c r="LAC181" s="89"/>
      <c r="LAE181" s="91"/>
      <c r="LAH181" s="89"/>
      <c r="LAJ181" s="91"/>
      <c r="LAM181" s="89"/>
      <c r="LAO181" s="91"/>
      <c r="LAR181" s="89"/>
      <c r="LAT181" s="91"/>
      <c r="LAW181" s="89"/>
      <c r="LAY181" s="91"/>
      <c r="LBB181" s="89"/>
      <c r="LBD181" s="91"/>
      <c r="LBG181" s="89"/>
      <c r="LBI181" s="91"/>
      <c r="LBL181" s="89"/>
      <c r="LBN181" s="91"/>
      <c r="LBQ181" s="89"/>
      <c r="LBS181" s="91"/>
      <c r="LBV181" s="89"/>
      <c r="LBX181" s="91"/>
      <c r="LCA181" s="89"/>
      <c r="LCC181" s="91"/>
      <c r="LCF181" s="89"/>
      <c r="LCH181" s="91"/>
      <c r="LCK181" s="89"/>
      <c r="LCM181" s="91"/>
      <c r="LCP181" s="89"/>
      <c r="LCR181" s="91"/>
      <c r="LCU181" s="89"/>
      <c r="LCW181" s="91"/>
      <c r="LCZ181" s="89"/>
      <c r="LDB181" s="91"/>
      <c r="LDE181" s="89"/>
      <c r="LDG181" s="91"/>
      <c r="LDJ181" s="89"/>
      <c r="LDL181" s="91"/>
      <c r="LDO181" s="89"/>
      <c r="LDQ181" s="91"/>
      <c r="LDT181" s="89"/>
      <c r="LDV181" s="91"/>
      <c r="LDY181" s="89"/>
      <c r="LEA181" s="91"/>
      <c r="LED181" s="89"/>
      <c r="LEF181" s="91"/>
      <c r="LEI181" s="89"/>
      <c r="LEK181" s="91"/>
      <c r="LEN181" s="89"/>
      <c r="LEP181" s="91"/>
      <c r="LES181" s="89"/>
      <c r="LEU181" s="91"/>
      <c r="LEX181" s="89"/>
      <c r="LEZ181" s="91"/>
      <c r="LFC181" s="89"/>
      <c r="LFE181" s="91"/>
      <c r="LFH181" s="89"/>
      <c r="LFJ181" s="91"/>
      <c r="LFM181" s="89"/>
      <c r="LFO181" s="91"/>
      <c r="LFR181" s="89"/>
      <c r="LFT181" s="91"/>
      <c r="LFW181" s="89"/>
      <c r="LFY181" s="91"/>
      <c r="LGB181" s="89"/>
      <c r="LGD181" s="91"/>
      <c r="LGG181" s="89"/>
      <c r="LGI181" s="91"/>
      <c r="LGL181" s="89"/>
      <c r="LGN181" s="91"/>
      <c r="LGQ181" s="89"/>
      <c r="LGS181" s="91"/>
      <c r="LGV181" s="89"/>
      <c r="LGX181" s="91"/>
      <c r="LHA181" s="89"/>
      <c r="LHC181" s="91"/>
      <c r="LHF181" s="89"/>
      <c r="LHH181" s="91"/>
      <c r="LHK181" s="89"/>
      <c r="LHM181" s="91"/>
      <c r="LHP181" s="89"/>
      <c r="LHR181" s="91"/>
      <c r="LHU181" s="89"/>
      <c r="LHW181" s="91"/>
      <c r="LHZ181" s="89"/>
      <c r="LIB181" s="91"/>
      <c r="LIE181" s="89"/>
      <c r="LIG181" s="91"/>
      <c r="LIJ181" s="89"/>
      <c r="LIL181" s="91"/>
      <c r="LIO181" s="89"/>
      <c r="LIQ181" s="91"/>
      <c r="LIT181" s="89"/>
      <c r="LIV181" s="91"/>
      <c r="LIY181" s="89"/>
      <c r="LJA181" s="91"/>
      <c r="LJD181" s="89"/>
      <c r="LJF181" s="91"/>
      <c r="LJI181" s="89"/>
      <c r="LJK181" s="91"/>
      <c r="LJN181" s="89"/>
      <c r="LJP181" s="91"/>
      <c r="LJS181" s="89"/>
      <c r="LJU181" s="91"/>
      <c r="LJX181" s="89"/>
      <c r="LJZ181" s="91"/>
      <c r="LKC181" s="89"/>
      <c r="LKE181" s="91"/>
      <c r="LKH181" s="89"/>
      <c r="LKJ181" s="91"/>
      <c r="LKM181" s="89"/>
      <c r="LKO181" s="91"/>
      <c r="LKR181" s="89"/>
      <c r="LKT181" s="91"/>
      <c r="LKW181" s="89"/>
      <c r="LKY181" s="91"/>
      <c r="LLB181" s="89"/>
      <c r="LLD181" s="91"/>
      <c r="LLG181" s="89"/>
      <c r="LLI181" s="91"/>
      <c r="LLL181" s="89"/>
      <c r="LLN181" s="91"/>
      <c r="LLQ181" s="89"/>
      <c r="LLS181" s="91"/>
      <c r="LLV181" s="89"/>
      <c r="LLX181" s="91"/>
      <c r="LMA181" s="89"/>
      <c r="LMC181" s="91"/>
      <c r="LMF181" s="89"/>
      <c r="LMH181" s="91"/>
      <c r="LMK181" s="89"/>
      <c r="LMM181" s="91"/>
      <c r="LMP181" s="89"/>
      <c r="LMR181" s="91"/>
      <c r="LMU181" s="89"/>
      <c r="LMW181" s="91"/>
      <c r="LMZ181" s="89"/>
      <c r="LNB181" s="91"/>
      <c r="LNE181" s="89"/>
      <c r="LNG181" s="91"/>
      <c r="LNJ181" s="89"/>
      <c r="LNL181" s="91"/>
      <c r="LNO181" s="89"/>
      <c r="LNQ181" s="91"/>
      <c r="LNT181" s="89"/>
      <c r="LNV181" s="91"/>
      <c r="LNY181" s="89"/>
      <c r="LOA181" s="91"/>
      <c r="LOD181" s="89"/>
      <c r="LOF181" s="91"/>
      <c r="LOI181" s="89"/>
      <c r="LOK181" s="91"/>
      <c r="LON181" s="89"/>
      <c r="LOP181" s="91"/>
      <c r="LOS181" s="89"/>
      <c r="LOU181" s="91"/>
      <c r="LOX181" s="89"/>
      <c r="LOZ181" s="91"/>
      <c r="LPC181" s="89"/>
      <c r="LPE181" s="91"/>
      <c r="LPH181" s="89"/>
      <c r="LPJ181" s="91"/>
      <c r="LPM181" s="89"/>
      <c r="LPO181" s="91"/>
      <c r="LPR181" s="89"/>
      <c r="LPT181" s="91"/>
      <c r="LPW181" s="89"/>
      <c r="LPY181" s="91"/>
      <c r="LQB181" s="89"/>
      <c r="LQD181" s="91"/>
      <c r="LQG181" s="89"/>
      <c r="LQI181" s="91"/>
      <c r="LQL181" s="89"/>
      <c r="LQN181" s="91"/>
      <c r="LQQ181" s="89"/>
      <c r="LQS181" s="91"/>
      <c r="LQV181" s="89"/>
      <c r="LQX181" s="91"/>
      <c r="LRA181" s="89"/>
      <c r="LRC181" s="91"/>
      <c r="LRF181" s="89"/>
      <c r="LRH181" s="91"/>
      <c r="LRK181" s="89"/>
      <c r="LRM181" s="91"/>
      <c r="LRP181" s="89"/>
      <c r="LRR181" s="91"/>
      <c r="LRU181" s="89"/>
      <c r="LRW181" s="91"/>
      <c r="LRZ181" s="89"/>
      <c r="LSB181" s="91"/>
      <c r="LSE181" s="89"/>
      <c r="LSG181" s="91"/>
      <c r="LSJ181" s="89"/>
      <c r="LSL181" s="91"/>
      <c r="LSO181" s="89"/>
      <c r="LSQ181" s="91"/>
      <c r="LST181" s="89"/>
      <c r="LSV181" s="91"/>
      <c r="LSY181" s="89"/>
      <c r="LTA181" s="91"/>
      <c r="LTD181" s="89"/>
      <c r="LTF181" s="91"/>
      <c r="LTI181" s="89"/>
      <c r="LTK181" s="91"/>
      <c r="LTN181" s="89"/>
      <c r="LTP181" s="91"/>
      <c r="LTS181" s="89"/>
      <c r="LTU181" s="91"/>
      <c r="LTX181" s="89"/>
      <c r="LTZ181" s="91"/>
      <c r="LUC181" s="89"/>
      <c r="LUE181" s="91"/>
      <c r="LUH181" s="89"/>
      <c r="LUJ181" s="91"/>
      <c r="LUM181" s="89"/>
      <c r="LUO181" s="91"/>
      <c r="LUR181" s="89"/>
      <c r="LUT181" s="91"/>
      <c r="LUW181" s="89"/>
      <c r="LUY181" s="91"/>
      <c r="LVB181" s="89"/>
      <c r="LVD181" s="91"/>
      <c r="LVG181" s="89"/>
      <c r="LVI181" s="91"/>
      <c r="LVL181" s="89"/>
      <c r="LVN181" s="91"/>
      <c r="LVQ181" s="89"/>
      <c r="LVS181" s="91"/>
      <c r="LVV181" s="89"/>
      <c r="LVX181" s="91"/>
      <c r="LWA181" s="89"/>
      <c r="LWC181" s="91"/>
      <c r="LWF181" s="89"/>
      <c r="LWH181" s="91"/>
      <c r="LWK181" s="89"/>
      <c r="LWM181" s="91"/>
      <c r="LWP181" s="89"/>
      <c r="LWR181" s="91"/>
      <c r="LWU181" s="89"/>
      <c r="LWW181" s="91"/>
      <c r="LWZ181" s="89"/>
      <c r="LXB181" s="91"/>
      <c r="LXE181" s="89"/>
      <c r="LXG181" s="91"/>
      <c r="LXJ181" s="89"/>
      <c r="LXL181" s="91"/>
      <c r="LXO181" s="89"/>
      <c r="LXQ181" s="91"/>
      <c r="LXT181" s="89"/>
      <c r="LXV181" s="91"/>
      <c r="LXY181" s="89"/>
      <c r="LYA181" s="91"/>
      <c r="LYD181" s="89"/>
      <c r="LYF181" s="91"/>
      <c r="LYI181" s="89"/>
      <c r="LYK181" s="91"/>
      <c r="LYN181" s="89"/>
      <c r="LYP181" s="91"/>
      <c r="LYS181" s="89"/>
      <c r="LYU181" s="91"/>
      <c r="LYX181" s="89"/>
      <c r="LYZ181" s="91"/>
      <c r="LZC181" s="89"/>
      <c r="LZE181" s="91"/>
      <c r="LZH181" s="89"/>
      <c r="LZJ181" s="91"/>
      <c r="LZM181" s="89"/>
      <c r="LZO181" s="91"/>
      <c r="LZR181" s="89"/>
      <c r="LZT181" s="91"/>
      <c r="LZW181" s="89"/>
      <c r="LZY181" s="91"/>
      <c r="MAB181" s="89"/>
      <c r="MAD181" s="91"/>
      <c r="MAG181" s="89"/>
      <c r="MAI181" s="91"/>
      <c r="MAL181" s="89"/>
      <c r="MAN181" s="91"/>
      <c r="MAQ181" s="89"/>
      <c r="MAS181" s="91"/>
      <c r="MAV181" s="89"/>
      <c r="MAX181" s="91"/>
      <c r="MBA181" s="89"/>
      <c r="MBC181" s="91"/>
      <c r="MBF181" s="89"/>
      <c r="MBH181" s="91"/>
      <c r="MBK181" s="89"/>
      <c r="MBM181" s="91"/>
      <c r="MBP181" s="89"/>
      <c r="MBR181" s="91"/>
      <c r="MBU181" s="89"/>
      <c r="MBW181" s="91"/>
      <c r="MBZ181" s="89"/>
      <c r="MCB181" s="91"/>
      <c r="MCE181" s="89"/>
      <c r="MCG181" s="91"/>
      <c r="MCJ181" s="89"/>
      <c r="MCL181" s="91"/>
      <c r="MCO181" s="89"/>
      <c r="MCQ181" s="91"/>
      <c r="MCT181" s="89"/>
      <c r="MCV181" s="91"/>
      <c r="MCY181" s="89"/>
      <c r="MDA181" s="91"/>
      <c r="MDD181" s="89"/>
      <c r="MDF181" s="91"/>
      <c r="MDI181" s="89"/>
      <c r="MDK181" s="91"/>
      <c r="MDN181" s="89"/>
      <c r="MDP181" s="91"/>
      <c r="MDS181" s="89"/>
      <c r="MDU181" s="91"/>
      <c r="MDX181" s="89"/>
      <c r="MDZ181" s="91"/>
      <c r="MEC181" s="89"/>
      <c r="MEE181" s="91"/>
      <c r="MEH181" s="89"/>
      <c r="MEJ181" s="91"/>
      <c r="MEM181" s="89"/>
      <c r="MEO181" s="91"/>
      <c r="MER181" s="89"/>
      <c r="MET181" s="91"/>
      <c r="MEW181" s="89"/>
      <c r="MEY181" s="91"/>
      <c r="MFB181" s="89"/>
      <c r="MFD181" s="91"/>
      <c r="MFG181" s="89"/>
      <c r="MFI181" s="91"/>
      <c r="MFL181" s="89"/>
      <c r="MFN181" s="91"/>
      <c r="MFQ181" s="89"/>
      <c r="MFS181" s="91"/>
      <c r="MFV181" s="89"/>
      <c r="MFX181" s="91"/>
      <c r="MGA181" s="89"/>
      <c r="MGC181" s="91"/>
      <c r="MGF181" s="89"/>
      <c r="MGH181" s="91"/>
      <c r="MGK181" s="89"/>
      <c r="MGM181" s="91"/>
      <c r="MGP181" s="89"/>
      <c r="MGR181" s="91"/>
      <c r="MGU181" s="89"/>
      <c r="MGW181" s="91"/>
      <c r="MGZ181" s="89"/>
      <c r="MHB181" s="91"/>
      <c r="MHE181" s="89"/>
      <c r="MHG181" s="91"/>
      <c r="MHJ181" s="89"/>
      <c r="MHL181" s="91"/>
      <c r="MHO181" s="89"/>
      <c r="MHQ181" s="91"/>
      <c r="MHT181" s="89"/>
      <c r="MHV181" s="91"/>
      <c r="MHY181" s="89"/>
      <c r="MIA181" s="91"/>
      <c r="MID181" s="89"/>
      <c r="MIF181" s="91"/>
      <c r="MII181" s="89"/>
      <c r="MIK181" s="91"/>
      <c r="MIN181" s="89"/>
      <c r="MIP181" s="91"/>
      <c r="MIS181" s="89"/>
      <c r="MIU181" s="91"/>
      <c r="MIX181" s="89"/>
      <c r="MIZ181" s="91"/>
      <c r="MJC181" s="89"/>
      <c r="MJE181" s="91"/>
      <c r="MJH181" s="89"/>
      <c r="MJJ181" s="91"/>
      <c r="MJM181" s="89"/>
      <c r="MJO181" s="91"/>
      <c r="MJR181" s="89"/>
      <c r="MJT181" s="91"/>
      <c r="MJW181" s="89"/>
      <c r="MJY181" s="91"/>
      <c r="MKB181" s="89"/>
      <c r="MKD181" s="91"/>
      <c r="MKG181" s="89"/>
      <c r="MKI181" s="91"/>
      <c r="MKL181" s="89"/>
      <c r="MKN181" s="91"/>
      <c r="MKQ181" s="89"/>
      <c r="MKS181" s="91"/>
      <c r="MKV181" s="89"/>
      <c r="MKX181" s="91"/>
      <c r="MLA181" s="89"/>
      <c r="MLC181" s="91"/>
      <c r="MLF181" s="89"/>
      <c r="MLH181" s="91"/>
      <c r="MLK181" s="89"/>
      <c r="MLM181" s="91"/>
      <c r="MLP181" s="89"/>
      <c r="MLR181" s="91"/>
      <c r="MLU181" s="89"/>
      <c r="MLW181" s="91"/>
      <c r="MLZ181" s="89"/>
      <c r="MMB181" s="91"/>
      <c r="MME181" s="89"/>
      <c r="MMG181" s="91"/>
      <c r="MMJ181" s="89"/>
      <c r="MML181" s="91"/>
      <c r="MMO181" s="89"/>
      <c r="MMQ181" s="91"/>
      <c r="MMT181" s="89"/>
      <c r="MMV181" s="91"/>
      <c r="MMY181" s="89"/>
      <c r="MNA181" s="91"/>
      <c r="MND181" s="89"/>
      <c r="MNF181" s="91"/>
      <c r="MNI181" s="89"/>
      <c r="MNK181" s="91"/>
      <c r="MNN181" s="89"/>
      <c r="MNP181" s="91"/>
      <c r="MNS181" s="89"/>
      <c r="MNU181" s="91"/>
      <c r="MNX181" s="89"/>
      <c r="MNZ181" s="91"/>
      <c r="MOC181" s="89"/>
      <c r="MOE181" s="91"/>
      <c r="MOH181" s="89"/>
      <c r="MOJ181" s="91"/>
      <c r="MOM181" s="89"/>
      <c r="MOO181" s="91"/>
      <c r="MOR181" s="89"/>
      <c r="MOT181" s="91"/>
      <c r="MOW181" s="89"/>
      <c r="MOY181" s="91"/>
      <c r="MPB181" s="89"/>
      <c r="MPD181" s="91"/>
      <c r="MPG181" s="89"/>
      <c r="MPI181" s="91"/>
      <c r="MPL181" s="89"/>
      <c r="MPN181" s="91"/>
      <c r="MPQ181" s="89"/>
      <c r="MPS181" s="91"/>
      <c r="MPV181" s="89"/>
      <c r="MPX181" s="91"/>
      <c r="MQA181" s="89"/>
      <c r="MQC181" s="91"/>
      <c r="MQF181" s="89"/>
      <c r="MQH181" s="91"/>
      <c r="MQK181" s="89"/>
      <c r="MQM181" s="91"/>
      <c r="MQP181" s="89"/>
      <c r="MQR181" s="91"/>
      <c r="MQU181" s="89"/>
      <c r="MQW181" s="91"/>
      <c r="MQZ181" s="89"/>
      <c r="MRB181" s="91"/>
      <c r="MRE181" s="89"/>
      <c r="MRG181" s="91"/>
      <c r="MRJ181" s="89"/>
      <c r="MRL181" s="91"/>
      <c r="MRO181" s="89"/>
      <c r="MRQ181" s="91"/>
      <c r="MRT181" s="89"/>
      <c r="MRV181" s="91"/>
      <c r="MRY181" s="89"/>
      <c r="MSA181" s="91"/>
      <c r="MSD181" s="89"/>
      <c r="MSF181" s="91"/>
      <c r="MSI181" s="89"/>
      <c r="MSK181" s="91"/>
      <c r="MSN181" s="89"/>
      <c r="MSP181" s="91"/>
      <c r="MSS181" s="89"/>
      <c r="MSU181" s="91"/>
      <c r="MSX181" s="89"/>
      <c r="MSZ181" s="91"/>
      <c r="MTC181" s="89"/>
      <c r="MTE181" s="91"/>
      <c r="MTH181" s="89"/>
      <c r="MTJ181" s="91"/>
      <c r="MTM181" s="89"/>
      <c r="MTO181" s="91"/>
      <c r="MTR181" s="89"/>
      <c r="MTT181" s="91"/>
      <c r="MTW181" s="89"/>
      <c r="MTY181" s="91"/>
      <c r="MUB181" s="89"/>
      <c r="MUD181" s="91"/>
      <c r="MUG181" s="89"/>
      <c r="MUI181" s="91"/>
      <c r="MUL181" s="89"/>
      <c r="MUN181" s="91"/>
      <c r="MUQ181" s="89"/>
      <c r="MUS181" s="91"/>
      <c r="MUV181" s="89"/>
      <c r="MUX181" s="91"/>
      <c r="MVA181" s="89"/>
      <c r="MVC181" s="91"/>
      <c r="MVF181" s="89"/>
      <c r="MVH181" s="91"/>
      <c r="MVK181" s="89"/>
      <c r="MVM181" s="91"/>
      <c r="MVP181" s="89"/>
      <c r="MVR181" s="91"/>
      <c r="MVU181" s="89"/>
      <c r="MVW181" s="91"/>
      <c r="MVZ181" s="89"/>
      <c r="MWB181" s="91"/>
      <c r="MWE181" s="89"/>
      <c r="MWG181" s="91"/>
      <c r="MWJ181" s="89"/>
      <c r="MWL181" s="91"/>
      <c r="MWO181" s="89"/>
      <c r="MWQ181" s="91"/>
      <c r="MWT181" s="89"/>
      <c r="MWV181" s="91"/>
      <c r="MWY181" s="89"/>
      <c r="MXA181" s="91"/>
      <c r="MXD181" s="89"/>
      <c r="MXF181" s="91"/>
      <c r="MXI181" s="89"/>
      <c r="MXK181" s="91"/>
      <c r="MXN181" s="89"/>
      <c r="MXP181" s="91"/>
      <c r="MXS181" s="89"/>
      <c r="MXU181" s="91"/>
      <c r="MXX181" s="89"/>
      <c r="MXZ181" s="91"/>
      <c r="MYC181" s="89"/>
      <c r="MYE181" s="91"/>
      <c r="MYH181" s="89"/>
      <c r="MYJ181" s="91"/>
      <c r="MYM181" s="89"/>
      <c r="MYO181" s="91"/>
      <c r="MYR181" s="89"/>
      <c r="MYT181" s="91"/>
      <c r="MYW181" s="89"/>
      <c r="MYY181" s="91"/>
      <c r="MZB181" s="89"/>
      <c r="MZD181" s="91"/>
      <c r="MZG181" s="89"/>
      <c r="MZI181" s="91"/>
      <c r="MZL181" s="89"/>
      <c r="MZN181" s="91"/>
      <c r="MZQ181" s="89"/>
      <c r="MZS181" s="91"/>
      <c r="MZV181" s="89"/>
      <c r="MZX181" s="91"/>
      <c r="NAA181" s="89"/>
      <c r="NAC181" s="91"/>
      <c r="NAF181" s="89"/>
      <c r="NAH181" s="91"/>
      <c r="NAK181" s="89"/>
      <c r="NAM181" s="91"/>
      <c r="NAP181" s="89"/>
      <c r="NAR181" s="91"/>
      <c r="NAU181" s="89"/>
      <c r="NAW181" s="91"/>
      <c r="NAZ181" s="89"/>
      <c r="NBB181" s="91"/>
      <c r="NBE181" s="89"/>
      <c r="NBG181" s="91"/>
      <c r="NBJ181" s="89"/>
      <c r="NBL181" s="91"/>
      <c r="NBO181" s="89"/>
      <c r="NBQ181" s="91"/>
      <c r="NBT181" s="89"/>
      <c r="NBV181" s="91"/>
      <c r="NBY181" s="89"/>
      <c r="NCA181" s="91"/>
      <c r="NCD181" s="89"/>
      <c r="NCF181" s="91"/>
      <c r="NCI181" s="89"/>
      <c r="NCK181" s="91"/>
      <c r="NCN181" s="89"/>
      <c r="NCP181" s="91"/>
      <c r="NCS181" s="89"/>
      <c r="NCU181" s="91"/>
      <c r="NCX181" s="89"/>
      <c r="NCZ181" s="91"/>
      <c r="NDC181" s="89"/>
      <c r="NDE181" s="91"/>
      <c r="NDH181" s="89"/>
      <c r="NDJ181" s="91"/>
      <c r="NDM181" s="89"/>
      <c r="NDO181" s="91"/>
      <c r="NDR181" s="89"/>
      <c r="NDT181" s="91"/>
      <c r="NDW181" s="89"/>
      <c r="NDY181" s="91"/>
      <c r="NEB181" s="89"/>
      <c r="NED181" s="91"/>
      <c r="NEG181" s="89"/>
      <c r="NEI181" s="91"/>
      <c r="NEL181" s="89"/>
      <c r="NEN181" s="91"/>
      <c r="NEQ181" s="89"/>
      <c r="NES181" s="91"/>
      <c r="NEV181" s="89"/>
      <c r="NEX181" s="91"/>
      <c r="NFA181" s="89"/>
      <c r="NFC181" s="91"/>
      <c r="NFF181" s="89"/>
      <c r="NFH181" s="91"/>
      <c r="NFK181" s="89"/>
      <c r="NFM181" s="91"/>
      <c r="NFP181" s="89"/>
      <c r="NFR181" s="91"/>
      <c r="NFU181" s="89"/>
      <c r="NFW181" s="91"/>
      <c r="NFZ181" s="89"/>
      <c r="NGB181" s="91"/>
      <c r="NGE181" s="89"/>
      <c r="NGG181" s="91"/>
      <c r="NGJ181" s="89"/>
      <c r="NGL181" s="91"/>
      <c r="NGO181" s="89"/>
      <c r="NGQ181" s="91"/>
      <c r="NGT181" s="89"/>
      <c r="NGV181" s="91"/>
      <c r="NGY181" s="89"/>
      <c r="NHA181" s="91"/>
      <c r="NHD181" s="89"/>
      <c r="NHF181" s="91"/>
      <c r="NHI181" s="89"/>
      <c r="NHK181" s="91"/>
      <c r="NHN181" s="89"/>
      <c r="NHP181" s="91"/>
      <c r="NHS181" s="89"/>
      <c r="NHU181" s="91"/>
      <c r="NHX181" s="89"/>
      <c r="NHZ181" s="91"/>
      <c r="NIC181" s="89"/>
      <c r="NIE181" s="91"/>
      <c r="NIH181" s="89"/>
      <c r="NIJ181" s="91"/>
      <c r="NIM181" s="89"/>
      <c r="NIO181" s="91"/>
      <c r="NIR181" s="89"/>
      <c r="NIT181" s="91"/>
      <c r="NIW181" s="89"/>
      <c r="NIY181" s="91"/>
      <c r="NJB181" s="89"/>
      <c r="NJD181" s="91"/>
      <c r="NJG181" s="89"/>
      <c r="NJI181" s="91"/>
      <c r="NJL181" s="89"/>
      <c r="NJN181" s="91"/>
      <c r="NJQ181" s="89"/>
      <c r="NJS181" s="91"/>
      <c r="NJV181" s="89"/>
      <c r="NJX181" s="91"/>
      <c r="NKA181" s="89"/>
      <c r="NKC181" s="91"/>
      <c r="NKF181" s="89"/>
      <c r="NKH181" s="91"/>
      <c r="NKK181" s="89"/>
      <c r="NKM181" s="91"/>
      <c r="NKP181" s="89"/>
      <c r="NKR181" s="91"/>
      <c r="NKU181" s="89"/>
      <c r="NKW181" s="91"/>
      <c r="NKZ181" s="89"/>
      <c r="NLB181" s="91"/>
      <c r="NLE181" s="89"/>
      <c r="NLG181" s="91"/>
      <c r="NLJ181" s="89"/>
      <c r="NLL181" s="91"/>
      <c r="NLO181" s="89"/>
      <c r="NLQ181" s="91"/>
      <c r="NLT181" s="89"/>
      <c r="NLV181" s="91"/>
      <c r="NLY181" s="89"/>
      <c r="NMA181" s="91"/>
      <c r="NMD181" s="89"/>
      <c r="NMF181" s="91"/>
      <c r="NMI181" s="89"/>
      <c r="NMK181" s="91"/>
      <c r="NMN181" s="89"/>
      <c r="NMP181" s="91"/>
      <c r="NMS181" s="89"/>
      <c r="NMU181" s="91"/>
      <c r="NMX181" s="89"/>
      <c r="NMZ181" s="91"/>
      <c r="NNC181" s="89"/>
      <c r="NNE181" s="91"/>
      <c r="NNH181" s="89"/>
      <c r="NNJ181" s="91"/>
      <c r="NNM181" s="89"/>
      <c r="NNO181" s="91"/>
      <c r="NNR181" s="89"/>
      <c r="NNT181" s="91"/>
      <c r="NNW181" s="89"/>
      <c r="NNY181" s="91"/>
      <c r="NOB181" s="89"/>
      <c r="NOD181" s="91"/>
      <c r="NOG181" s="89"/>
      <c r="NOI181" s="91"/>
      <c r="NOL181" s="89"/>
      <c r="NON181" s="91"/>
      <c r="NOQ181" s="89"/>
      <c r="NOS181" s="91"/>
      <c r="NOV181" s="89"/>
      <c r="NOX181" s="91"/>
      <c r="NPA181" s="89"/>
      <c r="NPC181" s="91"/>
      <c r="NPF181" s="89"/>
      <c r="NPH181" s="91"/>
      <c r="NPK181" s="89"/>
      <c r="NPM181" s="91"/>
      <c r="NPP181" s="89"/>
      <c r="NPR181" s="91"/>
      <c r="NPU181" s="89"/>
      <c r="NPW181" s="91"/>
      <c r="NPZ181" s="89"/>
      <c r="NQB181" s="91"/>
      <c r="NQE181" s="89"/>
      <c r="NQG181" s="91"/>
      <c r="NQJ181" s="89"/>
      <c r="NQL181" s="91"/>
      <c r="NQO181" s="89"/>
      <c r="NQQ181" s="91"/>
      <c r="NQT181" s="89"/>
      <c r="NQV181" s="91"/>
      <c r="NQY181" s="89"/>
      <c r="NRA181" s="91"/>
      <c r="NRD181" s="89"/>
      <c r="NRF181" s="91"/>
      <c r="NRI181" s="89"/>
      <c r="NRK181" s="91"/>
      <c r="NRN181" s="89"/>
      <c r="NRP181" s="91"/>
      <c r="NRS181" s="89"/>
      <c r="NRU181" s="91"/>
      <c r="NRX181" s="89"/>
      <c r="NRZ181" s="91"/>
      <c r="NSC181" s="89"/>
      <c r="NSE181" s="91"/>
      <c r="NSH181" s="89"/>
      <c r="NSJ181" s="91"/>
      <c r="NSM181" s="89"/>
      <c r="NSO181" s="91"/>
      <c r="NSR181" s="89"/>
      <c r="NST181" s="91"/>
      <c r="NSW181" s="89"/>
      <c r="NSY181" s="91"/>
      <c r="NTB181" s="89"/>
      <c r="NTD181" s="91"/>
      <c r="NTG181" s="89"/>
      <c r="NTI181" s="91"/>
      <c r="NTL181" s="89"/>
      <c r="NTN181" s="91"/>
      <c r="NTQ181" s="89"/>
      <c r="NTS181" s="91"/>
      <c r="NTV181" s="89"/>
      <c r="NTX181" s="91"/>
      <c r="NUA181" s="89"/>
      <c r="NUC181" s="91"/>
      <c r="NUF181" s="89"/>
      <c r="NUH181" s="91"/>
      <c r="NUK181" s="89"/>
      <c r="NUM181" s="91"/>
      <c r="NUP181" s="89"/>
      <c r="NUR181" s="91"/>
      <c r="NUU181" s="89"/>
      <c r="NUW181" s="91"/>
      <c r="NUZ181" s="89"/>
      <c r="NVB181" s="91"/>
      <c r="NVE181" s="89"/>
      <c r="NVG181" s="91"/>
      <c r="NVJ181" s="89"/>
      <c r="NVL181" s="91"/>
      <c r="NVO181" s="89"/>
      <c r="NVQ181" s="91"/>
      <c r="NVT181" s="89"/>
      <c r="NVV181" s="91"/>
      <c r="NVY181" s="89"/>
      <c r="NWA181" s="91"/>
      <c r="NWD181" s="89"/>
      <c r="NWF181" s="91"/>
      <c r="NWI181" s="89"/>
      <c r="NWK181" s="91"/>
      <c r="NWN181" s="89"/>
      <c r="NWP181" s="91"/>
      <c r="NWS181" s="89"/>
      <c r="NWU181" s="91"/>
      <c r="NWX181" s="89"/>
      <c r="NWZ181" s="91"/>
      <c r="NXC181" s="89"/>
      <c r="NXE181" s="91"/>
      <c r="NXH181" s="89"/>
      <c r="NXJ181" s="91"/>
      <c r="NXM181" s="89"/>
      <c r="NXO181" s="91"/>
      <c r="NXR181" s="89"/>
      <c r="NXT181" s="91"/>
      <c r="NXW181" s="89"/>
      <c r="NXY181" s="91"/>
      <c r="NYB181" s="89"/>
      <c r="NYD181" s="91"/>
      <c r="NYG181" s="89"/>
      <c r="NYI181" s="91"/>
      <c r="NYL181" s="89"/>
      <c r="NYN181" s="91"/>
      <c r="NYQ181" s="89"/>
      <c r="NYS181" s="91"/>
      <c r="NYV181" s="89"/>
      <c r="NYX181" s="91"/>
      <c r="NZA181" s="89"/>
      <c r="NZC181" s="91"/>
      <c r="NZF181" s="89"/>
      <c r="NZH181" s="91"/>
      <c r="NZK181" s="89"/>
      <c r="NZM181" s="91"/>
      <c r="NZP181" s="89"/>
      <c r="NZR181" s="91"/>
      <c r="NZU181" s="89"/>
      <c r="NZW181" s="91"/>
      <c r="NZZ181" s="89"/>
      <c r="OAB181" s="91"/>
      <c r="OAE181" s="89"/>
      <c r="OAG181" s="91"/>
      <c r="OAJ181" s="89"/>
      <c r="OAL181" s="91"/>
      <c r="OAO181" s="89"/>
      <c r="OAQ181" s="91"/>
      <c r="OAT181" s="89"/>
      <c r="OAV181" s="91"/>
      <c r="OAY181" s="89"/>
      <c r="OBA181" s="91"/>
      <c r="OBD181" s="89"/>
      <c r="OBF181" s="91"/>
      <c r="OBI181" s="89"/>
      <c r="OBK181" s="91"/>
      <c r="OBN181" s="89"/>
      <c r="OBP181" s="91"/>
      <c r="OBS181" s="89"/>
      <c r="OBU181" s="91"/>
      <c r="OBX181" s="89"/>
      <c r="OBZ181" s="91"/>
      <c r="OCC181" s="89"/>
      <c r="OCE181" s="91"/>
      <c r="OCH181" s="89"/>
      <c r="OCJ181" s="91"/>
      <c r="OCM181" s="89"/>
      <c r="OCO181" s="91"/>
      <c r="OCR181" s="89"/>
      <c r="OCT181" s="91"/>
      <c r="OCW181" s="89"/>
      <c r="OCY181" s="91"/>
      <c r="ODB181" s="89"/>
      <c r="ODD181" s="91"/>
      <c r="ODG181" s="89"/>
      <c r="ODI181" s="91"/>
      <c r="ODL181" s="89"/>
      <c r="ODN181" s="91"/>
      <c r="ODQ181" s="89"/>
      <c r="ODS181" s="91"/>
      <c r="ODV181" s="89"/>
      <c r="ODX181" s="91"/>
      <c r="OEA181" s="89"/>
      <c r="OEC181" s="91"/>
      <c r="OEF181" s="89"/>
      <c r="OEH181" s="91"/>
      <c r="OEK181" s="89"/>
      <c r="OEM181" s="91"/>
      <c r="OEP181" s="89"/>
      <c r="OER181" s="91"/>
      <c r="OEU181" s="89"/>
      <c r="OEW181" s="91"/>
      <c r="OEZ181" s="89"/>
      <c r="OFB181" s="91"/>
      <c r="OFE181" s="89"/>
      <c r="OFG181" s="91"/>
      <c r="OFJ181" s="89"/>
      <c r="OFL181" s="91"/>
      <c r="OFO181" s="89"/>
      <c r="OFQ181" s="91"/>
      <c r="OFT181" s="89"/>
      <c r="OFV181" s="91"/>
      <c r="OFY181" s="89"/>
      <c r="OGA181" s="91"/>
      <c r="OGD181" s="89"/>
      <c r="OGF181" s="91"/>
      <c r="OGI181" s="89"/>
      <c r="OGK181" s="91"/>
      <c r="OGN181" s="89"/>
      <c r="OGP181" s="91"/>
      <c r="OGS181" s="89"/>
      <c r="OGU181" s="91"/>
      <c r="OGX181" s="89"/>
      <c r="OGZ181" s="91"/>
      <c r="OHC181" s="89"/>
      <c r="OHE181" s="91"/>
      <c r="OHH181" s="89"/>
      <c r="OHJ181" s="91"/>
      <c r="OHM181" s="89"/>
      <c r="OHO181" s="91"/>
      <c r="OHR181" s="89"/>
      <c r="OHT181" s="91"/>
      <c r="OHW181" s="89"/>
      <c r="OHY181" s="91"/>
      <c r="OIB181" s="89"/>
      <c r="OID181" s="91"/>
      <c r="OIG181" s="89"/>
      <c r="OII181" s="91"/>
      <c r="OIL181" s="89"/>
      <c r="OIN181" s="91"/>
      <c r="OIQ181" s="89"/>
      <c r="OIS181" s="91"/>
      <c r="OIV181" s="89"/>
      <c r="OIX181" s="91"/>
      <c r="OJA181" s="89"/>
      <c r="OJC181" s="91"/>
      <c r="OJF181" s="89"/>
      <c r="OJH181" s="91"/>
      <c r="OJK181" s="89"/>
      <c r="OJM181" s="91"/>
      <c r="OJP181" s="89"/>
      <c r="OJR181" s="91"/>
      <c r="OJU181" s="89"/>
      <c r="OJW181" s="91"/>
      <c r="OJZ181" s="89"/>
      <c r="OKB181" s="91"/>
      <c r="OKE181" s="89"/>
      <c r="OKG181" s="91"/>
      <c r="OKJ181" s="89"/>
      <c r="OKL181" s="91"/>
      <c r="OKO181" s="89"/>
      <c r="OKQ181" s="91"/>
      <c r="OKT181" s="89"/>
      <c r="OKV181" s="91"/>
      <c r="OKY181" s="89"/>
      <c r="OLA181" s="91"/>
      <c r="OLD181" s="89"/>
      <c r="OLF181" s="91"/>
      <c r="OLI181" s="89"/>
      <c r="OLK181" s="91"/>
      <c r="OLN181" s="89"/>
      <c r="OLP181" s="91"/>
      <c r="OLS181" s="89"/>
      <c r="OLU181" s="91"/>
      <c r="OLX181" s="89"/>
      <c r="OLZ181" s="91"/>
      <c r="OMC181" s="89"/>
      <c r="OME181" s="91"/>
      <c r="OMH181" s="89"/>
      <c r="OMJ181" s="91"/>
      <c r="OMM181" s="89"/>
      <c r="OMO181" s="91"/>
      <c r="OMR181" s="89"/>
      <c r="OMT181" s="91"/>
      <c r="OMW181" s="89"/>
      <c r="OMY181" s="91"/>
      <c r="ONB181" s="89"/>
      <c r="OND181" s="91"/>
      <c r="ONG181" s="89"/>
      <c r="ONI181" s="91"/>
      <c r="ONL181" s="89"/>
      <c r="ONN181" s="91"/>
      <c r="ONQ181" s="89"/>
      <c r="ONS181" s="91"/>
      <c r="ONV181" s="89"/>
      <c r="ONX181" s="91"/>
      <c r="OOA181" s="89"/>
      <c r="OOC181" s="91"/>
      <c r="OOF181" s="89"/>
      <c r="OOH181" s="91"/>
      <c r="OOK181" s="89"/>
      <c r="OOM181" s="91"/>
      <c r="OOP181" s="89"/>
      <c r="OOR181" s="91"/>
      <c r="OOU181" s="89"/>
      <c r="OOW181" s="91"/>
      <c r="OOZ181" s="89"/>
      <c r="OPB181" s="91"/>
      <c r="OPE181" s="89"/>
      <c r="OPG181" s="91"/>
      <c r="OPJ181" s="89"/>
      <c r="OPL181" s="91"/>
      <c r="OPO181" s="89"/>
      <c r="OPQ181" s="91"/>
      <c r="OPT181" s="89"/>
      <c r="OPV181" s="91"/>
      <c r="OPY181" s="89"/>
      <c r="OQA181" s="91"/>
      <c r="OQD181" s="89"/>
      <c r="OQF181" s="91"/>
      <c r="OQI181" s="89"/>
      <c r="OQK181" s="91"/>
      <c r="OQN181" s="89"/>
      <c r="OQP181" s="91"/>
      <c r="OQS181" s="89"/>
      <c r="OQU181" s="91"/>
      <c r="OQX181" s="89"/>
      <c r="OQZ181" s="91"/>
      <c r="ORC181" s="89"/>
      <c r="ORE181" s="91"/>
      <c r="ORH181" s="89"/>
      <c r="ORJ181" s="91"/>
      <c r="ORM181" s="89"/>
      <c r="ORO181" s="91"/>
      <c r="ORR181" s="89"/>
      <c r="ORT181" s="91"/>
      <c r="ORW181" s="89"/>
      <c r="ORY181" s="91"/>
      <c r="OSB181" s="89"/>
      <c r="OSD181" s="91"/>
      <c r="OSG181" s="89"/>
      <c r="OSI181" s="91"/>
      <c r="OSL181" s="89"/>
      <c r="OSN181" s="91"/>
      <c r="OSQ181" s="89"/>
      <c r="OSS181" s="91"/>
      <c r="OSV181" s="89"/>
      <c r="OSX181" s="91"/>
      <c r="OTA181" s="89"/>
      <c r="OTC181" s="91"/>
      <c r="OTF181" s="89"/>
      <c r="OTH181" s="91"/>
      <c r="OTK181" s="89"/>
      <c r="OTM181" s="91"/>
      <c r="OTP181" s="89"/>
      <c r="OTR181" s="91"/>
      <c r="OTU181" s="89"/>
      <c r="OTW181" s="91"/>
      <c r="OTZ181" s="89"/>
      <c r="OUB181" s="91"/>
      <c r="OUE181" s="89"/>
      <c r="OUG181" s="91"/>
      <c r="OUJ181" s="89"/>
      <c r="OUL181" s="91"/>
      <c r="OUO181" s="89"/>
      <c r="OUQ181" s="91"/>
      <c r="OUT181" s="89"/>
      <c r="OUV181" s="91"/>
      <c r="OUY181" s="89"/>
      <c r="OVA181" s="91"/>
      <c r="OVD181" s="89"/>
      <c r="OVF181" s="91"/>
      <c r="OVI181" s="89"/>
      <c r="OVK181" s="91"/>
      <c r="OVN181" s="89"/>
      <c r="OVP181" s="91"/>
      <c r="OVS181" s="89"/>
      <c r="OVU181" s="91"/>
      <c r="OVX181" s="89"/>
      <c r="OVZ181" s="91"/>
      <c r="OWC181" s="89"/>
      <c r="OWE181" s="91"/>
      <c r="OWH181" s="89"/>
      <c r="OWJ181" s="91"/>
      <c r="OWM181" s="89"/>
      <c r="OWO181" s="91"/>
      <c r="OWR181" s="89"/>
      <c r="OWT181" s="91"/>
      <c r="OWW181" s="89"/>
      <c r="OWY181" s="91"/>
      <c r="OXB181" s="89"/>
      <c r="OXD181" s="91"/>
      <c r="OXG181" s="89"/>
      <c r="OXI181" s="91"/>
      <c r="OXL181" s="89"/>
      <c r="OXN181" s="91"/>
      <c r="OXQ181" s="89"/>
      <c r="OXS181" s="91"/>
      <c r="OXV181" s="89"/>
      <c r="OXX181" s="91"/>
      <c r="OYA181" s="89"/>
      <c r="OYC181" s="91"/>
      <c r="OYF181" s="89"/>
      <c r="OYH181" s="91"/>
      <c r="OYK181" s="89"/>
      <c r="OYM181" s="91"/>
      <c r="OYP181" s="89"/>
      <c r="OYR181" s="91"/>
      <c r="OYU181" s="89"/>
      <c r="OYW181" s="91"/>
      <c r="OYZ181" s="89"/>
      <c r="OZB181" s="91"/>
      <c r="OZE181" s="89"/>
      <c r="OZG181" s="91"/>
      <c r="OZJ181" s="89"/>
      <c r="OZL181" s="91"/>
      <c r="OZO181" s="89"/>
      <c r="OZQ181" s="91"/>
      <c r="OZT181" s="89"/>
      <c r="OZV181" s="91"/>
      <c r="OZY181" s="89"/>
      <c r="PAA181" s="91"/>
      <c r="PAD181" s="89"/>
      <c r="PAF181" s="91"/>
      <c r="PAI181" s="89"/>
      <c r="PAK181" s="91"/>
      <c r="PAN181" s="89"/>
      <c r="PAP181" s="91"/>
      <c r="PAS181" s="89"/>
      <c r="PAU181" s="91"/>
      <c r="PAX181" s="89"/>
      <c r="PAZ181" s="91"/>
      <c r="PBC181" s="89"/>
      <c r="PBE181" s="91"/>
      <c r="PBH181" s="89"/>
      <c r="PBJ181" s="91"/>
      <c r="PBM181" s="89"/>
      <c r="PBO181" s="91"/>
      <c r="PBR181" s="89"/>
      <c r="PBT181" s="91"/>
      <c r="PBW181" s="89"/>
      <c r="PBY181" s="91"/>
      <c r="PCB181" s="89"/>
      <c r="PCD181" s="91"/>
      <c r="PCG181" s="89"/>
      <c r="PCI181" s="91"/>
      <c r="PCL181" s="89"/>
      <c r="PCN181" s="91"/>
      <c r="PCQ181" s="89"/>
      <c r="PCS181" s="91"/>
      <c r="PCV181" s="89"/>
      <c r="PCX181" s="91"/>
      <c r="PDA181" s="89"/>
      <c r="PDC181" s="91"/>
      <c r="PDF181" s="89"/>
      <c r="PDH181" s="91"/>
      <c r="PDK181" s="89"/>
      <c r="PDM181" s="91"/>
      <c r="PDP181" s="89"/>
      <c r="PDR181" s="91"/>
      <c r="PDU181" s="89"/>
      <c r="PDW181" s="91"/>
      <c r="PDZ181" s="89"/>
      <c r="PEB181" s="91"/>
      <c r="PEE181" s="89"/>
      <c r="PEG181" s="91"/>
      <c r="PEJ181" s="89"/>
      <c r="PEL181" s="91"/>
      <c r="PEO181" s="89"/>
      <c r="PEQ181" s="91"/>
      <c r="PET181" s="89"/>
      <c r="PEV181" s="91"/>
      <c r="PEY181" s="89"/>
      <c r="PFA181" s="91"/>
      <c r="PFD181" s="89"/>
      <c r="PFF181" s="91"/>
      <c r="PFI181" s="89"/>
      <c r="PFK181" s="91"/>
      <c r="PFN181" s="89"/>
      <c r="PFP181" s="91"/>
      <c r="PFS181" s="89"/>
      <c r="PFU181" s="91"/>
      <c r="PFX181" s="89"/>
      <c r="PFZ181" s="91"/>
      <c r="PGC181" s="89"/>
      <c r="PGE181" s="91"/>
      <c r="PGH181" s="89"/>
      <c r="PGJ181" s="91"/>
      <c r="PGM181" s="89"/>
      <c r="PGO181" s="91"/>
      <c r="PGR181" s="89"/>
      <c r="PGT181" s="91"/>
      <c r="PGW181" s="89"/>
      <c r="PGY181" s="91"/>
      <c r="PHB181" s="89"/>
      <c r="PHD181" s="91"/>
      <c r="PHG181" s="89"/>
      <c r="PHI181" s="91"/>
      <c r="PHL181" s="89"/>
      <c r="PHN181" s="91"/>
      <c r="PHQ181" s="89"/>
      <c r="PHS181" s="91"/>
      <c r="PHV181" s="89"/>
      <c r="PHX181" s="91"/>
      <c r="PIA181" s="89"/>
      <c r="PIC181" s="91"/>
      <c r="PIF181" s="89"/>
      <c r="PIH181" s="91"/>
      <c r="PIK181" s="89"/>
      <c r="PIM181" s="91"/>
      <c r="PIP181" s="89"/>
      <c r="PIR181" s="91"/>
      <c r="PIU181" s="89"/>
      <c r="PIW181" s="91"/>
      <c r="PIZ181" s="89"/>
      <c r="PJB181" s="91"/>
      <c r="PJE181" s="89"/>
      <c r="PJG181" s="91"/>
      <c r="PJJ181" s="89"/>
      <c r="PJL181" s="91"/>
      <c r="PJO181" s="89"/>
      <c r="PJQ181" s="91"/>
      <c r="PJT181" s="89"/>
      <c r="PJV181" s="91"/>
      <c r="PJY181" s="89"/>
      <c r="PKA181" s="91"/>
      <c r="PKD181" s="89"/>
      <c r="PKF181" s="91"/>
      <c r="PKI181" s="89"/>
      <c r="PKK181" s="91"/>
      <c r="PKN181" s="89"/>
      <c r="PKP181" s="91"/>
      <c r="PKS181" s="89"/>
      <c r="PKU181" s="91"/>
      <c r="PKX181" s="89"/>
      <c r="PKZ181" s="91"/>
      <c r="PLC181" s="89"/>
      <c r="PLE181" s="91"/>
      <c r="PLH181" s="89"/>
      <c r="PLJ181" s="91"/>
      <c r="PLM181" s="89"/>
      <c r="PLO181" s="91"/>
      <c r="PLR181" s="89"/>
      <c r="PLT181" s="91"/>
      <c r="PLW181" s="89"/>
      <c r="PLY181" s="91"/>
      <c r="PMB181" s="89"/>
      <c r="PMD181" s="91"/>
      <c r="PMG181" s="89"/>
      <c r="PMI181" s="91"/>
      <c r="PML181" s="89"/>
      <c r="PMN181" s="91"/>
      <c r="PMQ181" s="89"/>
      <c r="PMS181" s="91"/>
      <c r="PMV181" s="89"/>
      <c r="PMX181" s="91"/>
      <c r="PNA181" s="89"/>
      <c r="PNC181" s="91"/>
      <c r="PNF181" s="89"/>
      <c r="PNH181" s="91"/>
      <c r="PNK181" s="89"/>
      <c r="PNM181" s="91"/>
      <c r="PNP181" s="89"/>
      <c r="PNR181" s="91"/>
      <c r="PNU181" s="89"/>
      <c r="PNW181" s="91"/>
      <c r="PNZ181" s="89"/>
      <c r="POB181" s="91"/>
      <c r="POE181" s="89"/>
      <c r="POG181" s="91"/>
      <c r="POJ181" s="89"/>
      <c r="POL181" s="91"/>
      <c r="POO181" s="89"/>
      <c r="POQ181" s="91"/>
      <c r="POT181" s="89"/>
      <c r="POV181" s="91"/>
      <c r="POY181" s="89"/>
      <c r="PPA181" s="91"/>
      <c r="PPD181" s="89"/>
      <c r="PPF181" s="91"/>
      <c r="PPI181" s="89"/>
      <c r="PPK181" s="91"/>
      <c r="PPN181" s="89"/>
      <c r="PPP181" s="91"/>
      <c r="PPS181" s="89"/>
      <c r="PPU181" s="91"/>
      <c r="PPX181" s="89"/>
      <c r="PPZ181" s="91"/>
      <c r="PQC181" s="89"/>
      <c r="PQE181" s="91"/>
      <c r="PQH181" s="89"/>
      <c r="PQJ181" s="91"/>
      <c r="PQM181" s="89"/>
      <c r="PQO181" s="91"/>
      <c r="PQR181" s="89"/>
      <c r="PQT181" s="91"/>
      <c r="PQW181" s="89"/>
      <c r="PQY181" s="91"/>
      <c r="PRB181" s="89"/>
      <c r="PRD181" s="91"/>
      <c r="PRG181" s="89"/>
      <c r="PRI181" s="91"/>
      <c r="PRL181" s="89"/>
      <c r="PRN181" s="91"/>
      <c r="PRQ181" s="89"/>
      <c r="PRS181" s="91"/>
      <c r="PRV181" s="89"/>
      <c r="PRX181" s="91"/>
      <c r="PSA181" s="89"/>
      <c r="PSC181" s="91"/>
      <c r="PSF181" s="89"/>
      <c r="PSH181" s="91"/>
      <c r="PSK181" s="89"/>
      <c r="PSM181" s="91"/>
      <c r="PSP181" s="89"/>
      <c r="PSR181" s="91"/>
      <c r="PSU181" s="89"/>
      <c r="PSW181" s="91"/>
      <c r="PSZ181" s="89"/>
      <c r="PTB181" s="91"/>
      <c r="PTE181" s="89"/>
      <c r="PTG181" s="91"/>
      <c r="PTJ181" s="89"/>
      <c r="PTL181" s="91"/>
      <c r="PTO181" s="89"/>
      <c r="PTQ181" s="91"/>
      <c r="PTT181" s="89"/>
      <c r="PTV181" s="91"/>
      <c r="PTY181" s="89"/>
      <c r="PUA181" s="91"/>
      <c r="PUD181" s="89"/>
      <c r="PUF181" s="91"/>
      <c r="PUI181" s="89"/>
      <c r="PUK181" s="91"/>
      <c r="PUN181" s="89"/>
      <c r="PUP181" s="91"/>
      <c r="PUS181" s="89"/>
      <c r="PUU181" s="91"/>
      <c r="PUX181" s="89"/>
      <c r="PUZ181" s="91"/>
      <c r="PVC181" s="89"/>
      <c r="PVE181" s="91"/>
      <c r="PVH181" s="89"/>
      <c r="PVJ181" s="91"/>
      <c r="PVM181" s="89"/>
      <c r="PVO181" s="91"/>
      <c r="PVR181" s="89"/>
      <c r="PVT181" s="91"/>
      <c r="PVW181" s="89"/>
      <c r="PVY181" s="91"/>
      <c r="PWB181" s="89"/>
      <c r="PWD181" s="91"/>
      <c r="PWG181" s="89"/>
      <c r="PWI181" s="91"/>
      <c r="PWL181" s="89"/>
      <c r="PWN181" s="91"/>
      <c r="PWQ181" s="89"/>
      <c r="PWS181" s="91"/>
      <c r="PWV181" s="89"/>
      <c r="PWX181" s="91"/>
      <c r="PXA181" s="89"/>
      <c r="PXC181" s="91"/>
      <c r="PXF181" s="89"/>
      <c r="PXH181" s="91"/>
      <c r="PXK181" s="89"/>
      <c r="PXM181" s="91"/>
      <c r="PXP181" s="89"/>
      <c r="PXR181" s="91"/>
      <c r="PXU181" s="89"/>
      <c r="PXW181" s="91"/>
      <c r="PXZ181" s="89"/>
      <c r="PYB181" s="91"/>
      <c r="PYE181" s="89"/>
      <c r="PYG181" s="91"/>
      <c r="PYJ181" s="89"/>
      <c r="PYL181" s="91"/>
      <c r="PYO181" s="89"/>
      <c r="PYQ181" s="91"/>
      <c r="PYT181" s="89"/>
      <c r="PYV181" s="91"/>
      <c r="PYY181" s="89"/>
      <c r="PZA181" s="91"/>
      <c r="PZD181" s="89"/>
      <c r="PZF181" s="91"/>
      <c r="PZI181" s="89"/>
      <c r="PZK181" s="91"/>
      <c r="PZN181" s="89"/>
      <c r="PZP181" s="91"/>
      <c r="PZS181" s="89"/>
      <c r="PZU181" s="91"/>
      <c r="PZX181" s="89"/>
      <c r="PZZ181" s="91"/>
      <c r="QAC181" s="89"/>
      <c r="QAE181" s="91"/>
      <c r="QAH181" s="89"/>
      <c r="QAJ181" s="91"/>
      <c r="QAM181" s="89"/>
      <c r="QAO181" s="91"/>
      <c r="QAR181" s="89"/>
      <c r="QAT181" s="91"/>
      <c r="QAW181" s="89"/>
      <c r="QAY181" s="91"/>
      <c r="QBB181" s="89"/>
      <c r="QBD181" s="91"/>
      <c r="QBG181" s="89"/>
      <c r="QBI181" s="91"/>
      <c r="QBL181" s="89"/>
      <c r="QBN181" s="91"/>
      <c r="QBQ181" s="89"/>
      <c r="QBS181" s="91"/>
      <c r="QBV181" s="89"/>
      <c r="QBX181" s="91"/>
      <c r="QCA181" s="89"/>
      <c r="QCC181" s="91"/>
      <c r="QCF181" s="89"/>
      <c r="QCH181" s="91"/>
      <c r="QCK181" s="89"/>
      <c r="QCM181" s="91"/>
      <c r="QCP181" s="89"/>
      <c r="QCR181" s="91"/>
      <c r="QCU181" s="89"/>
      <c r="QCW181" s="91"/>
      <c r="QCZ181" s="89"/>
      <c r="QDB181" s="91"/>
      <c r="QDE181" s="89"/>
      <c r="QDG181" s="91"/>
      <c r="QDJ181" s="89"/>
      <c r="QDL181" s="91"/>
      <c r="QDO181" s="89"/>
      <c r="QDQ181" s="91"/>
      <c r="QDT181" s="89"/>
      <c r="QDV181" s="91"/>
      <c r="QDY181" s="89"/>
      <c r="QEA181" s="91"/>
      <c r="QED181" s="89"/>
      <c r="QEF181" s="91"/>
      <c r="QEI181" s="89"/>
      <c r="QEK181" s="91"/>
      <c r="QEN181" s="89"/>
      <c r="QEP181" s="91"/>
      <c r="QES181" s="89"/>
      <c r="QEU181" s="91"/>
      <c r="QEX181" s="89"/>
      <c r="QEZ181" s="91"/>
      <c r="QFC181" s="89"/>
      <c r="QFE181" s="91"/>
      <c r="QFH181" s="89"/>
      <c r="QFJ181" s="91"/>
      <c r="QFM181" s="89"/>
      <c r="QFO181" s="91"/>
      <c r="QFR181" s="89"/>
      <c r="QFT181" s="91"/>
      <c r="QFW181" s="89"/>
      <c r="QFY181" s="91"/>
      <c r="QGB181" s="89"/>
      <c r="QGD181" s="91"/>
      <c r="QGG181" s="89"/>
      <c r="QGI181" s="91"/>
      <c r="QGL181" s="89"/>
      <c r="QGN181" s="91"/>
      <c r="QGQ181" s="89"/>
      <c r="QGS181" s="91"/>
      <c r="QGV181" s="89"/>
      <c r="QGX181" s="91"/>
      <c r="QHA181" s="89"/>
      <c r="QHC181" s="91"/>
      <c r="QHF181" s="89"/>
      <c r="QHH181" s="91"/>
      <c r="QHK181" s="89"/>
      <c r="QHM181" s="91"/>
      <c r="QHP181" s="89"/>
      <c r="QHR181" s="91"/>
      <c r="QHU181" s="89"/>
      <c r="QHW181" s="91"/>
      <c r="QHZ181" s="89"/>
      <c r="QIB181" s="91"/>
      <c r="QIE181" s="89"/>
      <c r="QIG181" s="91"/>
      <c r="QIJ181" s="89"/>
      <c r="QIL181" s="91"/>
      <c r="QIO181" s="89"/>
      <c r="QIQ181" s="91"/>
      <c r="QIT181" s="89"/>
      <c r="QIV181" s="91"/>
      <c r="QIY181" s="89"/>
      <c r="QJA181" s="91"/>
      <c r="QJD181" s="89"/>
      <c r="QJF181" s="91"/>
      <c r="QJI181" s="89"/>
      <c r="QJK181" s="91"/>
      <c r="QJN181" s="89"/>
      <c r="QJP181" s="91"/>
      <c r="QJS181" s="89"/>
      <c r="QJU181" s="91"/>
      <c r="QJX181" s="89"/>
      <c r="QJZ181" s="91"/>
      <c r="QKC181" s="89"/>
      <c r="QKE181" s="91"/>
      <c r="QKH181" s="89"/>
      <c r="QKJ181" s="91"/>
      <c r="QKM181" s="89"/>
      <c r="QKO181" s="91"/>
      <c r="QKR181" s="89"/>
      <c r="QKT181" s="91"/>
      <c r="QKW181" s="89"/>
      <c r="QKY181" s="91"/>
      <c r="QLB181" s="89"/>
      <c r="QLD181" s="91"/>
      <c r="QLG181" s="89"/>
      <c r="QLI181" s="91"/>
      <c r="QLL181" s="89"/>
      <c r="QLN181" s="91"/>
      <c r="QLQ181" s="89"/>
      <c r="QLS181" s="91"/>
      <c r="QLV181" s="89"/>
      <c r="QLX181" s="91"/>
      <c r="QMA181" s="89"/>
      <c r="QMC181" s="91"/>
      <c r="QMF181" s="89"/>
      <c r="QMH181" s="91"/>
      <c r="QMK181" s="89"/>
      <c r="QMM181" s="91"/>
      <c r="QMP181" s="89"/>
      <c r="QMR181" s="91"/>
      <c r="QMU181" s="89"/>
      <c r="QMW181" s="91"/>
      <c r="QMZ181" s="89"/>
      <c r="QNB181" s="91"/>
      <c r="QNE181" s="89"/>
      <c r="QNG181" s="91"/>
      <c r="QNJ181" s="89"/>
      <c r="QNL181" s="91"/>
      <c r="QNO181" s="89"/>
      <c r="QNQ181" s="91"/>
      <c r="QNT181" s="89"/>
      <c r="QNV181" s="91"/>
      <c r="QNY181" s="89"/>
      <c r="QOA181" s="91"/>
      <c r="QOD181" s="89"/>
      <c r="QOF181" s="91"/>
      <c r="QOI181" s="89"/>
      <c r="QOK181" s="91"/>
      <c r="QON181" s="89"/>
      <c r="QOP181" s="91"/>
      <c r="QOS181" s="89"/>
      <c r="QOU181" s="91"/>
      <c r="QOX181" s="89"/>
      <c r="QOZ181" s="91"/>
      <c r="QPC181" s="89"/>
      <c r="QPE181" s="91"/>
      <c r="QPH181" s="89"/>
      <c r="QPJ181" s="91"/>
      <c r="QPM181" s="89"/>
      <c r="QPO181" s="91"/>
      <c r="QPR181" s="89"/>
      <c r="QPT181" s="91"/>
      <c r="QPW181" s="89"/>
      <c r="QPY181" s="91"/>
      <c r="QQB181" s="89"/>
      <c r="QQD181" s="91"/>
      <c r="QQG181" s="89"/>
      <c r="QQI181" s="91"/>
      <c r="QQL181" s="89"/>
      <c r="QQN181" s="91"/>
      <c r="QQQ181" s="89"/>
      <c r="QQS181" s="91"/>
      <c r="QQV181" s="89"/>
      <c r="QQX181" s="91"/>
      <c r="QRA181" s="89"/>
      <c r="QRC181" s="91"/>
      <c r="QRF181" s="89"/>
      <c r="QRH181" s="91"/>
      <c r="QRK181" s="89"/>
      <c r="QRM181" s="91"/>
      <c r="QRP181" s="89"/>
      <c r="QRR181" s="91"/>
      <c r="QRU181" s="89"/>
      <c r="QRW181" s="91"/>
      <c r="QRZ181" s="89"/>
      <c r="QSB181" s="91"/>
      <c r="QSE181" s="89"/>
      <c r="QSG181" s="91"/>
      <c r="QSJ181" s="89"/>
      <c r="QSL181" s="91"/>
      <c r="QSO181" s="89"/>
      <c r="QSQ181" s="91"/>
      <c r="QST181" s="89"/>
      <c r="QSV181" s="91"/>
      <c r="QSY181" s="89"/>
      <c r="QTA181" s="91"/>
      <c r="QTD181" s="89"/>
      <c r="QTF181" s="91"/>
      <c r="QTI181" s="89"/>
      <c r="QTK181" s="91"/>
      <c r="QTN181" s="89"/>
      <c r="QTP181" s="91"/>
      <c r="QTS181" s="89"/>
      <c r="QTU181" s="91"/>
      <c r="QTX181" s="89"/>
      <c r="QTZ181" s="91"/>
      <c r="QUC181" s="89"/>
      <c r="QUE181" s="91"/>
      <c r="QUH181" s="89"/>
      <c r="QUJ181" s="91"/>
      <c r="QUM181" s="89"/>
      <c r="QUO181" s="91"/>
      <c r="QUR181" s="89"/>
      <c r="QUT181" s="91"/>
      <c r="QUW181" s="89"/>
      <c r="QUY181" s="91"/>
      <c r="QVB181" s="89"/>
      <c r="QVD181" s="91"/>
      <c r="QVG181" s="89"/>
      <c r="QVI181" s="91"/>
      <c r="QVL181" s="89"/>
      <c r="QVN181" s="91"/>
      <c r="QVQ181" s="89"/>
      <c r="QVS181" s="91"/>
      <c r="QVV181" s="89"/>
      <c r="QVX181" s="91"/>
      <c r="QWA181" s="89"/>
      <c r="QWC181" s="91"/>
      <c r="QWF181" s="89"/>
      <c r="QWH181" s="91"/>
      <c r="QWK181" s="89"/>
      <c r="QWM181" s="91"/>
      <c r="QWP181" s="89"/>
      <c r="QWR181" s="91"/>
      <c r="QWU181" s="89"/>
      <c r="QWW181" s="91"/>
      <c r="QWZ181" s="89"/>
      <c r="QXB181" s="91"/>
      <c r="QXE181" s="89"/>
      <c r="QXG181" s="91"/>
      <c r="QXJ181" s="89"/>
      <c r="QXL181" s="91"/>
      <c r="QXO181" s="89"/>
      <c r="QXQ181" s="91"/>
      <c r="QXT181" s="89"/>
      <c r="QXV181" s="91"/>
      <c r="QXY181" s="89"/>
      <c r="QYA181" s="91"/>
      <c r="QYD181" s="89"/>
      <c r="QYF181" s="91"/>
      <c r="QYI181" s="89"/>
      <c r="QYK181" s="91"/>
      <c r="QYN181" s="89"/>
      <c r="QYP181" s="91"/>
      <c r="QYS181" s="89"/>
      <c r="QYU181" s="91"/>
      <c r="QYX181" s="89"/>
      <c r="QYZ181" s="91"/>
      <c r="QZC181" s="89"/>
      <c r="QZE181" s="91"/>
      <c r="QZH181" s="89"/>
      <c r="QZJ181" s="91"/>
      <c r="QZM181" s="89"/>
      <c r="QZO181" s="91"/>
      <c r="QZR181" s="89"/>
      <c r="QZT181" s="91"/>
      <c r="QZW181" s="89"/>
      <c r="QZY181" s="91"/>
      <c r="RAB181" s="89"/>
      <c r="RAD181" s="91"/>
      <c r="RAG181" s="89"/>
      <c r="RAI181" s="91"/>
      <c r="RAL181" s="89"/>
      <c r="RAN181" s="91"/>
      <c r="RAQ181" s="89"/>
      <c r="RAS181" s="91"/>
      <c r="RAV181" s="89"/>
      <c r="RAX181" s="91"/>
      <c r="RBA181" s="89"/>
      <c r="RBC181" s="91"/>
      <c r="RBF181" s="89"/>
      <c r="RBH181" s="91"/>
      <c r="RBK181" s="89"/>
      <c r="RBM181" s="91"/>
      <c r="RBP181" s="89"/>
      <c r="RBR181" s="91"/>
      <c r="RBU181" s="89"/>
      <c r="RBW181" s="91"/>
      <c r="RBZ181" s="89"/>
      <c r="RCB181" s="91"/>
      <c r="RCE181" s="89"/>
      <c r="RCG181" s="91"/>
      <c r="RCJ181" s="89"/>
      <c r="RCL181" s="91"/>
      <c r="RCO181" s="89"/>
      <c r="RCQ181" s="91"/>
      <c r="RCT181" s="89"/>
      <c r="RCV181" s="91"/>
      <c r="RCY181" s="89"/>
      <c r="RDA181" s="91"/>
      <c r="RDD181" s="89"/>
      <c r="RDF181" s="91"/>
      <c r="RDI181" s="89"/>
      <c r="RDK181" s="91"/>
      <c r="RDN181" s="89"/>
      <c r="RDP181" s="91"/>
      <c r="RDS181" s="89"/>
      <c r="RDU181" s="91"/>
      <c r="RDX181" s="89"/>
      <c r="RDZ181" s="91"/>
      <c r="REC181" s="89"/>
      <c r="REE181" s="91"/>
      <c r="REH181" s="89"/>
      <c r="REJ181" s="91"/>
      <c r="REM181" s="89"/>
      <c r="REO181" s="91"/>
      <c r="RER181" s="89"/>
      <c r="RET181" s="91"/>
      <c r="REW181" s="89"/>
      <c r="REY181" s="91"/>
      <c r="RFB181" s="89"/>
      <c r="RFD181" s="91"/>
      <c r="RFG181" s="89"/>
      <c r="RFI181" s="91"/>
      <c r="RFL181" s="89"/>
      <c r="RFN181" s="91"/>
      <c r="RFQ181" s="89"/>
      <c r="RFS181" s="91"/>
      <c r="RFV181" s="89"/>
      <c r="RFX181" s="91"/>
      <c r="RGA181" s="89"/>
      <c r="RGC181" s="91"/>
      <c r="RGF181" s="89"/>
      <c r="RGH181" s="91"/>
      <c r="RGK181" s="89"/>
      <c r="RGM181" s="91"/>
      <c r="RGP181" s="89"/>
      <c r="RGR181" s="91"/>
      <c r="RGU181" s="89"/>
      <c r="RGW181" s="91"/>
      <c r="RGZ181" s="89"/>
      <c r="RHB181" s="91"/>
      <c r="RHE181" s="89"/>
      <c r="RHG181" s="91"/>
      <c r="RHJ181" s="89"/>
      <c r="RHL181" s="91"/>
      <c r="RHO181" s="89"/>
      <c r="RHQ181" s="91"/>
      <c r="RHT181" s="89"/>
      <c r="RHV181" s="91"/>
      <c r="RHY181" s="89"/>
      <c r="RIA181" s="91"/>
      <c r="RID181" s="89"/>
      <c r="RIF181" s="91"/>
      <c r="RII181" s="89"/>
      <c r="RIK181" s="91"/>
      <c r="RIN181" s="89"/>
      <c r="RIP181" s="91"/>
      <c r="RIS181" s="89"/>
      <c r="RIU181" s="91"/>
      <c r="RIX181" s="89"/>
      <c r="RIZ181" s="91"/>
      <c r="RJC181" s="89"/>
      <c r="RJE181" s="91"/>
      <c r="RJH181" s="89"/>
      <c r="RJJ181" s="91"/>
      <c r="RJM181" s="89"/>
      <c r="RJO181" s="91"/>
      <c r="RJR181" s="89"/>
      <c r="RJT181" s="91"/>
      <c r="RJW181" s="89"/>
      <c r="RJY181" s="91"/>
      <c r="RKB181" s="89"/>
      <c r="RKD181" s="91"/>
      <c r="RKG181" s="89"/>
      <c r="RKI181" s="91"/>
      <c r="RKL181" s="89"/>
      <c r="RKN181" s="91"/>
      <c r="RKQ181" s="89"/>
      <c r="RKS181" s="91"/>
      <c r="RKV181" s="89"/>
      <c r="RKX181" s="91"/>
      <c r="RLA181" s="89"/>
      <c r="RLC181" s="91"/>
      <c r="RLF181" s="89"/>
      <c r="RLH181" s="91"/>
      <c r="RLK181" s="89"/>
      <c r="RLM181" s="91"/>
      <c r="RLP181" s="89"/>
      <c r="RLR181" s="91"/>
      <c r="RLU181" s="89"/>
      <c r="RLW181" s="91"/>
      <c r="RLZ181" s="89"/>
      <c r="RMB181" s="91"/>
      <c r="RME181" s="89"/>
      <c r="RMG181" s="91"/>
      <c r="RMJ181" s="89"/>
      <c r="RML181" s="91"/>
      <c r="RMO181" s="89"/>
      <c r="RMQ181" s="91"/>
      <c r="RMT181" s="89"/>
      <c r="RMV181" s="91"/>
      <c r="RMY181" s="89"/>
      <c r="RNA181" s="91"/>
      <c r="RND181" s="89"/>
      <c r="RNF181" s="91"/>
      <c r="RNI181" s="89"/>
      <c r="RNK181" s="91"/>
      <c r="RNN181" s="89"/>
      <c r="RNP181" s="91"/>
      <c r="RNS181" s="89"/>
      <c r="RNU181" s="91"/>
      <c r="RNX181" s="89"/>
      <c r="RNZ181" s="91"/>
      <c r="ROC181" s="89"/>
      <c r="ROE181" s="91"/>
      <c r="ROH181" s="89"/>
      <c r="ROJ181" s="91"/>
      <c r="ROM181" s="89"/>
      <c r="ROO181" s="91"/>
      <c r="ROR181" s="89"/>
      <c r="ROT181" s="91"/>
      <c r="ROW181" s="89"/>
      <c r="ROY181" s="91"/>
      <c r="RPB181" s="89"/>
      <c r="RPD181" s="91"/>
      <c r="RPG181" s="89"/>
      <c r="RPI181" s="91"/>
      <c r="RPL181" s="89"/>
      <c r="RPN181" s="91"/>
      <c r="RPQ181" s="89"/>
      <c r="RPS181" s="91"/>
      <c r="RPV181" s="89"/>
      <c r="RPX181" s="91"/>
      <c r="RQA181" s="89"/>
      <c r="RQC181" s="91"/>
      <c r="RQF181" s="89"/>
      <c r="RQH181" s="91"/>
      <c r="RQK181" s="89"/>
      <c r="RQM181" s="91"/>
      <c r="RQP181" s="89"/>
      <c r="RQR181" s="91"/>
      <c r="RQU181" s="89"/>
      <c r="RQW181" s="91"/>
      <c r="RQZ181" s="89"/>
      <c r="RRB181" s="91"/>
      <c r="RRE181" s="89"/>
      <c r="RRG181" s="91"/>
      <c r="RRJ181" s="89"/>
      <c r="RRL181" s="91"/>
      <c r="RRO181" s="89"/>
      <c r="RRQ181" s="91"/>
      <c r="RRT181" s="89"/>
      <c r="RRV181" s="91"/>
      <c r="RRY181" s="89"/>
      <c r="RSA181" s="91"/>
      <c r="RSD181" s="89"/>
      <c r="RSF181" s="91"/>
      <c r="RSI181" s="89"/>
      <c r="RSK181" s="91"/>
      <c r="RSN181" s="89"/>
      <c r="RSP181" s="91"/>
      <c r="RSS181" s="89"/>
      <c r="RSU181" s="91"/>
      <c r="RSX181" s="89"/>
      <c r="RSZ181" s="91"/>
      <c r="RTC181" s="89"/>
      <c r="RTE181" s="91"/>
      <c r="RTH181" s="89"/>
      <c r="RTJ181" s="91"/>
      <c r="RTM181" s="89"/>
      <c r="RTO181" s="91"/>
      <c r="RTR181" s="89"/>
      <c r="RTT181" s="91"/>
      <c r="RTW181" s="89"/>
      <c r="RTY181" s="91"/>
      <c r="RUB181" s="89"/>
      <c r="RUD181" s="91"/>
      <c r="RUG181" s="89"/>
      <c r="RUI181" s="91"/>
      <c r="RUL181" s="89"/>
      <c r="RUN181" s="91"/>
      <c r="RUQ181" s="89"/>
      <c r="RUS181" s="91"/>
      <c r="RUV181" s="89"/>
      <c r="RUX181" s="91"/>
      <c r="RVA181" s="89"/>
      <c r="RVC181" s="91"/>
      <c r="RVF181" s="89"/>
      <c r="RVH181" s="91"/>
      <c r="RVK181" s="89"/>
      <c r="RVM181" s="91"/>
      <c r="RVP181" s="89"/>
      <c r="RVR181" s="91"/>
      <c r="RVU181" s="89"/>
      <c r="RVW181" s="91"/>
      <c r="RVZ181" s="89"/>
      <c r="RWB181" s="91"/>
      <c r="RWE181" s="89"/>
      <c r="RWG181" s="91"/>
      <c r="RWJ181" s="89"/>
      <c r="RWL181" s="91"/>
      <c r="RWO181" s="89"/>
      <c r="RWQ181" s="91"/>
      <c r="RWT181" s="89"/>
      <c r="RWV181" s="91"/>
      <c r="RWY181" s="89"/>
      <c r="RXA181" s="91"/>
      <c r="RXD181" s="89"/>
      <c r="RXF181" s="91"/>
      <c r="RXI181" s="89"/>
      <c r="RXK181" s="91"/>
      <c r="RXN181" s="89"/>
      <c r="RXP181" s="91"/>
      <c r="RXS181" s="89"/>
      <c r="RXU181" s="91"/>
      <c r="RXX181" s="89"/>
      <c r="RXZ181" s="91"/>
      <c r="RYC181" s="89"/>
      <c r="RYE181" s="91"/>
      <c r="RYH181" s="89"/>
      <c r="RYJ181" s="91"/>
      <c r="RYM181" s="89"/>
      <c r="RYO181" s="91"/>
      <c r="RYR181" s="89"/>
      <c r="RYT181" s="91"/>
      <c r="RYW181" s="89"/>
      <c r="RYY181" s="91"/>
      <c r="RZB181" s="89"/>
      <c r="RZD181" s="91"/>
      <c r="RZG181" s="89"/>
      <c r="RZI181" s="91"/>
      <c r="RZL181" s="89"/>
      <c r="RZN181" s="91"/>
      <c r="RZQ181" s="89"/>
      <c r="RZS181" s="91"/>
      <c r="RZV181" s="89"/>
      <c r="RZX181" s="91"/>
      <c r="SAA181" s="89"/>
      <c r="SAC181" s="91"/>
      <c r="SAF181" s="89"/>
      <c r="SAH181" s="91"/>
      <c r="SAK181" s="89"/>
      <c r="SAM181" s="91"/>
      <c r="SAP181" s="89"/>
      <c r="SAR181" s="91"/>
      <c r="SAU181" s="89"/>
      <c r="SAW181" s="91"/>
      <c r="SAZ181" s="89"/>
      <c r="SBB181" s="91"/>
      <c r="SBE181" s="89"/>
      <c r="SBG181" s="91"/>
      <c r="SBJ181" s="89"/>
      <c r="SBL181" s="91"/>
      <c r="SBO181" s="89"/>
      <c r="SBQ181" s="91"/>
      <c r="SBT181" s="89"/>
      <c r="SBV181" s="91"/>
      <c r="SBY181" s="89"/>
      <c r="SCA181" s="91"/>
      <c r="SCD181" s="89"/>
      <c r="SCF181" s="91"/>
      <c r="SCI181" s="89"/>
      <c r="SCK181" s="91"/>
      <c r="SCN181" s="89"/>
      <c r="SCP181" s="91"/>
      <c r="SCS181" s="89"/>
      <c r="SCU181" s="91"/>
      <c r="SCX181" s="89"/>
      <c r="SCZ181" s="91"/>
      <c r="SDC181" s="89"/>
      <c r="SDE181" s="91"/>
      <c r="SDH181" s="89"/>
      <c r="SDJ181" s="91"/>
      <c r="SDM181" s="89"/>
      <c r="SDO181" s="91"/>
      <c r="SDR181" s="89"/>
      <c r="SDT181" s="91"/>
      <c r="SDW181" s="89"/>
      <c r="SDY181" s="91"/>
      <c r="SEB181" s="89"/>
      <c r="SED181" s="91"/>
      <c r="SEG181" s="89"/>
      <c r="SEI181" s="91"/>
      <c r="SEL181" s="89"/>
      <c r="SEN181" s="91"/>
      <c r="SEQ181" s="89"/>
      <c r="SES181" s="91"/>
      <c r="SEV181" s="89"/>
      <c r="SEX181" s="91"/>
      <c r="SFA181" s="89"/>
      <c r="SFC181" s="91"/>
      <c r="SFF181" s="89"/>
      <c r="SFH181" s="91"/>
      <c r="SFK181" s="89"/>
      <c r="SFM181" s="91"/>
      <c r="SFP181" s="89"/>
      <c r="SFR181" s="91"/>
      <c r="SFU181" s="89"/>
      <c r="SFW181" s="91"/>
      <c r="SFZ181" s="89"/>
      <c r="SGB181" s="91"/>
      <c r="SGE181" s="89"/>
      <c r="SGG181" s="91"/>
      <c r="SGJ181" s="89"/>
      <c r="SGL181" s="91"/>
      <c r="SGO181" s="89"/>
      <c r="SGQ181" s="91"/>
      <c r="SGT181" s="89"/>
      <c r="SGV181" s="91"/>
      <c r="SGY181" s="89"/>
      <c r="SHA181" s="91"/>
      <c r="SHD181" s="89"/>
      <c r="SHF181" s="91"/>
      <c r="SHI181" s="89"/>
      <c r="SHK181" s="91"/>
      <c r="SHN181" s="89"/>
      <c r="SHP181" s="91"/>
      <c r="SHS181" s="89"/>
      <c r="SHU181" s="91"/>
      <c r="SHX181" s="89"/>
      <c r="SHZ181" s="91"/>
      <c r="SIC181" s="89"/>
      <c r="SIE181" s="91"/>
      <c r="SIH181" s="89"/>
      <c r="SIJ181" s="91"/>
      <c r="SIM181" s="89"/>
      <c r="SIO181" s="91"/>
      <c r="SIR181" s="89"/>
      <c r="SIT181" s="91"/>
      <c r="SIW181" s="89"/>
      <c r="SIY181" s="91"/>
      <c r="SJB181" s="89"/>
      <c r="SJD181" s="91"/>
      <c r="SJG181" s="89"/>
      <c r="SJI181" s="91"/>
      <c r="SJL181" s="89"/>
      <c r="SJN181" s="91"/>
      <c r="SJQ181" s="89"/>
      <c r="SJS181" s="91"/>
      <c r="SJV181" s="89"/>
      <c r="SJX181" s="91"/>
      <c r="SKA181" s="89"/>
      <c r="SKC181" s="91"/>
      <c r="SKF181" s="89"/>
      <c r="SKH181" s="91"/>
      <c r="SKK181" s="89"/>
      <c r="SKM181" s="91"/>
      <c r="SKP181" s="89"/>
      <c r="SKR181" s="91"/>
      <c r="SKU181" s="89"/>
      <c r="SKW181" s="91"/>
      <c r="SKZ181" s="89"/>
      <c r="SLB181" s="91"/>
      <c r="SLE181" s="89"/>
      <c r="SLG181" s="91"/>
      <c r="SLJ181" s="89"/>
      <c r="SLL181" s="91"/>
      <c r="SLO181" s="89"/>
      <c r="SLQ181" s="91"/>
      <c r="SLT181" s="89"/>
      <c r="SLV181" s="91"/>
      <c r="SLY181" s="89"/>
      <c r="SMA181" s="91"/>
      <c r="SMD181" s="89"/>
      <c r="SMF181" s="91"/>
      <c r="SMI181" s="89"/>
      <c r="SMK181" s="91"/>
      <c r="SMN181" s="89"/>
      <c r="SMP181" s="91"/>
      <c r="SMS181" s="89"/>
      <c r="SMU181" s="91"/>
      <c r="SMX181" s="89"/>
      <c r="SMZ181" s="91"/>
      <c r="SNC181" s="89"/>
      <c r="SNE181" s="91"/>
      <c r="SNH181" s="89"/>
      <c r="SNJ181" s="91"/>
      <c r="SNM181" s="89"/>
      <c r="SNO181" s="91"/>
      <c r="SNR181" s="89"/>
      <c r="SNT181" s="91"/>
      <c r="SNW181" s="89"/>
      <c r="SNY181" s="91"/>
      <c r="SOB181" s="89"/>
      <c r="SOD181" s="91"/>
      <c r="SOG181" s="89"/>
      <c r="SOI181" s="91"/>
      <c r="SOL181" s="89"/>
      <c r="SON181" s="91"/>
      <c r="SOQ181" s="89"/>
      <c r="SOS181" s="91"/>
      <c r="SOV181" s="89"/>
      <c r="SOX181" s="91"/>
      <c r="SPA181" s="89"/>
      <c r="SPC181" s="91"/>
      <c r="SPF181" s="89"/>
      <c r="SPH181" s="91"/>
      <c r="SPK181" s="89"/>
      <c r="SPM181" s="91"/>
      <c r="SPP181" s="89"/>
      <c r="SPR181" s="91"/>
      <c r="SPU181" s="89"/>
      <c r="SPW181" s="91"/>
      <c r="SPZ181" s="89"/>
      <c r="SQB181" s="91"/>
      <c r="SQE181" s="89"/>
      <c r="SQG181" s="91"/>
      <c r="SQJ181" s="89"/>
      <c r="SQL181" s="91"/>
      <c r="SQO181" s="89"/>
      <c r="SQQ181" s="91"/>
      <c r="SQT181" s="89"/>
      <c r="SQV181" s="91"/>
      <c r="SQY181" s="89"/>
      <c r="SRA181" s="91"/>
      <c r="SRD181" s="89"/>
      <c r="SRF181" s="91"/>
      <c r="SRI181" s="89"/>
      <c r="SRK181" s="91"/>
      <c r="SRN181" s="89"/>
      <c r="SRP181" s="91"/>
      <c r="SRS181" s="89"/>
      <c r="SRU181" s="91"/>
      <c r="SRX181" s="89"/>
      <c r="SRZ181" s="91"/>
      <c r="SSC181" s="89"/>
      <c r="SSE181" s="91"/>
      <c r="SSH181" s="89"/>
      <c r="SSJ181" s="91"/>
      <c r="SSM181" s="89"/>
      <c r="SSO181" s="91"/>
      <c r="SSR181" s="89"/>
      <c r="SST181" s="91"/>
      <c r="SSW181" s="89"/>
      <c r="SSY181" s="91"/>
      <c r="STB181" s="89"/>
      <c r="STD181" s="91"/>
      <c r="STG181" s="89"/>
      <c r="STI181" s="91"/>
      <c r="STL181" s="89"/>
      <c r="STN181" s="91"/>
      <c r="STQ181" s="89"/>
      <c r="STS181" s="91"/>
      <c r="STV181" s="89"/>
      <c r="STX181" s="91"/>
      <c r="SUA181" s="89"/>
      <c r="SUC181" s="91"/>
      <c r="SUF181" s="89"/>
      <c r="SUH181" s="91"/>
      <c r="SUK181" s="89"/>
      <c r="SUM181" s="91"/>
      <c r="SUP181" s="89"/>
      <c r="SUR181" s="91"/>
      <c r="SUU181" s="89"/>
      <c r="SUW181" s="91"/>
      <c r="SUZ181" s="89"/>
      <c r="SVB181" s="91"/>
      <c r="SVE181" s="89"/>
      <c r="SVG181" s="91"/>
      <c r="SVJ181" s="89"/>
      <c r="SVL181" s="91"/>
      <c r="SVO181" s="89"/>
      <c r="SVQ181" s="91"/>
      <c r="SVT181" s="89"/>
      <c r="SVV181" s="91"/>
      <c r="SVY181" s="89"/>
      <c r="SWA181" s="91"/>
      <c r="SWD181" s="89"/>
      <c r="SWF181" s="91"/>
      <c r="SWI181" s="89"/>
      <c r="SWK181" s="91"/>
      <c r="SWN181" s="89"/>
      <c r="SWP181" s="91"/>
      <c r="SWS181" s="89"/>
      <c r="SWU181" s="91"/>
      <c r="SWX181" s="89"/>
      <c r="SWZ181" s="91"/>
      <c r="SXC181" s="89"/>
      <c r="SXE181" s="91"/>
      <c r="SXH181" s="89"/>
      <c r="SXJ181" s="91"/>
      <c r="SXM181" s="89"/>
      <c r="SXO181" s="91"/>
      <c r="SXR181" s="89"/>
      <c r="SXT181" s="91"/>
      <c r="SXW181" s="89"/>
      <c r="SXY181" s="91"/>
      <c r="SYB181" s="89"/>
      <c r="SYD181" s="91"/>
      <c r="SYG181" s="89"/>
      <c r="SYI181" s="91"/>
      <c r="SYL181" s="89"/>
      <c r="SYN181" s="91"/>
      <c r="SYQ181" s="89"/>
      <c r="SYS181" s="91"/>
      <c r="SYV181" s="89"/>
      <c r="SYX181" s="91"/>
      <c r="SZA181" s="89"/>
      <c r="SZC181" s="91"/>
      <c r="SZF181" s="89"/>
      <c r="SZH181" s="91"/>
      <c r="SZK181" s="89"/>
      <c r="SZM181" s="91"/>
      <c r="SZP181" s="89"/>
      <c r="SZR181" s="91"/>
      <c r="SZU181" s="89"/>
      <c r="SZW181" s="91"/>
      <c r="SZZ181" s="89"/>
      <c r="TAB181" s="91"/>
      <c r="TAE181" s="89"/>
      <c r="TAG181" s="91"/>
      <c r="TAJ181" s="89"/>
      <c r="TAL181" s="91"/>
      <c r="TAO181" s="89"/>
      <c r="TAQ181" s="91"/>
      <c r="TAT181" s="89"/>
      <c r="TAV181" s="91"/>
      <c r="TAY181" s="89"/>
      <c r="TBA181" s="91"/>
      <c r="TBD181" s="89"/>
      <c r="TBF181" s="91"/>
      <c r="TBI181" s="89"/>
      <c r="TBK181" s="91"/>
      <c r="TBN181" s="89"/>
      <c r="TBP181" s="91"/>
      <c r="TBS181" s="89"/>
      <c r="TBU181" s="91"/>
      <c r="TBX181" s="89"/>
      <c r="TBZ181" s="91"/>
      <c r="TCC181" s="89"/>
      <c r="TCE181" s="91"/>
      <c r="TCH181" s="89"/>
      <c r="TCJ181" s="91"/>
      <c r="TCM181" s="89"/>
      <c r="TCO181" s="91"/>
      <c r="TCR181" s="89"/>
      <c r="TCT181" s="91"/>
      <c r="TCW181" s="89"/>
      <c r="TCY181" s="91"/>
      <c r="TDB181" s="89"/>
      <c r="TDD181" s="91"/>
      <c r="TDG181" s="89"/>
      <c r="TDI181" s="91"/>
      <c r="TDL181" s="89"/>
      <c r="TDN181" s="91"/>
      <c r="TDQ181" s="89"/>
      <c r="TDS181" s="91"/>
      <c r="TDV181" s="89"/>
      <c r="TDX181" s="91"/>
      <c r="TEA181" s="89"/>
      <c r="TEC181" s="91"/>
      <c r="TEF181" s="89"/>
      <c r="TEH181" s="91"/>
      <c r="TEK181" s="89"/>
      <c r="TEM181" s="91"/>
      <c r="TEP181" s="89"/>
      <c r="TER181" s="91"/>
      <c r="TEU181" s="89"/>
      <c r="TEW181" s="91"/>
      <c r="TEZ181" s="89"/>
      <c r="TFB181" s="91"/>
      <c r="TFE181" s="89"/>
      <c r="TFG181" s="91"/>
      <c r="TFJ181" s="89"/>
      <c r="TFL181" s="91"/>
      <c r="TFO181" s="89"/>
      <c r="TFQ181" s="91"/>
      <c r="TFT181" s="89"/>
      <c r="TFV181" s="91"/>
      <c r="TFY181" s="89"/>
      <c r="TGA181" s="91"/>
      <c r="TGD181" s="89"/>
      <c r="TGF181" s="91"/>
      <c r="TGI181" s="89"/>
      <c r="TGK181" s="91"/>
      <c r="TGN181" s="89"/>
      <c r="TGP181" s="91"/>
      <c r="TGS181" s="89"/>
      <c r="TGU181" s="91"/>
      <c r="TGX181" s="89"/>
      <c r="TGZ181" s="91"/>
      <c r="THC181" s="89"/>
      <c r="THE181" s="91"/>
      <c r="THH181" s="89"/>
      <c r="THJ181" s="91"/>
      <c r="THM181" s="89"/>
      <c r="THO181" s="91"/>
      <c r="THR181" s="89"/>
      <c r="THT181" s="91"/>
      <c r="THW181" s="89"/>
      <c r="THY181" s="91"/>
      <c r="TIB181" s="89"/>
      <c r="TID181" s="91"/>
      <c r="TIG181" s="89"/>
      <c r="TII181" s="91"/>
      <c r="TIL181" s="89"/>
      <c r="TIN181" s="91"/>
      <c r="TIQ181" s="89"/>
      <c r="TIS181" s="91"/>
      <c r="TIV181" s="89"/>
      <c r="TIX181" s="91"/>
      <c r="TJA181" s="89"/>
      <c r="TJC181" s="91"/>
      <c r="TJF181" s="89"/>
      <c r="TJH181" s="91"/>
      <c r="TJK181" s="89"/>
      <c r="TJM181" s="91"/>
      <c r="TJP181" s="89"/>
      <c r="TJR181" s="91"/>
      <c r="TJU181" s="89"/>
      <c r="TJW181" s="91"/>
      <c r="TJZ181" s="89"/>
      <c r="TKB181" s="91"/>
      <c r="TKE181" s="89"/>
      <c r="TKG181" s="91"/>
      <c r="TKJ181" s="89"/>
      <c r="TKL181" s="91"/>
      <c r="TKO181" s="89"/>
      <c r="TKQ181" s="91"/>
      <c r="TKT181" s="89"/>
      <c r="TKV181" s="91"/>
      <c r="TKY181" s="89"/>
      <c r="TLA181" s="91"/>
      <c r="TLD181" s="89"/>
      <c r="TLF181" s="91"/>
      <c r="TLI181" s="89"/>
      <c r="TLK181" s="91"/>
      <c r="TLN181" s="89"/>
      <c r="TLP181" s="91"/>
      <c r="TLS181" s="89"/>
      <c r="TLU181" s="91"/>
      <c r="TLX181" s="89"/>
      <c r="TLZ181" s="91"/>
      <c r="TMC181" s="89"/>
      <c r="TME181" s="91"/>
      <c r="TMH181" s="89"/>
      <c r="TMJ181" s="91"/>
      <c r="TMM181" s="89"/>
      <c r="TMO181" s="91"/>
      <c r="TMR181" s="89"/>
      <c r="TMT181" s="91"/>
      <c r="TMW181" s="89"/>
      <c r="TMY181" s="91"/>
      <c r="TNB181" s="89"/>
      <c r="TND181" s="91"/>
      <c r="TNG181" s="89"/>
      <c r="TNI181" s="91"/>
      <c r="TNL181" s="89"/>
      <c r="TNN181" s="91"/>
      <c r="TNQ181" s="89"/>
      <c r="TNS181" s="91"/>
      <c r="TNV181" s="89"/>
      <c r="TNX181" s="91"/>
      <c r="TOA181" s="89"/>
      <c r="TOC181" s="91"/>
      <c r="TOF181" s="89"/>
      <c r="TOH181" s="91"/>
      <c r="TOK181" s="89"/>
      <c r="TOM181" s="91"/>
      <c r="TOP181" s="89"/>
      <c r="TOR181" s="91"/>
      <c r="TOU181" s="89"/>
      <c r="TOW181" s="91"/>
      <c r="TOZ181" s="89"/>
      <c r="TPB181" s="91"/>
      <c r="TPE181" s="89"/>
      <c r="TPG181" s="91"/>
      <c r="TPJ181" s="89"/>
      <c r="TPL181" s="91"/>
      <c r="TPO181" s="89"/>
      <c r="TPQ181" s="91"/>
      <c r="TPT181" s="89"/>
      <c r="TPV181" s="91"/>
      <c r="TPY181" s="89"/>
      <c r="TQA181" s="91"/>
      <c r="TQD181" s="89"/>
      <c r="TQF181" s="91"/>
      <c r="TQI181" s="89"/>
      <c r="TQK181" s="91"/>
      <c r="TQN181" s="89"/>
      <c r="TQP181" s="91"/>
      <c r="TQS181" s="89"/>
      <c r="TQU181" s="91"/>
      <c r="TQX181" s="89"/>
      <c r="TQZ181" s="91"/>
      <c r="TRC181" s="89"/>
      <c r="TRE181" s="91"/>
      <c r="TRH181" s="89"/>
      <c r="TRJ181" s="91"/>
      <c r="TRM181" s="89"/>
      <c r="TRO181" s="91"/>
      <c r="TRR181" s="89"/>
      <c r="TRT181" s="91"/>
      <c r="TRW181" s="89"/>
      <c r="TRY181" s="91"/>
      <c r="TSB181" s="89"/>
      <c r="TSD181" s="91"/>
      <c r="TSG181" s="89"/>
      <c r="TSI181" s="91"/>
      <c r="TSL181" s="89"/>
      <c r="TSN181" s="91"/>
      <c r="TSQ181" s="89"/>
      <c r="TSS181" s="91"/>
      <c r="TSV181" s="89"/>
      <c r="TSX181" s="91"/>
      <c r="TTA181" s="89"/>
      <c r="TTC181" s="91"/>
      <c r="TTF181" s="89"/>
      <c r="TTH181" s="91"/>
      <c r="TTK181" s="89"/>
      <c r="TTM181" s="91"/>
      <c r="TTP181" s="89"/>
      <c r="TTR181" s="91"/>
      <c r="TTU181" s="89"/>
      <c r="TTW181" s="91"/>
      <c r="TTZ181" s="89"/>
      <c r="TUB181" s="91"/>
      <c r="TUE181" s="89"/>
      <c r="TUG181" s="91"/>
      <c r="TUJ181" s="89"/>
      <c r="TUL181" s="91"/>
      <c r="TUO181" s="89"/>
      <c r="TUQ181" s="91"/>
      <c r="TUT181" s="89"/>
      <c r="TUV181" s="91"/>
      <c r="TUY181" s="89"/>
      <c r="TVA181" s="91"/>
      <c r="TVD181" s="89"/>
      <c r="TVF181" s="91"/>
      <c r="TVI181" s="89"/>
      <c r="TVK181" s="91"/>
      <c r="TVN181" s="89"/>
      <c r="TVP181" s="91"/>
      <c r="TVS181" s="89"/>
      <c r="TVU181" s="91"/>
      <c r="TVX181" s="89"/>
      <c r="TVZ181" s="91"/>
      <c r="TWC181" s="89"/>
      <c r="TWE181" s="91"/>
      <c r="TWH181" s="89"/>
      <c r="TWJ181" s="91"/>
      <c r="TWM181" s="89"/>
      <c r="TWO181" s="91"/>
      <c r="TWR181" s="89"/>
      <c r="TWT181" s="91"/>
      <c r="TWW181" s="89"/>
      <c r="TWY181" s="91"/>
      <c r="TXB181" s="89"/>
      <c r="TXD181" s="91"/>
      <c r="TXG181" s="89"/>
      <c r="TXI181" s="91"/>
      <c r="TXL181" s="89"/>
      <c r="TXN181" s="91"/>
      <c r="TXQ181" s="89"/>
      <c r="TXS181" s="91"/>
      <c r="TXV181" s="89"/>
      <c r="TXX181" s="91"/>
      <c r="TYA181" s="89"/>
      <c r="TYC181" s="91"/>
      <c r="TYF181" s="89"/>
      <c r="TYH181" s="91"/>
      <c r="TYK181" s="89"/>
      <c r="TYM181" s="91"/>
      <c r="TYP181" s="89"/>
      <c r="TYR181" s="91"/>
      <c r="TYU181" s="89"/>
      <c r="TYW181" s="91"/>
      <c r="TYZ181" s="89"/>
      <c r="TZB181" s="91"/>
      <c r="TZE181" s="89"/>
      <c r="TZG181" s="91"/>
      <c r="TZJ181" s="89"/>
      <c r="TZL181" s="91"/>
      <c r="TZO181" s="89"/>
      <c r="TZQ181" s="91"/>
      <c r="TZT181" s="89"/>
      <c r="TZV181" s="91"/>
      <c r="TZY181" s="89"/>
      <c r="UAA181" s="91"/>
      <c r="UAD181" s="89"/>
      <c r="UAF181" s="91"/>
      <c r="UAI181" s="89"/>
      <c r="UAK181" s="91"/>
      <c r="UAN181" s="89"/>
      <c r="UAP181" s="91"/>
      <c r="UAS181" s="89"/>
      <c r="UAU181" s="91"/>
      <c r="UAX181" s="89"/>
      <c r="UAZ181" s="91"/>
      <c r="UBC181" s="89"/>
      <c r="UBE181" s="91"/>
      <c r="UBH181" s="89"/>
      <c r="UBJ181" s="91"/>
      <c r="UBM181" s="89"/>
      <c r="UBO181" s="91"/>
      <c r="UBR181" s="89"/>
      <c r="UBT181" s="91"/>
      <c r="UBW181" s="89"/>
      <c r="UBY181" s="91"/>
      <c r="UCB181" s="89"/>
      <c r="UCD181" s="91"/>
      <c r="UCG181" s="89"/>
      <c r="UCI181" s="91"/>
      <c r="UCL181" s="89"/>
      <c r="UCN181" s="91"/>
      <c r="UCQ181" s="89"/>
      <c r="UCS181" s="91"/>
      <c r="UCV181" s="89"/>
      <c r="UCX181" s="91"/>
      <c r="UDA181" s="89"/>
      <c r="UDC181" s="91"/>
      <c r="UDF181" s="89"/>
      <c r="UDH181" s="91"/>
      <c r="UDK181" s="89"/>
      <c r="UDM181" s="91"/>
      <c r="UDP181" s="89"/>
      <c r="UDR181" s="91"/>
      <c r="UDU181" s="89"/>
      <c r="UDW181" s="91"/>
      <c r="UDZ181" s="89"/>
      <c r="UEB181" s="91"/>
      <c r="UEE181" s="89"/>
      <c r="UEG181" s="91"/>
      <c r="UEJ181" s="89"/>
      <c r="UEL181" s="91"/>
      <c r="UEO181" s="89"/>
      <c r="UEQ181" s="91"/>
      <c r="UET181" s="89"/>
      <c r="UEV181" s="91"/>
      <c r="UEY181" s="89"/>
      <c r="UFA181" s="91"/>
      <c r="UFD181" s="89"/>
      <c r="UFF181" s="91"/>
      <c r="UFI181" s="89"/>
      <c r="UFK181" s="91"/>
      <c r="UFN181" s="89"/>
      <c r="UFP181" s="91"/>
      <c r="UFS181" s="89"/>
      <c r="UFU181" s="91"/>
      <c r="UFX181" s="89"/>
      <c r="UFZ181" s="91"/>
      <c r="UGC181" s="89"/>
      <c r="UGE181" s="91"/>
      <c r="UGH181" s="89"/>
      <c r="UGJ181" s="91"/>
      <c r="UGM181" s="89"/>
      <c r="UGO181" s="91"/>
      <c r="UGR181" s="89"/>
      <c r="UGT181" s="91"/>
      <c r="UGW181" s="89"/>
      <c r="UGY181" s="91"/>
      <c r="UHB181" s="89"/>
      <c r="UHD181" s="91"/>
      <c r="UHG181" s="89"/>
      <c r="UHI181" s="91"/>
      <c r="UHL181" s="89"/>
      <c r="UHN181" s="91"/>
      <c r="UHQ181" s="89"/>
      <c r="UHS181" s="91"/>
      <c r="UHV181" s="89"/>
      <c r="UHX181" s="91"/>
      <c r="UIA181" s="89"/>
      <c r="UIC181" s="91"/>
      <c r="UIF181" s="89"/>
      <c r="UIH181" s="91"/>
      <c r="UIK181" s="89"/>
      <c r="UIM181" s="91"/>
      <c r="UIP181" s="89"/>
      <c r="UIR181" s="91"/>
      <c r="UIU181" s="89"/>
      <c r="UIW181" s="91"/>
      <c r="UIZ181" s="89"/>
      <c r="UJB181" s="91"/>
      <c r="UJE181" s="89"/>
      <c r="UJG181" s="91"/>
      <c r="UJJ181" s="89"/>
      <c r="UJL181" s="91"/>
      <c r="UJO181" s="89"/>
      <c r="UJQ181" s="91"/>
      <c r="UJT181" s="89"/>
      <c r="UJV181" s="91"/>
      <c r="UJY181" s="89"/>
      <c r="UKA181" s="91"/>
      <c r="UKD181" s="89"/>
      <c r="UKF181" s="91"/>
      <c r="UKI181" s="89"/>
      <c r="UKK181" s="91"/>
      <c r="UKN181" s="89"/>
      <c r="UKP181" s="91"/>
      <c r="UKS181" s="89"/>
      <c r="UKU181" s="91"/>
      <c r="UKX181" s="89"/>
      <c r="UKZ181" s="91"/>
      <c r="ULC181" s="89"/>
      <c r="ULE181" s="91"/>
      <c r="ULH181" s="89"/>
      <c r="ULJ181" s="91"/>
      <c r="ULM181" s="89"/>
      <c r="ULO181" s="91"/>
      <c r="ULR181" s="89"/>
      <c r="ULT181" s="91"/>
      <c r="ULW181" s="89"/>
      <c r="ULY181" s="91"/>
      <c r="UMB181" s="89"/>
      <c r="UMD181" s="91"/>
      <c r="UMG181" s="89"/>
      <c r="UMI181" s="91"/>
      <c r="UML181" s="89"/>
      <c r="UMN181" s="91"/>
      <c r="UMQ181" s="89"/>
      <c r="UMS181" s="91"/>
      <c r="UMV181" s="89"/>
      <c r="UMX181" s="91"/>
      <c r="UNA181" s="89"/>
      <c r="UNC181" s="91"/>
      <c r="UNF181" s="89"/>
      <c r="UNH181" s="91"/>
      <c r="UNK181" s="89"/>
      <c r="UNM181" s="91"/>
      <c r="UNP181" s="89"/>
      <c r="UNR181" s="91"/>
      <c r="UNU181" s="89"/>
      <c r="UNW181" s="91"/>
      <c r="UNZ181" s="89"/>
      <c r="UOB181" s="91"/>
      <c r="UOE181" s="89"/>
      <c r="UOG181" s="91"/>
      <c r="UOJ181" s="89"/>
      <c r="UOL181" s="91"/>
      <c r="UOO181" s="89"/>
      <c r="UOQ181" s="91"/>
      <c r="UOT181" s="89"/>
      <c r="UOV181" s="91"/>
      <c r="UOY181" s="89"/>
      <c r="UPA181" s="91"/>
      <c r="UPD181" s="89"/>
      <c r="UPF181" s="91"/>
      <c r="UPI181" s="89"/>
      <c r="UPK181" s="91"/>
      <c r="UPN181" s="89"/>
      <c r="UPP181" s="91"/>
      <c r="UPS181" s="89"/>
      <c r="UPU181" s="91"/>
      <c r="UPX181" s="89"/>
      <c r="UPZ181" s="91"/>
      <c r="UQC181" s="89"/>
      <c r="UQE181" s="91"/>
      <c r="UQH181" s="89"/>
      <c r="UQJ181" s="91"/>
      <c r="UQM181" s="89"/>
      <c r="UQO181" s="91"/>
      <c r="UQR181" s="89"/>
      <c r="UQT181" s="91"/>
      <c r="UQW181" s="89"/>
      <c r="UQY181" s="91"/>
      <c r="URB181" s="89"/>
      <c r="URD181" s="91"/>
      <c r="URG181" s="89"/>
      <c r="URI181" s="91"/>
      <c r="URL181" s="89"/>
      <c r="URN181" s="91"/>
      <c r="URQ181" s="89"/>
      <c r="URS181" s="91"/>
      <c r="URV181" s="89"/>
      <c r="URX181" s="91"/>
      <c r="USA181" s="89"/>
      <c r="USC181" s="91"/>
      <c r="USF181" s="89"/>
      <c r="USH181" s="91"/>
      <c r="USK181" s="89"/>
      <c r="USM181" s="91"/>
      <c r="USP181" s="89"/>
      <c r="USR181" s="91"/>
      <c r="USU181" s="89"/>
      <c r="USW181" s="91"/>
      <c r="USZ181" s="89"/>
      <c r="UTB181" s="91"/>
      <c r="UTE181" s="89"/>
      <c r="UTG181" s="91"/>
      <c r="UTJ181" s="89"/>
      <c r="UTL181" s="91"/>
      <c r="UTO181" s="89"/>
      <c r="UTQ181" s="91"/>
      <c r="UTT181" s="89"/>
      <c r="UTV181" s="91"/>
      <c r="UTY181" s="89"/>
      <c r="UUA181" s="91"/>
      <c r="UUD181" s="89"/>
      <c r="UUF181" s="91"/>
      <c r="UUI181" s="89"/>
      <c r="UUK181" s="91"/>
      <c r="UUN181" s="89"/>
      <c r="UUP181" s="91"/>
      <c r="UUS181" s="89"/>
      <c r="UUU181" s="91"/>
      <c r="UUX181" s="89"/>
      <c r="UUZ181" s="91"/>
      <c r="UVC181" s="89"/>
      <c r="UVE181" s="91"/>
      <c r="UVH181" s="89"/>
      <c r="UVJ181" s="91"/>
      <c r="UVM181" s="89"/>
      <c r="UVO181" s="91"/>
      <c r="UVR181" s="89"/>
      <c r="UVT181" s="91"/>
      <c r="UVW181" s="89"/>
      <c r="UVY181" s="91"/>
      <c r="UWB181" s="89"/>
      <c r="UWD181" s="91"/>
      <c r="UWG181" s="89"/>
      <c r="UWI181" s="91"/>
      <c r="UWL181" s="89"/>
      <c r="UWN181" s="91"/>
      <c r="UWQ181" s="89"/>
      <c r="UWS181" s="91"/>
      <c r="UWV181" s="89"/>
      <c r="UWX181" s="91"/>
      <c r="UXA181" s="89"/>
      <c r="UXC181" s="91"/>
      <c r="UXF181" s="89"/>
      <c r="UXH181" s="91"/>
      <c r="UXK181" s="89"/>
      <c r="UXM181" s="91"/>
      <c r="UXP181" s="89"/>
      <c r="UXR181" s="91"/>
      <c r="UXU181" s="89"/>
      <c r="UXW181" s="91"/>
      <c r="UXZ181" s="89"/>
      <c r="UYB181" s="91"/>
      <c r="UYE181" s="89"/>
      <c r="UYG181" s="91"/>
      <c r="UYJ181" s="89"/>
      <c r="UYL181" s="91"/>
      <c r="UYO181" s="89"/>
      <c r="UYQ181" s="91"/>
      <c r="UYT181" s="89"/>
      <c r="UYV181" s="91"/>
      <c r="UYY181" s="89"/>
      <c r="UZA181" s="91"/>
      <c r="UZD181" s="89"/>
      <c r="UZF181" s="91"/>
      <c r="UZI181" s="89"/>
      <c r="UZK181" s="91"/>
      <c r="UZN181" s="89"/>
      <c r="UZP181" s="91"/>
      <c r="UZS181" s="89"/>
      <c r="UZU181" s="91"/>
      <c r="UZX181" s="89"/>
      <c r="UZZ181" s="91"/>
      <c r="VAC181" s="89"/>
      <c r="VAE181" s="91"/>
      <c r="VAH181" s="89"/>
      <c r="VAJ181" s="91"/>
      <c r="VAM181" s="89"/>
      <c r="VAO181" s="91"/>
      <c r="VAR181" s="89"/>
      <c r="VAT181" s="91"/>
      <c r="VAW181" s="89"/>
      <c r="VAY181" s="91"/>
      <c r="VBB181" s="89"/>
      <c r="VBD181" s="91"/>
      <c r="VBG181" s="89"/>
      <c r="VBI181" s="91"/>
      <c r="VBL181" s="89"/>
      <c r="VBN181" s="91"/>
      <c r="VBQ181" s="89"/>
      <c r="VBS181" s="91"/>
      <c r="VBV181" s="89"/>
      <c r="VBX181" s="91"/>
      <c r="VCA181" s="89"/>
      <c r="VCC181" s="91"/>
      <c r="VCF181" s="89"/>
      <c r="VCH181" s="91"/>
      <c r="VCK181" s="89"/>
      <c r="VCM181" s="91"/>
      <c r="VCP181" s="89"/>
      <c r="VCR181" s="91"/>
      <c r="VCU181" s="89"/>
      <c r="VCW181" s="91"/>
      <c r="VCZ181" s="89"/>
      <c r="VDB181" s="91"/>
      <c r="VDE181" s="89"/>
      <c r="VDG181" s="91"/>
      <c r="VDJ181" s="89"/>
      <c r="VDL181" s="91"/>
      <c r="VDO181" s="89"/>
      <c r="VDQ181" s="91"/>
      <c r="VDT181" s="89"/>
      <c r="VDV181" s="91"/>
      <c r="VDY181" s="89"/>
      <c r="VEA181" s="91"/>
      <c r="VED181" s="89"/>
      <c r="VEF181" s="91"/>
      <c r="VEI181" s="89"/>
      <c r="VEK181" s="91"/>
      <c r="VEN181" s="89"/>
      <c r="VEP181" s="91"/>
      <c r="VES181" s="89"/>
      <c r="VEU181" s="91"/>
      <c r="VEX181" s="89"/>
      <c r="VEZ181" s="91"/>
      <c r="VFC181" s="89"/>
      <c r="VFE181" s="91"/>
      <c r="VFH181" s="89"/>
      <c r="VFJ181" s="91"/>
      <c r="VFM181" s="89"/>
      <c r="VFO181" s="91"/>
      <c r="VFR181" s="89"/>
      <c r="VFT181" s="91"/>
      <c r="VFW181" s="89"/>
      <c r="VFY181" s="91"/>
      <c r="VGB181" s="89"/>
      <c r="VGD181" s="91"/>
      <c r="VGG181" s="89"/>
      <c r="VGI181" s="91"/>
      <c r="VGL181" s="89"/>
      <c r="VGN181" s="91"/>
      <c r="VGQ181" s="89"/>
      <c r="VGS181" s="91"/>
      <c r="VGV181" s="89"/>
      <c r="VGX181" s="91"/>
      <c r="VHA181" s="89"/>
      <c r="VHC181" s="91"/>
      <c r="VHF181" s="89"/>
      <c r="VHH181" s="91"/>
      <c r="VHK181" s="89"/>
      <c r="VHM181" s="91"/>
      <c r="VHP181" s="89"/>
      <c r="VHR181" s="91"/>
      <c r="VHU181" s="89"/>
      <c r="VHW181" s="91"/>
      <c r="VHZ181" s="89"/>
      <c r="VIB181" s="91"/>
      <c r="VIE181" s="89"/>
      <c r="VIG181" s="91"/>
      <c r="VIJ181" s="89"/>
      <c r="VIL181" s="91"/>
      <c r="VIO181" s="89"/>
      <c r="VIQ181" s="91"/>
      <c r="VIT181" s="89"/>
      <c r="VIV181" s="91"/>
      <c r="VIY181" s="89"/>
      <c r="VJA181" s="91"/>
      <c r="VJD181" s="89"/>
      <c r="VJF181" s="91"/>
      <c r="VJI181" s="89"/>
      <c r="VJK181" s="91"/>
      <c r="VJN181" s="89"/>
      <c r="VJP181" s="91"/>
      <c r="VJS181" s="89"/>
      <c r="VJU181" s="91"/>
      <c r="VJX181" s="89"/>
      <c r="VJZ181" s="91"/>
      <c r="VKC181" s="89"/>
      <c r="VKE181" s="91"/>
      <c r="VKH181" s="89"/>
      <c r="VKJ181" s="91"/>
      <c r="VKM181" s="89"/>
      <c r="VKO181" s="91"/>
      <c r="VKR181" s="89"/>
      <c r="VKT181" s="91"/>
      <c r="VKW181" s="89"/>
      <c r="VKY181" s="91"/>
      <c r="VLB181" s="89"/>
      <c r="VLD181" s="91"/>
      <c r="VLG181" s="89"/>
      <c r="VLI181" s="91"/>
      <c r="VLL181" s="89"/>
      <c r="VLN181" s="91"/>
      <c r="VLQ181" s="89"/>
      <c r="VLS181" s="91"/>
      <c r="VLV181" s="89"/>
      <c r="VLX181" s="91"/>
      <c r="VMA181" s="89"/>
      <c r="VMC181" s="91"/>
      <c r="VMF181" s="89"/>
      <c r="VMH181" s="91"/>
      <c r="VMK181" s="89"/>
      <c r="VMM181" s="91"/>
      <c r="VMP181" s="89"/>
      <c r="VMR181" s="91"/>
      <c r="VMU181" s="89"/>
      <c r="VMW181" s="91"/>
      <c r="VMZ181" s="89"/>
      <c r="VNB181" s="91"/>
      <c r="VNE181" s="89"/>
      <c r="VNG181" s="91"/>
      <c r="VNJ181" s="89"/>
      <c r="VNL181" s="91"/>
      <c r="VNO181" s="89"/>
      <c r="VNQ181" s="91"/>
      <c r="VNT181" s="89"/>
      <c r="VNV181" s="91"/>
      <c r="VNY181" s="89"/>
      <c r="VOA181" s="91"/>
      <c r="VOD181" s="89"/>
      <c r="VOF181" s="91"/>
      <c r="VOI181" s="89"/>
      <c r="VOK181" s="91"/>
      <c r="VON181" s="89"/>
      <c r="VOP181" s="91"/>
      <c r="VOS181" s="89"/>
      <c r="VOU181" s="91"/>
      <c r="VOX181" s="89"/>
      <c r="VOZ181" s="91"/>
      <c r="VPC181" s="89"/>
      <c r="VPE181" s="91"/>
      <c r="VPH181" s="89"/>
      <c r="VPJ181" s="91"/>
      <c r="VPM181" s="89"/>
      <c r="VPO181" s="91"/>
      <c r="VPR181" s="89"/>
      <c r="VPT181" s="91"/>
      <c r="VPW181" s="89"/>
      <c r="VPY181" s="91"/>
      <c r="VQB181" s="89"/>
      <c r="VQD181" s="91"/>
      <c r="VQG181" s="89"/>
      <c r="VQI181" s="91"/>
      <c r="VQL181" s="89"/>
      <c r="VQN181" s="91"/>
      <c r="VQQ181" s="89"/>
      <c r="VQS181" s="91"/>
      <c r="VQV181" s="89"/>
      <c r="VQX181" s="91"/>
      <c r="VRA181" s="89"/>
      <c r="VRC181" s="91"/>
      <c r="VRF181" s="89"/>
      <c r="VRH181" s="91"/>
      <c r="VRK181" s="89"/>
      <c r="VRM181" s="91"/>
      <c r="VRP181" s="89"/>
      <c r="VRR181" s="91"/>
      <c r="VRU181" s="89"/>
      <c r="VRW181" s="91"/>
      <c r="VRZ181" s="89"/>
      <c r="VSB181" s="91"/>
      <c r="VSE181" s="89"/>
      <c r="VSG181" s="91"/>
      <c r="VSJ181" s="89"/>
      <c r="VSL181" s="91"/>
      <c r="VSO181" s="89"/>
      <c r="VSQ181" s="91"/>
      <c r="VST181" s="89"/>
      <c r="VSV181" s="91"/>
      <c r="VSY181" s="89"/>
      <c r="VTA181" s="91"/>
      <c r="VTD181" s="89"/>
      <c r="VTF181" s="91"/>
      <c r="VTI181" s="89"/>
      <c r="VTK181" s="91"/>
      <c r="VTN181" s="89"/>
      <c r="VTP181" s="91"/>
      <c r="VTS181" s="89"/>
      <c r="VTU181" s="91"/>
      <c r="VTX181" s="89"/>
      <c r="VTZ181" s="91"/>
      <c r="VUC181" s="89"/>
      <c r="VUE181" s="91"/>
      <c r="VUH181" s="89"/>
      <c r="VUJ181" s="91"/>
      <c r="VUM181" s="89"/>
      <c r="VUO181" s="91"/>
      <c r="VUR181" s="89"/>
      <c r="VUT181" s="91"/>
      <c r="VUW181" s="89"/>
      <c r="VUY181" s="91"/>
      <c r="VVB181" s="89"/>
      <c r="VVD181" s="91"/>
      <c r="VVG181" s="89"/>
      <c r="VVI181" s="91"/>
      <c r="VVL181" s="89"/>
      <c r="VVN181" s="91"/>
      <c r="VVQ181" s="89"/>
      <c r="VVS181" s="91"/>
      <c r="VVV181" s="89"/>
      <c r="VVX181" s="91"/>
      <c r="VWA181" s="89"/>
      <c r="VWC181" s="91"/>
      <c r="VWF181" s="89"/>
      <c r="VWH181" s="91"/>
      <c r="VWK181" s="89"/>
      <c r="VWM181" s="91"/>
      <c r="VWP181" s="89"/>
      <c r="VWR181" s="91"/>
      <c r="VWU181" s="89"/>
      <c r="VWW181" s="91"/>
      <c r="VWZ181" s="89"/>
      <c r="VXB181" s="91"/>
      <c r="VXE181" s="89"/>
      <c r="VXG181" s="91"/>
      <c r="VXJ181" s="89"/>
      <c r="VXL181" s="91"/>
      <c r="VXO181" s="89"/>
      <c r="VXQ181" s="91"/>
      <c r="VXT181" s="89"/>
      <c r="VXV181" s="91"/>
      <c r="VXY181" s="89"/>
      <c r="VYA181" s="91"/>
      <c r="VYD181" s="89"/>
      <c r="VYF181" s="91"/>
      <c r="VYI181" s="89"/>
      <c r="VYK181" s="91"/>
      <c r="VYN181" s="89"/>
      <c r="VYP181" s="91"/>
      <c r="VYS181" s="89"/>
      <c r="VYU181" s="91"/>
      <c r="VYX181" s="89"/>
      <c r="VYZ181" s="91"/>
      <c r="VZC181" s="89"/>
      <c r="VZE181" s="91"/>
      <c r="VZH181" s="89"/>
      <c r="VZJ181" s="91"/>
      <c r="VZM181" s="89"/>
      <c r="VZO181" s="91"/>
      <c r="VZR181" s="89"/>
      <c r="VZT181" s="91"/>
      <c r="VZW181" s="89"/>
      <c r="VZY181" s="91"/>
      <c r="WAB181" s="89"/>
      <c r="WAD181" s="91"/>
      <c r="WAG181" s="89"/>
      <c r="WAI181" s="91"/>
      <c r="WAL181" s="89"/>
      <c r="WAN181" s="91"/>
      <c r="WAQ181" s="89"/>
      <c r="WAS181" s="91"/>
      <c r="WAV181" s="89"/>
      <c r="WAX181" s="91"/>
      <c r="WBA181" s="89"/>
      <c r="WBC181" s="91"/>
      <c r="WBF181" s="89"/>
      <c r="WBH181" s="91"/>
      <c r="WBK181" s="89"/>
      <c r="WBM181" s="91"/>
      <c r="WBP181" s="89"/>
      <c r="WBR181" s="91"/>
      <c r="WBU181" s="89"/>
      <c r="WBW181" s="91"/>
      <c r="WBZ181" s="89"/>
      <c r="WCB181" s="91"/>
      <c r="WCE181" s="89"/>
      <c r="WCG181" s="91"/>
      <c r="WCJ181" s="89"/>
      <c r="WCL181" s="91"/>
      <c r="WCO181" s="89"/>
      <c r="WCQ181" s="91"/>
      <c r="WCT181" s="89"/>
      <c r="WCV181" s="91"/>
      <c r="WCY181" s="89"/>
      <c r="WDA181" s="91"/>
      <c r="WDD181" s="89"/>
      <c r="WDF181" s="91"/>
      <c r="WDI181" s="89"/>
      <c r="WDK181" s="91"/>
      <c r="WDN181" s="89"/>
      <c r="WDP181" s="91"/>
      <c r="WDS181" s="89"/>
      <c r="WDU181" s="91"/>
      <c r="WDX181" s="89"/>
      <c r="WDZ181" s="91"/>
      <c r="WEC181" s="89"/>
      <c r="WEE181" s="91"/>
      <c r="WEH181" s="89"/>
      <c r="WEJ181" s="91"/>
      <c r="WEM181" s="89"/>
      <c r="WEO181" s="91"/>
      <c r="WER181" s="89"/>
      <c r="WET181" s="91"/>
      <c r="WEW181" s="89"/>
      <c r="WEY181" s="91"/>
      <c r="WFB181" s="89"/>
      <c r="WFD181" s="91"/>
      <c r="WFG181" s="89"/>
      <c r="WFI181" s="91"/>
      <c r="WFL181" s="89"/>
      <c r="WFN181" s="91"/>
      <c r="WFQ181" s="89"/>
      <c r="WFS181" s="91"/>
      <c r="WFV181" s="89"/>
      <c r="WFX181" s="91"/>
      <c r="WGA181" s="89"/>
      <c r="WGC181" s="91"/>
      <c r="WGF181" s="89"/>
      <c r="WGH181" s="91"/>
      <c r="WGK181" s="89"/>
      <c r="WGM181" s="91"/>
      <c r="WGP181" s="89"/>
      <c r="WGR181" s="91"/>
      <c r="WGU181" s="89"/>
      <c r="WGW181" s="91"/>
      <c r="WGZ181" s="89"/>
      <c r="WHB181" s="91"/>
      <c r="WHE181" s="89"/>
      <c r="WHG181" s="91"/>
      <c r="WHJ181" s="89"/>
      <c r="WHL181" s="91"/>
      <c r="WHO181" s="89"/>
      <c r="WHQ181" s="91"/>
      <c r="WHT181" s="89"/>
      <c r="WHV181" s="91"/>
      <c r="WHY181" s="89"/>
      <c r="WIA181" s="91"/>
      <c r="WID181" s="89"/>
      <c r="WIF181" s="91"/>
      <c r="WII181" s="89"/>
      <c r="WIK181" s="91"/>
      <c r="WIN181" s="89"/>
      <c r="WIP181" s="91"/>
      <c r="WIS181" s="89"/>
      <c r="WIU181" s="91"/>
      <c r="WIX181" s="89"/>
      <c r="WIZ181" s="91"/>
      <c r="WJC181" s="89"/>
      <c r="WJE181" s="91"/>
      <c r="WJH181" s="89"/>
      <c r="WJJ181" s="91"/>
      <c r="WJM181" s="89"/>
      <c r="WJO181" s="91"/>
      <c r="WJR181" s="89"/>
      <c r="WJT181" s="91"/>
      <c r="WJW181" s="89"/>
      <c r="WJY181" s="91"/>
      <c r="WKB181" s="89"/>
      <c r="WKD181" s="91"/>
      <c r="WKG181" s="89"/>
      <c r="WKI181" s="91"/>
      <c r="WKL181" s="89"/>
      <c r="WKN181" s="91"/>
      <c r="WKQ181" s="89"/>
      <c r="WKS181" s="91"/>
      <c r="WKV181" s="89"/>
      <c r="WKX181" s="91"/>
      <c r="WLA181" s="89"/>
      <c r="WLC181" s="91"/>
      <c r="WLF181" s="89"/>
      <c r="WLH181" s="91"/>
      <c r="WLK181" s="89"/>
      <c r="WLM181" s="91"/>
      <c r="WLP181" s="89"/>
      <c r="WLR181" s="91"/>
      <c r="WLU181" s="89"/>
      <c r="WLW181" s="91"/>
      <c r="WLZ181" s="89"/>
      <c r="WMB181" s="91"/>
      <c r="WME181" s="89"/>
      <c r="WMG181" s="91"/>
      <c r="WMJ181" s="89"/>
      <c r="WML181" s="91"/>
      <c r="WMO181" s="89"/>
      <c r="WMQ181" s="91"/>
      <c r="WMT181" s="89"/>
      <c r="WMV181" s="91"/>
      <c r="WMY181" s="89"/>
      <c r="WNA181" s="91"/>
      <c r="WND181" s="89"/>
      <c r="WNF181" s="91"/>
      <c r="WNI181" s="89"/>
      <c r="WNK181" s="91"/>
      <c r="WNN181" s="89"/>
      <c r="WNP181" s="91"/>
      <c r="WNS181" s="89"/>
      <c r="WNU181" s="91"/>
      <c r="WNX181" s="89"/>
      <c r="WNZ181" s="91"/>
      <c r="WOC181" s="89"/>
      <c r="WOE181" s="91"/>
      <c r="WOH181" s="89"/>
      <c r="WOJ181" s="91"/>
      <c r="WOM181" s="89"/>
      <c r="WOO181" s="91"/>
      <c r="WOR181" s="89"/>
      <c r="WOT181" s="91"/>
      <c r="WOW181" s="89"/>
      <c r="WOY181" s="91"/>
      <c r="WPB181" s="89"/>
      <c r="WPD181" s="91"/>
      <c r="WPG181" s="89"/>
      <c r="WPI181" s="91"/>
      <c r="WPL181" s="89"/>
      <c r="WPN181" s="91"/>
      <c r="WPQ181" s="89"/>
      <c r="WPS181" s="91"/>
      <c r="WPV181" s="89"/>
      <c r="WPX181" s="91"/>
      <c r="WQA181" s="89"/>
      <c r="WQC181" s="91"/>
      <c r="WQF181" s="89"/>
      <c r="WQH181" s="91"/>
      <c r="WQK181" s="89"/>
      <c r="WQM181" s="91"/>
      <c r="WQP181" s="89"/>
      <c r="WQR181" s="91"/>
      <c r="WQU181" s="89"/>
      <c r="WQW181" s="91"/>
      <c r="WQZ181" s="89"/>
      <c r="WRB181" s="91"/>
      <c r="WRE181" s="89"/>
      <c r="WRG181" s="91"/>
      <c r="WRJ181" s="89"/>
      <c r="WRL181" s="91"/>
      <c r="WRO181" s="89"/>
      <c r="WRQ181" s="91"/>
      <c r="WRT181" s="89"/>
      <c r="WRV181" s="91"/>
      <c r="WRY181" s="89"/>
      <c r="WSA181" s="91"/>
      <c r="WSD181" s="89"/>
      <c r="WSF181" s="91"/>
      <c r="WSI181" s="89"/>
      <c r="WSK181" s="91"/>
      <c r="WSN181" s="89"/>
      <c r="WSP181" s="91"/>
      <c r="WSS181" s="89"/>
      <c r="WSU181" s="91"/>
      <c r="WSX181" s="89"/>
      <c r="WSZ181" s="91"/>
      <c r="WTC181" s="89"/>
      <c r="WTE181" s="91"/>
      <c r="WTH181" s="89"/>
      <c r="WTJ181" s="91"/>
      <c r="WTM181" s="89"/>
      <c r="WTO181" s="91"/>
      <c r="WTR181" s="89"/>
      <c r="WTT181" s="91"/>
      <c r="WTW181" s="89"/>
      <c r="WTY181" s="91"/>
      <c r="WUB181" s="89"/>
      <c r="WUD181" s="91"/>
      <c r="WUG181" s="89"/>
      <c r="WUI181" s="91"/>
      <c r="WUL181" s="89"/>
      <c r="WUN181" s="91"/>
      <c r="WUQ181" s="89"/>
      <c r="WUS181" s="91"/>
      <c r="WUV181" s="89"/>
      <c r="WUX181" s="91"/>
      <c r="WVA181" s="89"/>
      <c r="WVC181" s="91"/>
      <c r="WVF181" s="89"/>
      <c r="WVH181" s="91"/>
      <c r="WVK181" s="89"/>
      <c r="WVM181" s="91"/>
      <c r="WVP181" s="89"/>
      <c r="WVR181" s="91"/>
      <c r="WVU181" s="89"/>
      <c r="WVW181" s="91"/>
      <c r="WVZ181" s="89"/>
      <c r="WWB181" s="91"/>
      <c r="WWE181" s="89"/>
      <c r="WWG181" s="91"/>
      <c r="WWJ181" s="89"/>
      <c r="WWL181" s="91"/>
      <c r="WWO181" s="89"/>
      <c r="WWQ181" s="91"/>
      <c r="WWT181" s="89"/>
      <c r="WWV181" s="91"/>
      <c r="WWY181" s="89"/>
      <c r="WXA181" s="91"/>
      <c r="WXD181" s="89"/>
      <c r="WXF181" s="91"/>
      <c r="WXI181" s="89"/>
      <c r="WXK181" s="91"/>
      <c r="WXN181" s="89"/>
      <c r="WXP181" s="91"/>
      <c r="WXS181" s="89"/>
      <c r="WXU181" s="91"/>
      <c r="WXX181" s="89"/>
      <c r="WXZ181" s="91"/>
      <c r="WYC181" s="89"/>
      <c r="WYE181" s="91"/>
      <c r="WYH181" s="89"/>
      <c r="WYJ181" s="91"/>
      <c r="WYM181" s="89"/>
      <c r="WYO181" s="91"/>
      <c r="WYR181" s="89"/>
      <c r="WYT181" s="91"/>
      <c r="WYW181" s="89"/>
      <c r="WYY181" s="91"/>
      <c r="WZB181" s="89"/>
      <c r="WZD181" s="91"/>
      <c r="WZG181" s="89"/>
      <c r="WZI181" s="91"/>
      <c r="WZL181" s="89"/>
      <c r="WZN181" s="91"/>
      <c r="WZQ181" s="89"/>
      <c r="WZS181" s="91"/>
      <c r="WZV181" s="89"/>
      <c r="WZX181" s="91"/>
      <c r="XAA181" s="89"/>
      <c r="XAC181" s="91"/>
      <c r="XAF181" s="89"/>
      <c r="XAH181" s="91"/>
      <c r="XAK181" s="89"/>
      <c r="XAM181" s="91"/>
      <c r="XAP181" s="89"/>
      <c r="XAR181" s="91"/>
      <c r="XAU181" s="89"/>
      <c r="XAW181" s="91"/>
      <c r="XAZ181" s="89"/>
      <c r="XBB181" s="91"/>
      <c r="XBE181" s="89"/>
      <c r="XBG181" s="91"/>
      <c r="XBJ181" s="89"/>
      <c r="XBL181" s="91"/>
      <c r="XBO181" s="89"/>
      <c r="XBQ181" s="91"/>
      <c r="XBT181" s="89"/>
      <c r="XBV181" s="91"/>
      <c r="XBY181" s="89"/>
      <c r="XCA181" s="91"/>
      <c r="XCD181" s="89"/>
      <c r="XCF181" s="91"/>
      <c r="XCI181" s="89"/>
      <c r="XCK181" s="91"/>
      <c r="XCN181" s="89"/>
      <c r="XCP181" s="91"/>
      <c r="XCS181" s="89"/>
      <c r="XCU181" s="91"/>
      <c r="XCX181" s="89"/>
      <c r="XCZ181" s="91"/>
      <c r="XDC181" s="89"/>
      <c r="XDE181" s="91"/>
      <c r="XDH181" s="89"/>
      <c r="XDJ181" s="91"/>
      <c r="XDM181" s="89"/>
      <c r="XDO181" s="91"/>
      <c r="XDR181" s="89"/>
      <c r="XDT181" s="91"/>
      <c r="XDW181" s="89"/>
      <c r="XDY181" s="91"/>
      <c r="XEB181" s="89"/>
      <c r="XED181" s="91"/>
      <c r="XEG181" s="89"/>
      <c r="XEI181" s="91"/>
      <c r="XEL181" s="89"/>
      <c r="XEN181" s="91"/>
      <c r="XEQ181" s="89"/>
      <c r="XES181" s="91"/>
      <c r="XEV181" s="89"/>
      <c r="XEX181" s="91"/>
      <c r="XFA181" s="89"/>
      <c r="XFC181" s="91"/>
    </row>
    <row r="185" spans="1:1023 1026:2048 2051:3071 3073:4096 4098:5118 5121:6143 6146:7168 7171:8191 8193:9216 9218:10238 10241:11263 11266:12288 12291:13311 13313:14336 14338:15358 15361:16383" x14ac:dyDescent="0.2">
      <c r="A185" s="45">
        <v>45713</v>
      </c>
      <c r="B185" s="37" t="s">
        <v>232</v>
      </c>
      <c r="C185" s="47">
        <v>32160000</v>
      </c>
      <c r="D185" s="37" t="s">
        <v>233</v>
      </c>
      <c r="E185" s="37" t="s">
        <v>234</v>
      </c>
    </row>
    <row r="186" spans="1:1023 1026:2048 2051:3071 3073:4096 4098:5118 5121:6143 6146:7168 7171:8191 8193:9216 9218:10238 10241:11263 11266:12288 12291:13311 13313:14336 14338:15358 15361:16383" s="90" customFormat="1" x14ac:dyDescent="0.2">
      <c r="A186" s="89"/>
      <c r="B186" s="90" t="str">
        <f>+D185</f>
        <v>Importaciones</v>
      </c>
      <c r="C186" s="91">
        <f>SUM(C185)</f>
        <v>32160000</v>
      </c>
      <c r="F186" s="89"/>
      <c r="H186" s="91"/>
      <c r="K186" s="89"/>
      <c r="M186" s="91"/>
      <c r="P186" s="89"/>
      <c r="R186" s="91"/>
      <c r="U186" s="89"/>
      <c r="W186" s="91"/>
      <c r="Z186" s="89"/>
      <c r="AB186" s="91"/>
      <c r="AE186" s="89"/>
      <c r="AG186" s="91"/>
      <c r="AJ186" s="89"/>
      <c r="AL186" s="91"/>
      <c r="AO186" s="89"/>
      <c r="AQ186" s="91"/>
      <c r="AT186" s="89"/>
      <c r="AV186" s="91"/>
      <c r="AY186" s="89"/>
      <c r="BA186" s="91"/>
      <c r="BD186" s="89"/>
      <c r="BF186" s="91"/>
      <c r="BI186" s="89"/>
      <c r="BK186" s="91"/>
      <c r="BN186" s="89"/>
      <c r="BP186" s="91"/>
      <c r="BS186" s="89"/>
      <c r="BU186" s="91"/>
      <c r="BX186" s="89"/>
      <c r="BZ186" s="91"/>
      <c r="CC186" s="89"/>
      <c r="CE186" s="91"/>
      <c r="CH186" s="89"/>
      <c r="CJ186" s="91"/>
      <c r="CM186" s="89"/>
      <c r="CO186" s="91"/>
      <c r="CR186" s="89"/>
      <c r="CT186" s="91"/>
      <c r="CW186" s="89"/>
      <c r="CY186" s="91"/>
      <c r="DB186" s="89"/>
      <c r="DD186" s="91"/>
      <c r="DG186" s="89"/>
      <c r="DI186" s="91"/>
      <c r="DL186" s="89"/>
      <c r="DN186" s="91"/>
      <c r="DQ186" s="89"/>
      <c r="DS186" s="91"/>
      <c r="DV186" s="89"/>
      <c r="DX186" s="91"/>
      <c r="EA186" s="89"/>
      <c r="EC186" s="91"/>
      <c r="EF186" s="89"/>
      <c r="EH186" s="91"/>
      <c r="EK186" s="89"/>
      <c r="EM186" s="91"/>
      <c r="EP186" s="89"/>
      <c r="ER186" s="91"/>
      <c r="EU186" s="89"/>
      <c r="EW186" s="91"/>
      <c r="EZ186" s="89"/>
      <c r="FB186" s="91"/>
      <c r="FE186" s="89"/>
      <c r="FG186" s="91"/>
      <c r="FJ186" s="89"/>
      <c r="FL186" s="91"/>
      <c r="FO186" s="89"/>
      <c r="FQ186" s="91"/>
      <c r="FT186" s="89"/>
      <c r="FV186" s="91"/>
      <c r="FY186" s="89"/>
      <c r="GA186" s="91"/>
      <c r="GD186" s="89"/>
      <c r="GF186" s="91"/>
      <c r="GI186" s="89"/>
      <c r="GK186" s="91"/>
      <c r="GN186" s="89"/>
      <c r="GP186" s="91"/>
      <c r="GS186" s="89"/>
      <c r="GU186" s="91"/>
      <c r="GX186" s="89"/>
      <c r="GZ186" s="91"/>
      <c r="HC186" s="89"/>
      <c r="HE186" s="91"/>
      <c r="HH186" s="89"/>
      <c r="HJ186" s="91"/>
      <c r="HM186" s="89"/>
      <c r="HO186" s="91"/>
      <c r="HR186" s="89"/>
      <c r="HT186" s="91"/>
      <c r="HW186" s="89"/>
      <c r="HY186" s="91"/>
      <c r="IB186" s="89"/>
      <c r="ID186" s="91"/>
      <c r="IG186" s="89"/>
      <c r="II186" s="91"/>
      <c r="IL186" s="89"/>
      <c r="IN186" s="91"/>
      <c r="IQ186" s="89"/>
      <c r="IS186" s="91"/>
      <c r="IV186" s="89"/>
      <c r="IX186" s="91"/>
      <c r="JA186" s="89"/>
      <c r="JC186" s="91"/>
      <c r="JF186" s="89"/>
      <c r="JH186" s="91"/>
      <c r="JK186" s="89"/>
      <c r="JM186" s="91"/>
      <c r="JP186" s="89"/>
      <c r="JR186" s="91"/>
      <c r="JU186" s="89"/>
      <c r="JW186" s="91"/>
      <c r="JZ186" s="89"/>
      <c r="KB186" s="91"/>
      <c r="KE186" s="89"/>
      <c r="KG186" s="91"/>
      <c r="KJ186" s="89"/>
      <c r="KL186" s="91"/>
      <c r="KO186" s="89"/>
      <c r="KQ186" s="91"/>
      <c r="KT186" s="89"/>
      <c r="KV186" s="91"/>
      <c r="KY186" s="89"/>
      <c r="LA186" s="91"/>
      <c r="LD186" s="89"/>
      <c r="LF186" s="91"/>
      <c r="LI186" s="89"/>
      <c r="LK186" s="91"/>
      <c r="LN186" s="89"/>
      <c r="LP186" s="91"/>
      <c r="LS186" s="89"/>
      <c r="LU186" s="91"/>
      <c r="LX186" s="89"/>
      <c r="LZ186" s="91"/>
      <c r="MC186" s="89"/>
      <c r="ME186" s="91"/>
      <c r="MH186" s="89"/>
      <c r="MJ186" s="91"/>
      <c r="MM186" s="89"/>
      <c r="MO186" s="91"/>
      <c r="MR186" s="89"/>
      <c r="MT186" s="91"/>
      <c r="MW186" s="89"/>
      <c r="MY186" s="91"/>
      <c r="NB186" s="89"/>
      <c r="ND186" s="91"/>
      <c r="NG186" s="89"/>
      <c r="NI186" s="91"/>
      <c r="NL186" s="89"/>
      <c r="NN186" s="91"/>
      <c r="NQ186" s="89"/>
      <c r="NS186" s="91"/>
      <c r="NV186" s="89"/>
      <c r="NX186" s="91"/>
      <c r="OA186" s="89"/>
      <c r="OC186" s="91"/>
      <c r="OF186" s="89"/>
      <c r="OH186" s="91"/>
      <c r="OK186" s="89"/>
      <c r="OM186" s="91"/>
      <c r="OP186" s="89"/>
      <c r="OR186" s="91"/>
      <c r="OU186" s="89"/>
      <c r="OW186" s="91"/>
      <c r="OZ186" s="89"/>
      <c r="PB186" s="91"/>
      <c r="PE186" s="89"/>
      <c r="PG186" s="91"/>
      <c r="PJ186" s="89"/>
      <c r="PL186" s="91"/>
      <c r="PO186" s="89"/>
      <c r="PQ186" s="91"/>
      <c r="PT186" s="89"/>
      <c r="PV186" s="91"/>
      <c r="PY186" s="89"/>
      <c r="QA186" s="91"/>
      <c r="QD186" s="89"/>
      <c r="QF186" s="91"/>
      <c r="QI186" s="89"/>
      <c r="QK186" s="91"/>
      <c r="QN186" s="89"/>
      <c r="QP186" s="91"/>
      <c r="QS186" s="89"/>
      <c r="QU186" s="91"/>
      <c r="QX186" s="89"/>
      <c r="QZ186" s="91"/>
      <c r="RC186" s="89"/>
      <c r="RE186" s="91"/>
      <c r="RH186" s="89"/>
      <c r="RJ186" s="91"/>
      <c r="RM186" s="89"/>
      <c r="RO186" s="91"/>
      <c r="RR186" s="89"/>
      <c r="RT186" s="91"/>
      <c r="RW186" s="89"/>
      <c r="RY186" s="91"/>
      <c r="SB186" s="89"/>
      <c r="SD186" s="91"/>
      <c r="SG186" s="89"/>
      <c r="SI186" s="91"/>
      <c r="SL186" s="89"/>
      <c r="SN186" s="91"/>
      <c r="SQ186" s="89"/>
      <c r="SS186" s="91"/>
      <c r="SV186" s="89"/>
      <c r="SX186" s="91"/>
      <c r="TA186" s="89"/>
      <c r="TC186" s="91"/>
      <c r="TF186" s="89"/>
      <c r="TH186" s="91"/>
      <c r="TK186" s="89"/>
      <c r="TM186" s="91"/>
      <c r="TP186" s="89"/>
      <c r="TR186" s="91"/>
      <c r="TU186" s="89"/>
      <c r="TW186" s="91"/>
      <c r="TZ186" s="89"/>
      <c r="UB186" s="91"/>
      <c r="UE186" s="89"/>
      <c r="UG186" s="91"/>
      <c r="UJ186" s="89"/>
      <c r="UL186" s="91"/>
      <c r="UO186" s="89"/>
      <c r="UQ186" s="91"/>
      <c r="UT186" s="89"/>
      <c r="UV186" s="91"/>
      <c r="UY186" s="89"/>
      <c r="VA186" s="91"/>
      <c r="VD186" s="89"/>
      <c r="VF186" s="91"/>
      <c r="VI186" s="89"/>
      <c r="VK186" s="91"/>
      <c r="VN186" s="89"/>
      <c r="VP186" s="91"/>
      <c r="VS186" s="89"/>
      <c r="VU186" s="91"/>
      <c r="VX186" s="89"/>
      <c r="VZ186" s="91"/>
      <c r="WC186" s="89"/>
      <c r="WE186" s="91"/>
      <c r="WH186" s="89"/>
      <c r="WJ186" s="91"/>
      <c r="WM186" s="89"/>
      <c r="WO186" s="91"/>
      <c r="WR186" s="89"/>
      <c r="WT186" s="91"/>
      <c r="WW186" s="89"/>
      <c r="WY186" s="91"/>
      <c r="XB186" s="89"/>
      <c r="XD186" s="91"/>
      <c r="XG186" s="89"/>
      <c r="XI186" s="91"/>
      <c r="XL186" s="89"/>
      <c r="XN186" s="91"/>
      <c r="XQ186" s="89"/>
      <c r="XS186" s="91"/>
      <c r="XV186" s="89"/>
      <c r="XX186" s="91"/>
      <c r="YA186" s="89"/>
      <c r="YC186" s="91"/>
      <c r="YF186" s="89"/>
      <c r="YH186" s="91"/>
      <c r="YK186" s="89"/>
      <c r="YM186" s="91"/>
      <c r="YP186" s="89"/>
      <c r="YR186" s="91"/>
      <c r="YU186" s="89"/>
      <c r="YW186" s="91"/>
      <c r="YZ186" s="89"/>
      <c r="ZB186" s="91"/>
      <c r="ZE186" s="89"/>
      <c r="ZG186" s="91"/>
      <c r="ZJ186" s="89"/>
      <c r="ZL186" s="91"/>
      <c r="ZO186" s="89"/>
      <c r="ZQ186" s="91"/>
      <c r="ZT186" s="89"/>
      <c r="ZV186" s="91"/>
      <c r="ZY186" s="89"/>
      <c r="AAA186" s="91"/>
      <c r="AAD186" s="89"/>
      <c r="AAF186" s="91"/>
      <c r="AAI186" s="89"/>
      <c r="AAK186" s="91"/>
      <c r="AAN186" s="89"/>
      <c r="AAP186" s="91"/>
      <c r="AAS186" s="89"/>
      <c r="AAU186" s="91"/>
      <c r="AAX186" s="89"/>
      <c r="AAZ186" s="91"/>
      <c r="ABC186" s="89"/>
      <c r="ABE186" s="91"/>
      <c r="ABH186" s="89"/>
      <c r="ABJ186" s="91"/>
      <c r="ABM186" s="89"/>
      <c r="ABO186" s="91"/>
      <c r="ABR186" s="89"/>
      <c r="ABT186" s="91"/>
      <c r="ABW186" s="89"/>
      <c r="ABY186" s="91"/>
      <c r="ACB186" s="89"/>
      <c r="ACD186" s="91"/>
      <c r="ACG186" s="89"/>
      <c r="ACI186" s="91"/>
      <c r="ACL186" s="89"/>
      <c r="ACN186" s="91"/>
      <c r="ACQ186" s="89"/>
      <c r="ACS186" s="91"/>
      <c r="ACV186" s="89"/>
      <c r="ACX186" s="91"/>
      <c r="ADA186" s="89"/>
      <c r="ADC186" s="91"/>
      <c r="ADF186" s="89"/>
      <c r="ADH186" s="91"/>
      <c r="ADK186" s="89"/>
      <c r="ADM186" s="91"/>
      <c r="ADP186" s="89"/>
      <c r="ADR186" s="91"/>
      <c r="ADU186" s="89"/>
      <c r="ADW186" s="91"/>
      <c r="ADZ186" s="89"/>
      <c r="AEB186" s="91"/>
      <c r="AEE186" s="89"/>
      <c r="AEG186" s="91"/>
      <c r="AEJ186" s="89"/>
      <c r="AEL186" s="91"/>
      <c r="AEO186" s="89"/>
      <c r="AEQ186" s="91"/>
      <c r="AET186" s="89"/>
      <c r="AEV186" s="91"/>
      <c r="AEY186" s="89"/>
      <c r="AFA186" s="91"/>
      <c r="AFD186" s="89"/>
      <c r="AFF186" s="91"/>
      <c r="AFI186" s="89"/>
      <c r="AFK186" s="91"/>
      <c r="AFN186" s="89"/>
      <c r="AFP186" s="91"/>
      <c r="AFS186" s="89"/>
      <c r="AFU186" s="91"/>
      <c r="AFX186" s="89"/>
      <c r="AFZ186" s="91"/>
      <c r="AGC186" s="89"/>
      <c r="AGE186" s="91"/>
      <c r="AGH186" s="89"/>
      <c r="AGJ186" s="91"/>
      <c r="AGM186" s="89"/>
      <c r="AGO186" s="91"/>
      <c r="AGR186" s="89"/>
      <c r="AGT186" s="91"/>
      <c r="AGW186" s="89"/>
      <c r="AGY186" s="91"/>
      <c r="AHB186" s="89"/>
      <c r="AHD186" s="91"/>
      <c r="AHG186" s="89"/>
      <c r="AHI186" s="91"/>
      <c r="AHL186" s="89"/>
      <c r="AHN186" s="91"/>
      <c r="AHQ186" s="89"/>
      <c r="AHS186" s="91"/>
      <c r="AHV186" s="89"/>
      <c r="AHX186" s="91"/>
      <c r="AIA186" s="89"/>
      <c r="AIC186" s="91"/>
      <c r="AIF186" s="89"/>
      <c r="AIH186" s="91"/>
      <c r="AIK186" s="89"/>
      <c r="AIM186" s="91"/>
      <c r="AIP186" s="89"/>
      <c r="AIR186" s="91"/>
      <c r="AIU186" s="89"/>
      <c r="AIW186" s="91"/>
      <c r="AIZ186" s="89"/>
      <c r="AJB186" s="91"/>
      <c r="AJE186" s="89"/>
      <c r="AJG186" s="91"/>
      <c r="AJJ186" s="89"/>
      <c r="AJL186" s="91"/>
      <c r="AJO186" s="89"/>
      <c r="AJQ186" s="91"/>
      <c r="AJT186" s="89"/>
      <c r="AJV186" s="91"/>
      <c r="AJY186" s="89"/>
      <c r="AKA186" s="91"/>
      <c r="AKD186" s="89"/>
      <c r="AKF186" s="91"/>
      <c r="AKI186" s="89"/>
      <c r="AKK186" s="91"/>
      <c r="AKN186" s="89"/>
      <c r="AKP186" s="91"/>
      <c r="AKS186" s="89"/>
      <c r="AKU186" s="91"/>
      <c r="AKX186" s="89"/>
      <c r="AKZ186" s="91"/>
      <c r="ALC186" s="89"/>
      <c r="ALE186" s="91"/>
      <c r="ALH186" s="89"/>
      <c r="ALJ186" s="91"/>
      <c r="ALM186" s="89"/>
      <c r="ALO186" s="91"/>
      <c r="ALR186" s="89"/>
      <c r="ALT186" s="91"/>
      <c r="ALW186" s="89"/>
      <c r="ALY186" s="91"/>
      <c r="AMB186" s="89"/>
      <c r="AMD186" s="91"/>
      <c r="AMG186" s="89"/>
      <c r="AMI186" s="91"/>
      <c r="AML186" s="89"/>
      <c r="AMN186" s="91"/>
      <c r="AMQ186" s="89"/>
      <c r="AMS186" s="91"/>
      <c r="AMV186" s="89"/>
      <c r="AMX186" s="91"/>
      <c r="ANA186" s="89"/>
      <c r="ANC186" s="91"/>
      <c r="ANF186" s="89"/>
      <c r="ANH186" s="91"/>
      <c r="ANK186" s="89"/>
      <c r="ANM186" s="91"/>
      <c r="ANP186" s="89"/>
      <c r="ANR186" s="91"/>
      <c r="ANU186" s="89"/>
      <c r="ANW186" s="91"/>
      <c r="ANZ186" s="89"/>
      <c r="AOB186" s="91"/>
      <c r="AOE186" s="89"/>
      <c r="AOG186" s="91"/>
      <c r="AOJ186" s="89"/>
      <c r="AOL186" s="91"/>
      <c r="AOO186" s="89"/>
      <c r="AOQ186" s="91"/>
      <c r="AOT186" s="89"/>
      <c r="AOV186" s="91"/>
      <c r="AOY186" s="89"/>
      <c r="APA186" s="91"/>
      <c r="APD186" s="89"/>
      <c r="APF186" s="91"/>
      <c r="API186" s="89"/>
      <c r="APK186" s="91"/>
      <c r="APN186" s="89"/>
      <c r="APP186" s="91"/>
      <c r="APS186" s="89"/>
      <c r="APU186" s="91"/>
      <c r="APX186" s="89"/>
      <c r="APZ186" s="91"/>
      <c r="AQC186" s="89"/>
      <c r="AQE186" s="91"/>
      <c r="AQH186" s="89"/>
      <c r="AQJ186" s="91"/>
      <c r="AQM186" s="89"/>
      <c r="AQO186" s="91"/>
      <c r="AQR186" s="89"/>
      <c r="AQT186" s="91"/>
      <c r="AQW186" s="89"/>
      <c r="AQY186" s="91"/>
      <c r="ARB186" s="89"/>
      <c r="ARD186" s="91"/>
      <c r="ARG186" s="89"/>
      <c r="ARI186" s="91"/>
      <c r="ARL186" s="89"/>
      <c r="ARN186" s="91"/>
      <c r="ARQ186" s="89"/>
      <c r="ARS186" s="91"/>
      <c r="ARV186" s="89"/>
      <c r="ARX186" s="91"/>
      <c r="ASA186" s="89"/>
      <c r="ASC186" s="91"/>
      <c r="ASF186" s="89"/>
      <c r="ASH186" s="91"/>
      <c r="ASK186" s="89"/>
      <c r="ASM186" s="91"/>
      <c r="ASP186" s="89"/>
      <c r="ASR186" s="91"/>
      <c r="ASU186" s="89"/>
      <c r="ASW186" s="91"/>
      <c r="ASZ186" s="89"/>
      <c r="ATB186" s="91"/>
      <c r="ATE186" s="89"/>
      <c r="ATG186" s="91"/>
      <c r="ATJ186" s="89"/>
      <c r="ATL186" s="91"/>
      <c r="ATO186" s="89"/>
      <c r="ATQ186" s="91"/>
      <c r="ATT186" s="89"/>
      <c r="ATV186" s="91"/>
      <c r="ATY186" s="89"/>
      <c r="AUA186" s="91"/>
      <c r="AUD186" s="89"/>
      <c r="AUF186" s="91"/>
      <c r="AUI186" s="89"/>
      <c r="AUK186" s="91"/>
      <c r="AUN186" s="89"/>
      <c r="AUP186" s="91"/>
      <c r="AUS186" s="89"/>
      <c r="AUU186" s="91"/>
      <c r="AUX186" s="89"/>
      <c r="AUZ186" s="91"/>
      <c r="AVC186" s="89"/>
      <c r="AVE186" s="91"/>
      <c r="AVH186" s="89"/>
      <c r="AVJ186" s="91"/>
      <c r="AVM186" s="89"/>
      <c r="AVO186" s="91"/>
      <c r="AVR186" s="89"/>
      <c r="AVT186" s="91"/>
      <c r="AVW186" s="89"/>
      <c r="AVY186" s="91"/>
      <c r="AWB186" s="89"/>
      <c r="AWD186" s="91"/>
      <c r="AWG186" s="89"/>
      <c r="AWI186" s="91"/>
      <c r="AWL186" s="89"/>
      <c r="AWN186" s="91"/>
      <c r="AWQ186" s="89"/>
      <c r="AWS186" s="91"/>
      <c r="AWV186" s="89"/>
      <c r="AWX186" s="91"/>
      <c r="AXA186" s="89"/>
      <c r="AXC186" s="91"/>
      <c r="AXF186" s="89"/>
      <c r="AXH186" s="91"/>
      <c r="AXK186" s="89"/>
      <c r="AXM186" s="91"/>
      <c r="AXP186" s="89"/>
      <c r="AXR186" s="91"/>
      <c r="AXU186" s="89"/>
      <c r="AXW186" s="91"/>
      <c r="AXZ186" s="89"/>
      <c r="AYB186" s="91"/>
      <c r="AYE186" s="89"/>
      <c r="AYG186" s="91"/>
      <c r="AYJ186" s="89"/>
      <c r="AYL186" s="91"/>
      <c r="AYO186" s="89"/>
      <c r="AYQ186" s="91"/>
      <c r="AYT186" s="89"/>
      <c r="AYV186" s="91"/>
      <c r="AYY186" s="89"/>
      <c r="AZA186" s="91"/>
      <c r="AZD186" s="89"/>
      <c r="AZF186" s="91"/>
      <c r="AZI186" s="89"/>
      <c r="AZK186" s="91"/>
      <c r="AZN186" s="89"/>
      <c r="AZP186" s="91"/>
      <c r="AZS186" s="89"/>
      <c r="AZU186" s="91"/>
      <c r="AZX186" s="89"/>
      <c r="AZZ186" s="91"/>
      <c r="BAC186" s="89"/>
      <c r="BAE186" s="91"/>
      <c r="BAH186" s="89"/>
      <c r="BAJ186" s="91"/>
      <c r="BAM186" s="89"/>
      <c r="BAO186" s="91"/>
      <c r="BAR186" s="89"/>
      <c r="BAT186" s="91"/>
      <c r="BAW186" s="89"/>
      <c r="BAY186" s="91"/>
      <c r="BBB186" s="89"/>
      <c r="BBD186" s="91"/>
      <c r="BBG186" s="89"/>
      <c r="BBI186" s="91"/>
      <c r="BBL186" s="89"/>
      <c r="BBN186" s="91"/>
      <c r="BBQ186" s="89"/>
      <c r="BBS186" s="91"/>
      <c r="BBV186" s="89"/>
      <c r="BBX186" s="91"/>
      <c r="BCA186" s="89"/>
      <c r="BCC186" s="91"/>
      <c r="BCF186" s="89"/>
      <c r="BCH186" s="91"/>
      <c r="BCK186" s="89"/>
      <c r="BCM186" s="91"/>
      <c r="BCP186" s="89"/>
      <c r="BCR186" s="91"/>
      <c r="BCU186" s="89"/>
      <c r="BCW186" s="91"/>
      <c r="BCZ186" s="89"/>
      <c r="BDB186" s="91"/>
      <c r="BDE186" s="89"/>
      <c r="BDG186" s="91"/>
      <c r="BDJ186" s="89"/>
      <c r="BDL186" s="91"/>
      <c r="BDO186" s="89"/>
      <c r="BDQ186" s="91"/>
      <c r="BDT186" s="89"/>
      <c r="BDV186" s="91"/>
      <c r="BDY186" s="89"/>
      <c r="BEA186" s="91"/>
      <c r="BED186" s="89"/>
      <c r="BEF186" s="91"/>
      <c r="BEI186" s="89"/>
      <c r="BEK186" s="91"/>
      <c r="BEN186" s="89"/>
      <c r="BEP186" s="91"/>
      <c r="BES186" s="89"/>
      <c r="BEU186" s="91"/>
      <c r="BEX186" s="89"/>
      <c r="BEZ186" s="91"/>
      <c r="BFC186" s="89"/>
      <c r="BFE186" s="91"/>
      <c r="BFH186" s="89"/>
      <c r="BFJ186" s="91"/>
      <c r="BFM186" s="89"/>
      <c r="BFO186" s="91"/>
      <c r="BFR186" s="89"/>
      <c r="BFT186" s="91"/>
      <c r="BFW186" s="89"/>
      <c r="BFY186" s="91"/>
      <c r="BGB186" s="89"/>
      <c r="BGD186" s="91"/>
      <c r="BGG186" s="89"/>
      <c r="BGI186" s="91"/>
      <c r="BGL186" s="89"/>
      <c r="BGN186" s="91"/>
      <c r="BGQ186" s="89"/>
      <c r="BGS186" s="91"/>
      <c r="BGV186" s="89"/>
      <c r="BGX186" s="91"/>
      <c r="BHA186" s="89"/>
      <c r="BHC186" s="91"/>
      <c r="BHF186" s="89"/>
      <c r="BHH186" s="91"/>
      <c r="BHK186" s="89"/>
      <c r="BHM186" s="91"/>
      <c r="BHP186" s="89"/>
      <c r="BHR186" s="91"/>
      <c r="BHU186" s="89"/>
      <c r="BHW186" s="91"/>
      <c r="BHZ186" s="89"/>
      <c r="BIB186" s="91"/>
      <c r="BIE186" s="89"/>
      <c r="BIG186" s="91"/>
      <c r="BIJ186" s="89"/>
      <c r="BIL186" s="91"/>
      <c r="BIO186" s="89"/>
      <c r="BIQ186" s="91"/>
      <c r="BIT186" s="89"/>
      <c r="BIV186" s="91"/>
      <c r="BIY186" s="89"/>
      <c r="BJA186" s="91"/>
      <c r="BJD186" s="89"/>
      <c r="BJF186" s="91"/>
      <c r="BJI186" s="89"/>
      <c r="BJK186" s="91"/>
      <c r="BJN186" s="89"/>
      <c r="BJP186" s="91"/>
      <c r="BJS186" s="89"/>
      <c r="BJU186" s="91"/>
      <c r="BJX186" s="89"/>
      <c r="BJZ186" s="91"/>
      <c r="BKC186" s="89"/>
      <c r="BKE186" s="91"/>
      <c r="BKH186" s="89"/>
      <c r="BKJ186" s="91"/>
      <c r="BKM186" s="89"/>
      <c r="BKO186" s="91"/>
      <c r="BKR186" s="89"/>
      <c r="BKT186" s="91"/>
      <c r="BKW186" s="89"/>
      <c r="BKY186" s="91"/>
      <c r="BLB186" s="89"/>
      <c r="BLD186" s="91"/>
      <c r="BLG186" s="89"/>
      <c r="BLI186" s="91"/>
      <c r="BLL186" s="89"/>
      <c r="BLN186" s="91"/>
      <c r="BLQ186" s="89"/>
      <c r="BLS186" s="91"/>
      <c r="BLV186" s="89"/>
      <c r="BLX186" s="91"/>
      <c r="BMA186" s="89"/>
      <c r="BMC186" s="91"/>
      <c r="BMF186" s="89"/>
      <c r="BMH186" s="91"/>
      <c r="BMK186" s="89"/>
      <c r="BMM186" s="91"/>
      <c r="BMP186" s="89"/>
      <c r="BMR186" s="91"/>
      <c r="BMU186" s="89"/>
      <c r="BMW186" s="91"/>
      <c r="BMZ186" s="89"/>
      <c r="BNB186" s="91"/>
      <c r="BNE186" s="89"/>
      <c r="BNG186" s="91"/>
      <c r="BNJ186" s="89"/>
      <c r="BNL186" s="91"/>
      <c r="BNO186" s="89"/>
      <c r="BNQ186" s="91"/>
      <c r="BNT186" s="89"/>
      <c r="BNV186" s="91"/>
      <c r="BNY186" s="89"/>
      <c r="BOA186" s="91"/>
      <c r="BOD186" s="89"/>
      <c r="BOF186" s="91"/>
      <c r="BOI186" s="89"/>
      <c r="BOK186" s="91"/>
      <c r="BON186" s="89"/>
      <c r="BOP186" s="91"/>
      <c r="BOS186" s="89"/>
      <c r="BOU186" s="91"/>
      <c r="BOX186" s="89"/>
      <c r="BOZ186" s="91"/>
      <c r="BPC186" s="89"/>
      <c r="BPE186" s="91"/>
      <c r="BPH186" s="89"/>
      <c r="BPJ186" s="91"/>
      <c r="BPM186" s="89"/>
      <c r="BPO186" s="91"/>
      <c r="BPR186" s="89"/>
      <c r="BPT186" s="91"/>
      <c r="BPW186" s="89"/>
      <c r="BPY186" s="91"/>
      <c r="BQB186" s="89"/>
      <c r="BQD186" s="91"/>
      <c r="BQG186" s="89"/>
      <c r="BQI186" s="91"/>
      <c r="BQL186" s="89"/>
      <c r="BQN186" s="91"/>
      <c r="BQQ186" s="89"/>
      <c r="BQS186" s="91"/>
      <c r="BQV186" s="89"/>
      <c r="BQX186" s="91"/>
      <c r="BRA186" s="89"/>
      <c r="BRC186" s="91"/>
      <c r="BRF186" s="89"/>
      <c r="BRH186" s="91"/>
      <c r="BRK186" s="89"/>
      <c r="BRM186" s="91"/>
      <c r="BRP186" s="89"/>
      <c r="BRR186" s="91"/>
      <c r="BRU186" s="89"/>
      <c r="BRW186" s="91"/>
      <c r="BRZ186" s="89"/>
      <c r="BSB186" s="91"/>
      <c r="BSE186" s="89"/>
      <c r="BSG186" s="91"/>
      <c r="BSJ186" s="89"/>
      <c r="BSL186" s="91"/>
      <c r="BSO186" s="89"/>
      <c r="BSQ186" s="91"/>
      <c r="BST186" s="89"/>
      <c r="BSV186" s="91"/>
      <c r="BSY186" s="89"/>
      <c r="BTA186" s="91"/>
      <c r="BTD186" s="89"/>
      <c r="BTF186" s="91"/>
      <c r="BTI186" s="89"/>
      <c r="BTK186" s="91"/>
      <c r="BTN186" s="89"/>
      <c r="BTP186" s="91"/>
      <c r="BTS186" s="89"/>
      <c r="BTU186" s="91"/>
      <c r="BTX186" s="89"/>
      <c r="BTZ186" s="91"/>
      <c r="BUC186" s="89"/>
      <c r="BUE186" s="91"/>
      <c r="BUH186" s="89"/>
      <c r="BUJ186" s="91"/>
      <c r="BUM186" s="89"/>
      <c r="BUO186" s="91"/>
      <c r="BUR186" s="89"/>
      <c r="BUT186" s="91"/>
      <c r="BUW186" s="89"/>
      <c r="BUY186" s="91"/>
      <c r="BVB186" s="89"/>
      <c r="BVD186" s="91"/>
      <c r="BVG186" s="89"/>
      <c r="BVI186" s="91"/>
      <c r="BVL186" s="89"/>
      <c r="BVN186" s="91"/>
      <c r="BVQ186" s="89"/>
      <c r="BVS186" s="91"/>
      <c r="BVV186" s="89"/>
      <c r="BVX186" s="91"/>
      <c r="BWA186" s="89"/>
      <c r="BWC186" s="91"/>
      <c r="BWF186" s="89"/>
      <c r="BWH186" s="91"/>
      <c r="BWK186" s="89"/>
      <c r="BWM186" s="91"/>
      <c r="BWP186" s="89"/>
      <c r="BWR186" s="91"/>
      <c r="BWU186" s="89"/>
      <c r="BWW186" s="91"/>
      <c r="BWZ186" s="89"/>
      <c r="BXB186" s="91"/>
      <c r="BXE186" s="89"/>
      <c r="BXG186" s="91"/>
      <c r="BXJ186" s="89"/>
      <c r="BXL186" s="91"/>
      <c r="BXO186" s="89"/>
      <c r="BXQ186" s="91"/>
      <c r="BXT186" s="89"/>
      <c r="BXV186" s="91"/>
      <c r="BXY186" s="89"/>
      <c r="BYA186" s="91"/>
      <c r="BYD186" s="89"/>
      <c r="BYF186" s="91"/>
      <c r="BYI186" s="89"/>
      <c r="BYK186" s="91"/>
      <c r="BYN186" s="89"/>
      <c r="BYP186" s="91"/>
      <c r="BYS186" s="89"/>
      <c r="BYU186" s="91"/>
      <c r="BYX186" s="89"/>
      <c r="BYZ186" s="91"/>
      <c r="BZC186" s="89"/>
      <c r="BZE186" s="91"/>
      <c r="BZH186" s="89"/>
      <c r="BZJ186" s="91"/>
      <c r="BZM186" s="89"/>
      <c r="BZO186" s="91"/>
      <c r="BZR186" s="89"/>
      <c r="BZT186" s="91"/>
      <c r="BZW186" s="89"/>
      <c r="BZY186" s="91"/>
      <c r="CAB186" s="89"/>
      <c r="CAD186" s="91"/>
      <c r="CAG186" s="89"/>
      <c r="CAI186" s="91"/>
      <c r="CAL186" s="89"/>
      <c r="CAN186" s="91"/>
      <c r="CAQ186" s="89"/>
      <c r="CAS186" s="91"/>
      <c r="CAV186" s="89"/>
      <c r="CAX186" s="91"/>
      <c r="CBA186" s="89"/>
      <c r="CBC186" s="91"/>
      <c r="CBF186" s="89"/>
      <c r="CBH186" s="91"/>
      <c r="CBK186" s="89"/>
      <c r="CBM186" s="91"/>
      <c r="CBP186" s="89"/>
      <c r="CBR186" s="91"/>
      <c r="CBU186" s="89"/>
      <c r="CBW186" s="91"/>
      <c r="CBZ186" s="89"/>
      <c r="CCB186" s="91"/>
      <c r="CCE186" s="89"/>
      <c r="CCG186" s="91"/>
      <c r="CCJ186" s="89"/>
      <c r="CCL186" s="91"/>
      <c r="CCO186" s="89"/>
      <c r="CCQ186" s="91"/>
      <c r="CCT186" s="89"/>
      <c r="CCV186" s="91"/>
      <c r="CCY186" s="89"/>
      <c r="CDA186" s="91"/>
      <c r="CDD186" s="89"/>
      <c r="CDF186" s="91"/>
      <c r="CDI186" s="89"/>
      <c r="CDK186" s="91"/>
      <c r="CDN186" s="89"/>
      <c r="CDP186" s="91"/>
      <c r="CDS186" s="89"/>
      <c r="CDU186" s="91"/>
      <c r="CDX186" s="89"/>
      <c r="CDZ186" s="91"/>
      <c r="CEC186" s="89"/>
      <c r="CEE186" s="91"/>
      <c r="CEH186" s="89"/>
      <c r="CEJ186" s="91"/>
      <c r="CEM186" s="89"/>
      <c r="CEO186" s="91"/>
      <c r="CER186" s="89"/>
      <c r="CET186" s="91"/>
      <c r="CEW186" s="89"/>
      <c r="CEY186" s="91"/>
      <c r="CFB186" s="89"/>
      <c r="CFD186" s="91"/>
      <c r="CFG186" s="89"/>
      <c r="CFI186" s="91"/>
      <c r="CFL186" s="89"/>
      <c r="CFN186" s="91"/>
      <c r="CFQ186" s="89"/>
      <c r="CFS186" s="91"/>
      <c r="CFV186" s="89"/>
      <c r="CFX186" s="91"/>
      <c r="CGA186" s="89"/>
      <c r="CGC186" s="91"/>
      <c r="CGF186" s="89"/>
      <c r="CGH186" s="91"/>
      <c r="CGK186" s="89"/>
      <c r="CGM186" s="91"/>
      <c r="CGP186" s="89"/>
      <c r="CGR186" s="91"/>
      <c r="CGU186" s="89"/>
      <c r="CGW186" s="91"/>
      <c r="CGZ186" s="89"/>
      <c r="CHB186" s="91"/>
      <c r="CHE186" s="89"/>
      <c r="CHG186" s="91"/>
      <c r="CHJ186" s="89"/>
      <c r="CHL186" s="91"/>
      <c r="CHO186" s="89"/>
      <c r="CHQ186" s="91"/>
      <c r="CHT186" s="89"/>
      <c r="CHV186" s="91"/>
      <c r="CHY186" s="89"/>
      <c r="CIA186" s="91"/>
      <c r="CID186" s="89"/>
      <c r="CIF186" s="91"/>
      <c r="CII186" s="89"/>
      <c r="CIK186" s="91"/>
      <c r="CIN186" s="89"/>
      <c r="CIP186" s="91"/>
      <c r="CIS186" s="89"/>
      <c r="CIU186" s="91"/>
      <c r="CIX186" s="89"/>
      <c r="CIZ186" s="91"/>
      <c r="CJC186" s="89"/>
      <c r="CJE186" s="91"/>
      <c r="CJH186" s="89"/>
      <c r="CJJ186" s="91"/>
      <c r="CJM186" s="89"/>
      <c r="CJO186" s="91"/>
      <c r="CJR186" s="89"/>
      <c r="CJT186" s="91"/>
      <c r="CJW186" s="89"/>
      <c r="CJY186" s="91"/>
      <c r="CKB186" s="89"/>
      <c r="CKD186" s="91"/>
      <c r="CKG186" s="89"/>
      <c r="CKI186" s="91"/>
      <c r="CKL186" s="89"/>
      <c r="CKN186" s="91"/>
      <c r="CKQ186" s="89"/>
      <c r="CKS186" s="91"/>
      <c r="CKV186" s="89"/>
      <c r="CKX186" s="91"/>
      <c r="CLA186" s="89"/>
      <c r="CLC186" s="91"/>
      <c r="CLF186" s="89"/>
      <c r="CLH186" s="91"/>
      <c r="CLK186" s="89"/>
      <c r="CLM186" s="91"/>
      <c r="CLP186" s="89"/>
      <c r="CLR186" s="91"/>
      <c r="CLU186" s="89"/>
      <c r="CLW186" s="91"/>
      <c r="CLZ186" s="89"/>
      <c r="CMB186" s="91"/>
      <c r="CME186" s="89"/>
      <c r="CMG186" s="91"/>
      <c r="CMJ186" s="89"/>
      <c r="CML186" s="91"/>
      <c r="CMO186" s="89"/>
      <c r="CMQ186" s="91"/>
      <c r="CMT186" s="89"/>
      <c r="CMV186" s="91"/>
      <c r="CMY186" s="89"/>
      <c r="CNA186" s="91"/>
      <c r="CND186" s="89"/>
      <c r="CNF186" s="91"/>
      <c r="CNI186" s="89"/>
      <c r="CNK186" s="91"/>
      <c r="CNN186" s="89"/>
      <c r="CNP186" s="91"/>
      <c r="CNS186" s="89"/>
      <c r="CNU186" s="91"/>
      <c r="CNX186" s="89"/>
      <c r="CNZ186" s="91"/>
      <c r="COC186" s="89"/>
      <c r="COE186" s="91"/>
      <c r="COH186" s="89"/>
      <c r="COJ186" s="91"/>
      <c r="COM186" s="89"/>
      <c r="COO186" s="91"/>
      <c r="COR186" s="89"/>
      <c r="COT186" s="91"/>
      <c r="COW186" s="89"/>
      <c r="COY186" s="91"/>
      <c r="CPB186" s="89"/>
      <c r="CPD186" s="91"/>
      <c r="CPG186" s="89"/>
      <c r="CPI186" s="91"/>
      <c r="CPL186" s="89"/>
      <c r="CPN186" s="91"/>
      <c r="CPQ186" s="89"/>
      <c r="CPS186" s="91"/>
      <c r="CPV186" s="89"/>
      <c r="CPX186" s="91"/>
      <c r="CQA186" s="89"/>
      <c r="CQC186" s="91"/>
      <c r="CQF186" s="89"/>
      <c r="CQH186" s="91"/>
      <c r="CQK186" s="89"/>
      <c r="CQM186" s="91"/>
      <c r="CQP186" s="89"/>
      <c r="CQR186" s="91"/>
      <c r="CQU186" s="89"/>
      <c r="CQW186" s="91"/>
      <c r="CQZ186" s="89"/>
      <c r="CRB186" s="91"/>
      <c r="CRE186" s="89"/>
      <c r="CRG186" s="91"/>
      <c r="CRJ186" s="89"/>
      <c r="CRL186" s="91"/>
      <c r="CRO186" s="89"/>
      <c r="CRQ186" s="91"/>
      <c r="CRT186" s="89"/>
      <c r="CRV186" s="91"/>
      <c r="CRY186" s="89"/>
      <c r="CSA186" s="91"/>
      <c r="CSD186" s="89"/>
      <c r="CSF186" s="91"/>
      <c r="CSI186" s="89"/>
      <c r="CSK186" s="91"/>
      <c r="CSN186" s="89"/>
      <c r="CSP186" s="91"/>
      <c r="CSS186" s="89"/>
      <c r="CSU186" s="91"/>
      <c r="CSX186" s="89"/>
      <c r="CSZ186" s="91"/>
      <c r="CTC186" s="89"/>
      <c r="CTE186" s="91"/>
      <c r="CTH186" s="89"/>
      <c r="CTJ186" s="91"/>
      <c r="CTM186" s="89"/>
      <c r="CTO186" s="91"/>
      <c r="CTR186" s="89"/>
      <c r="CTT186" s="91"/>
      <c r="CTW186" s="89"/>
      <c r="CTY186" s="91"/>
      <c r="CUB186" s="89"/>
      <c r="CUD186" s="91"/>
      <c r="CUG186" s="89"/>
      <c r="CUI186" s="91"/>
      <c r="CUL186" s="89"/>
      <c r="CUN186" s="91"/>
      <c r="CUQ186" s="89"/>
      <c r="CUS186" s="91"/>
      <c r="CUV186" s="89"/>
      <c r="CUX186" s="91"/>
      <c r="CVA186" s="89"/>
      <c r="CVC186" s="91"/>
      <c r="CVF186" s="89"/>
      <c r="CVH186" s="91"/>
      <c r="CVK186" s="89"/>
      <c r="CVM186" s="91"/>
      <c r="CVP186" s="89"/>
      <c r="CVR186" s="91"/>
      <c r="CVU186" s="89"/>
      <c r="CVW186" s="91"/>
      <c r="CVZ186" s="89"/>
      <c r="CWB186" s="91"/>
      <c r="CWE186" s="89"/>
      <c r="CWG186" s="91"/>
      <c r="CWJ186" s="89"/>
      <c r="CWL186" s="91"/>
      <c r="CWO186" s="89"/>
      <c r="CWQ186" s="91"/>
      <c r="CWT186" s="89"/>
      <c r="CWV186" s="91"/>
      <c r="CWY186" s="89"/>
      <c r="CXA186" s="91"/>
      <c r="CXD186" s="89"/>
      <c r="CXF186" s="91"/>
      <c r="CXI186" s="89"/>
      <c r="CXK186" s="91"/>
      <c r="CXN186" s="89"/>
      <c r="CXP186" s="91"/>
      <c r="CXS186" s="89"/>
      <c r="CXU186" s="91"/>
      <c r="CXX186" s="89"/>
      <c r="CXZ186" s="91"/>
      <c r="CYC186" s="89"/>
      <c r="CYE186" s="91"/>
      <c r="CYH186" s="89"/>
      <c r="CYJ186" s="91"/>
      <c r="CYM186" s="89"/>
      <c r="CYO186" s="91"/>
      <c r="CYR186" s="89"/>
      <c r="CYT186" s="91"/>
      <c r="CYW186" s="89"/>
      <c r="CYY186" s="91"/>
      <c r="CZB186" s="89"/>
      <c r="CZD186" s="91"/>
      <c r="CZG186" s="89"/>
      <c r="CZI186" s="91"/>
      <c r="CZL186" s="89"/>
      <c r="CZN186" s="91"/>
      <c r="CZQ186" s="89"/>
      <c r="CZS186" s="91"/>
      <c r="CZV186" s="89"/>
      <c r="CZX186" s="91"/>
      <c r="DAA186" s="89"/>
      <c r="DAC186" s="91"/>
      <c r="DAF186" s="89"/>
      <c r="DAH186" s="91"/>
      <c r="DAK186" s="89"/>
      <c r="DAM186" s="91"/>
      <c r="DAP186" s="89"/>
      <c r="DAR186" s="91"/>
      <c r="DAU186" s="89"/>
      <c r="DAW186" s="91"/>
      <c r="DAZ186" s="89"/>
      <c r="DBB186" s="91"/>
      <c r="DBE186" s="89"/>
      <c r="DBG186" s="91"/>
      <c r="DBJ186" s="89"/>
      <c r="DBL186" s="91"/>
      <c r="DBO186" s="89"/>
      <c r="DBQ186" s="91"/>
      <c r="DBT186" s="89"/>
      <c r="DBV186" s="91"/>
      <c r="DBY186" s="89"/>
      <c r="DCA186" s="91"/>
      <c r="DCD186" s="89"/>
      <c r="DCF186" s="91"/>
      <c r="DCI186" s="89"/>
      <c r="DCK186" s="91"/>
      <c r="DCN186" s="89"/>
      <c r="DCP186" s="91"/>
      <c r="DCS186" s="89"/>
      <c r="DCU186" s="91"/>
      <c r="DCX186" s="89"/>
      <c r="DCZ186" s="91"/>
      <c r="DDC186" s="89"/>
      <c r="DDE186" s="91"/>
      <c r="DDH186" s="89"/>
      <c r="DDJ186" s="91"/>
      <c r="DDM186" s="89"/>
      <c r="DDO186" s="91"/>
      <c r="DDR186" s="89"/>
      <c r="DDT186" s="91"/>
      <c r="DDW186" s="89"/>
      <c r="DDY186" s="91"/>
      <c r="DEB186" s="89"/>
      <c r="DED186" s="91"/>
      <c r="DEG186" s="89"/>
      <c r="DEI186" s="91"/>
      <c r="DEL186" s="89"/>
      <c r="DEN186" s="91"/>
      <c r="DEQ186" s="89"/>
      <c r="DES186" s="91"/>
      <c r="DEV186" s="89"/>
      <c r="DEX186" s="91"/>
      <c r="DFA186" s="89"/>
      <c r="DFC186" s="91"/>
      <c r="DFF186" s="89"/>
      <c r="DFH186" s="91"/>
      <c r="DFK186" s="89"/>
      <c r="DFM186" s="91"/>
      <c r="DFP186" s="89"/>
      <c r="DFR186" s="91"/>
      <c r="DFU186" s="89"/>
      <c r="DFW186" s="91"/>
      <c r="DFZ186" s="89"/>
      <c r="DGB186" s="91"/>
      <c r="DGE186" s="89"/>
      <c r="DGG186" s="91"/>
      <c r="DGJ186" s="89"/>
      <c r="DGL186" s="91"/>
      <c r="DGO186" s="89"/>
      <c r="DGQ186" s="91"/>
      <c r="DGT186" s="89"/>
      <c r="DGV186" s="91"/>
      <c r="DGY186" s="89"/>
      <c r="DHA186" s="91"/>
      <c r="DHD186" s="89"/>
      <c r="DHF186" s="91"/>
      <c r="DHI186" s="89"/>
      <c r="DHK186" s="91"/>
      <c r="DHN186" s="89"/>
      <c r="DHP186" s="91"/>
      <c r="DHS186" s="89"/>
      <c r="DHU186" s="91"/>
      <c r="DHX186" s="89"/>
      <c r="DHZ186" s="91"/>
      <c r="DIC186" s="89"/>
      <c r="DIE186" s="91"/>
      <c r="DIH186" s="89"/>
      <c r="DIJ186" s="91"/>
      <c r="DIM186" s="89"/>
      <c r="DIO186" s="91"/>
      <c r="DIR186" s="89"/>
      <c r="DIT186" s="91"/>
      <c r="DIW186" s="89"/>
      <c r="DIY186" s="91"/>
      <c r="DJB186" s="89"/>
      <c r="DJD186" s="91"/>
      <c r="DJG186" s="89"/>
      <c r="DJI186" s="91"/>
      <c r="DJL186" s="89"/>
      <c r="DJN186" s="91"/>
      <c r="DJQ186" s="89"/>
      <c r="DJS186" s="91"/>
      <c r="DJV186" s="89"/>
      <c r="DJX186" s="91"/>
      <c r="DKA186" s="89"/>
      <c r="DKC186" s="91"/>
      <c r="DKF186" s="89"/>
      <c r="DKH186" s="91"/>
      <c r="DKK186" s="89"/>
      <c r="DKM186" s="91"/>
      <c r="DKP186" s="89"/>
      <c r="DKR186" s="91"/>
      <c r="DKU186" s="89"/>
      <c r="DKW186" s="91"/>
      <c r="DKZ186" s="89"/>
      <c r="DLB186" s="91"/>
      <c r="DLE186" s="89"/>
      <c r="DLG186" s="91"/>
      <c r="DLJ186" s="89"/>
      <c r="DLL186" s="91"/>
      <c r="DLO186" s="89"/>
      <c r="DLQ186" s="91"/>
      <c r="DLT186" s="89"/>
      <c r="DLV186" s="91"/>
      <c r="DLY186" s="89"/>
      <c r="DMA186" s="91"/>
      <c r="DMD186" s="89"/>
      <c r="DMF186" s="91"/>
      <c r="DMI186" s="89"/>
      <c r="DMK186" s="91"/>
      <c r="DMN186" s="89"/>
      <c r="DMP186" s="91"/>
      <c r="DMS186" s="89"/>
      <c r="DMU186" s="91"/>
      <c r="DMX186" s="89"/>
      <c r="DMZ186" s="91"/>
      <c r="DNC186" s="89"/>
      <c r="DNE186" s="91"/>
      <c r="DNH186" s="89"/>
      <c r="DNJ186" s="91"/>
      <c r="DNM186" s="89"/>
      <c r="DNO186" s="91"/>
      <c r="DNR186" s="89"/>
      <c r="DNT186" s="91"/>
      <c r="DNW186" s="89"/>
      <c r="DNY186" s="91"/>
      <c r="DOB186" s="89"/>
      <c r="DOD186" s="91"/>
      <c r="DOG186" s="89"/>
      <c r="DOI186" s="91"/>
      <c r="DOL186" s="89"/>
      <c r="DON186" s="91"/>
      <c r="DOQ186" s="89"/>
      <c r="DOS186" s="91"/>
      <c r="DOV186" s="89"/>
      <c r="DOX186" s="91"/>
      <c r="DPA186" s="89"/>
      <c r="DPC186" s="91"/>
      <c r="DPF186" s="89"/>
      <c r="DPH186" s="91"/>
      <c r="DPK186" s="89"/>
      <c r="DPM186" s="91"/>
      <c r="DPP186" s="89"/>
      <c r="DPR186" s="91"/>
      <c r="DPU186" s="89"/>
      <c r="DPW186" s="91"/>
      <c r="DPZ186" s="89"/>
      <c r="DQB186" s="91"/>
      <c r="DQE186" s="89"/>
      <c r="DQG186" s="91"/>
      <c r="DQJ186" s="89"/>
      <c r="DQL186" s="91"/>
      <c r="DQO186" s="89"/>
      <c r="DQQ186" s="91"/>
      <c r="DQT186" s="89"/>
      <c r="DQV186" s="91"/>
      <c r="DQY186" s="89"/>
      <c r="DRA186" s="91"/>
      <c r="DRD186" s="89"/>
      <c r="DRF186" s="91"/>
      <c r="DRI186" s="89"/>
      <c r="DRK186" s="91"/>
      <c r="DRN186" s="89"/>
      <c r="DRP186" s="91"/>
      <c r="DRS186" s="89"/>
      <c r="DRU186" s="91"/>
      <c r="DRX186" s="89"/>
      <c r="DRZ186" s="91"/>
      <c r="DSC186" s="89"/>
      <c r="DSE186" s="91"/>
      <c r="DSH186" s="89"/>
      <c r="DSJ186" s="91"/>
      <c r="DSM186" s="89"/>
      <c r="DSO186" s="91"/>
      <c r="DSR186" s="89"/>
      <c r="DST186" s="91"/>
      <c r="DSW186" s="89"/>
      <c r="DSY186" s="91"/>
      <c r="DTB186" s="89"/>
      <c r="DTD186" s="91"/>
      <c r="DTG186" s="89"/>
      <c r="DTI186" s="91"/>
      <c r="DTL186" s="89"/>
      <c r="DTN186" s="91"/>
      <c r="DTQ186" s="89"/>
      <c r="DTS186" s="91"/>
      <c r="DTV186" s="89"/>
      <c r="DTX186" s="91"/>
      <c r="DUA186" s="89"/>
      <c r="DUC186" s="91"/>
      <c r="DUF186" s="89"/>
      <c r="DUH186" s="91"/>
      <c r="DUK186" s="89"/>
      <c r="DUM186" s="91"/>
      <c r="DUP186" s="89"/>
      <c r="DUR186" s="91"/>
      <c r="DUU186" s="89"/>
      <c r="DUW186" s="91"/>
      <c r="DUZ186" s="89"/>
      <c r="DVB186" s="91"/>
      <c r="DVE186" s="89"/>
      <c r="DVG186" s="91"/>
      <c r="DVJ186" s="89"/>
      <c r="DVL186" s="91"/>
      <c r="DVO186" s="89"/>
      <c r="DVQ186" s="91"/>
      <c r="DVT186" s="89"/>
      <c r="DVV186" s="91"/>
      <c r="DVY186" s="89"/>
      <c r="DWA186" s="91"/>
      <c r="DWD186" s="89"/>
      <c r="DWF186" s="91"/>
      <c r="DWI186" s="89"/>
      <c r="DWK186" s="91"/>
      <c r="DWN186" s="89"/>
      <c r="DWP186" s="91"/>
      <c r="DWS186" s="89"/>
      <c r="DWU186" s="91"/>
      <c r="DWX186" s="89"/>
      <c r="DWZ186" s="91"/>
      <c r="DXC186" s="89"/>
      <c r="DXE186" s="91"/>
      <c r="DXH186" s="89"/>
      <c r="DXJ186" s="91"/>
      <c r="DXM186" s="89"/>
      <c r="DXO186" s="91"/>
      <c r="DXR186" s="89"/>
      <c r="DXT186" s="91"/>
      <c r="DXW186" s="89"/>
      <c r="DXY186" s="91"/>
      <c r="DYB186" s="89"/>
      <c r="DYD186" s="91"/>
      <c r="DYG186" s="89"/>
      <c r="DYI186" s="91"/>
      <c r="DYL186" s="89"/>
      <c r="DYN186" s="91"/>
      <c r="DYQ186" s="89"/>
      <c r="DYS186" s="91"/>
      <c r="DYV186" s="89"/>
      <c r="DYX186" s="91"/>
      <c r="DZA186" s="89"/>
      <c r="DZC186" s="91"/>
      <c r="DZF186" s="89"/>
      <c r="DZH186" s="91"/>
      <c r="DZK186" s="89"/>
      <c r="DZM186" s="91"/>
      <c r="DZP186" s="89"/>
      <c r="DZR186" s="91"/>
      <c r="DZU186" s="89"/>
      <c r="DZW186" s="91"/>
      <c r="DZZ186" s="89"/>
      <c r="EAB186" s="91"/>
      <c r="EAE186" s="89"/>
      <c r="EAG186" s="91"/>
      <c r="EAJ186" s="89"/>
      <c r="EAL186" s="91"/>
      <c r="EAO186" s="89"/>
      <c r="EAQ186" s="91"/>
      <c r="EAT186" s="89"/>
      <c r="EAV186" s="91"/>
      <c r="EAY186" s="89"/>
      <c r="EBA186" s="91"/>
      <c r="EBD186" s="89"/>
      <c r="EBF186" s="91"/>
      <c r="EBI186" s="89"/>
      <c r="EBK186" s="91"/>
      <c r="EBN186" s="89"/>
      <c r="EBP186" s="91"/>
      <c r="EBS186" s="89"/>
      <c r="EBU186" s="91"/>
      <c r="EBX186" s="89"/>
      <c r="EBZ186" s="91"/>
      <c r="ECC186" s="89"/>
      <c r="ECE186" s="91"/>
      <c r="ECH186" s="89"/>
      <c r="ECJ186" s="91"/>
      <c r="ECM186" s="89"/>
      <c r="ECO186" s="91"/>
      <c r="ECR186" s="89"/>
      <c r="ECT186" s="91"/>
      <c r="ECW186" s="89"/>
      <c r="ECY186" s="91"/>
      <c r="EDB186" s="89"/>
      <c r="EDD186" s="91"/>
      <c r="EDG186" s="89"/>
      <c r="EDI186" s="91"/>
      <c r="EDL186" s="89"/>
      <c r="EDN186" s="91"/>
      <c r="EDQ186" s="89"/>
      <c r="EDS186" s="91"/>
      <c r="EDV186" s="89"/>
      <c r="EDX186" s="91"/>
      <c r="EEA186" s="89"/>
      <c r="EEC186" s="91"/>
      <c r="EEF186" s="89"/>
      <c r="EEH186" s="91"/>
      <c r="EEK186" s="89"/>
      <c r="EEM186" s="91"/>
      <c r="EEP186" s="89"/>
      <c r="EER186" s="91"/>
      <c r="EEU186" s="89"/>
      <c r="EEW186" s="91"/>
      <c r="EEZ186" s="89"/>
      <c r="EFB186" s="91"/>
      <c r="EFE186" s="89"/>
      <c r="EFG186" s="91"/>
      <c r="EFJ186" s="89"/>
      <c r="EFL186" s="91"/>
      <c r="EFO186" s="89"/>
      <c r="EFQ186" s="91"/>
      <c r="EFT186" s="89"/>
      <c r="EFV186" s="91"/>
      <c r="EFY186" s="89"/>
      <c r="EGA186" s="91"/>
      <c r="EGD186" s="89"/>
      <c r="EGF186" s="91"/>
      <c r="EGI186" s="89"/>
      <c r="EGK186" s="91"/>
      <c r="EGN186" s="89"/>
      <c r="EGP186" s="91"/>
      <c r="EGS186" s="89"/>
      <c r="EGU186" s="91"/>
      <c r="EGX186" s="89"/>
      <c r="EGZ186" s="91"/>
      <c r="EHC186" s="89"/>
      <c r="EHE186" s="91"/>
      <c r="EHH186" s="89"/>
      <c r="EHJ186" s="91"/>
      <c r="EHM186" s="89"/>
      <c r="EHO186" s="91"/>
      <c r="EHR186" s="89"/>
      <c r="EHT186" s="91"/>
      <c r="EHW186" s="89"/>
      <c r="EHY186" s="91"/>
      <c r="EIB186" s="89"/>
      <c r="EID186" s="91"/>
      <c r="EIG186" s="89"/>
      <c r="EII186" s="91"/>
      <c r="EIL186" s="89"/>
      <c r="EIN186" s="91"/>
      <c r="EIQ186" s="89"/>
      <c r="EIS186" s="91"/>
      <c r="EIV186" s="89"/>
      <c r="EIX186" s="91"/>
      <c r="EJA186" s="89"/>
      <c r="EJC186" s="91"/>
      <c r="EJF186" s="89"/>
      <c r="EJH186" s="91"/>
      <c r="EJK186" s="89"/>
      <c r="EJM186" s="91"/>
      <c r="EJP186" s="89"/>
      <c r="EJR186" s="91"/>
      <c r="EJU186" s="89"/>
      <c r="EJW186" s="91"/>
      <c r="EJZ186" s="89"/>
      <c r="EKB186" s="91"/>
      <c r="EKE186" s="89"/>
      <c r="EKG186" s="91"/>
      <c r="EKJ186" s="89"/>
      <c r="EKL186" s="91"/>
      <c r="EKO186" s="89"/>
      <c r="EKQ186" s="91"/>
      <c r="EKT186" s="89"/>
      <c r="EKV186" s="91"/>
      <c r="EKY186" s="89"/>
      <c r="ELA186" s="91"/>
      <c r="ELD186" s="89"/>
      <c r="ELF186" s="91"/>
      <c r="ELI186" s="89"/>
      <c r="ELK186" s="91"/>
      <c r="ELN186" s="89"/>
      <c r="ELP186" s="91"/>
      <c r="ELS186" s="89"/>
      <c r="ELU186" s="91"/>
      <c r="ELX186" s="89"/>
      <c r="ELZ186" s="91"/>
      <c r="EMC186" s="89"/>
      <c r="EME186" s="91"/>
      <c r="EMH186" s="89"/>
      <c r="EMJ186" s="91"/>
      <c r="EMM186" s="89"/>
      <c r="EMO186" s="91"/>
      <c r="EMR186" s="89"/>
      <c r="EMT186" s="91"/>
      <c r="EMW186" s="89"/>
      <c r="EMY186" s="91"/>
      <c r="ENB186" s="89"/>
      <c r="END186" s="91"/>
      <c r="ENG186" s="89"/>
      <c r="ENI186" s="91"/>
      <c r="ENL186" s="89"/>
      <c r="ENN186" s="91"/>
      <c r="ENQ186" s="89"/>
      <c r="ENS186" s="91"/>
      <c r="ENV186" s="89"/>
      <c r="ENX186" s="91"/>
      <c r="EOA186" s="89"/>
      <c r="EOC186" s="91"/>
      <c r="EOF186" s="89"/>
      <c r="EOH186" s="91"/>
      <c r="EOK186" s="89"/>
      <c r="EOM186" s="91"/>
      <c r="EOP186" s="89"/>
      <c r="EOR186" s="91"/>
      <c r="EOU186" s="89"/>
      <c r="EOW186" s="91"/>
      <c r="EOZ186" s="89"/>
      <c r="EPB186" s="91"/>
      <c r="EPE186" s="89"/>
      <c r="EPG186" s="91"/>
      <c r="EPJ186" s="89"/>
      <c r="EPL186" s="91"/>
      <c r="EPO186" s="89"/>
      <c r="EPQ186" s="91"/>
      <c r="EPT186" s="89"/>
      <c r="EPV186" s="91"/>
      <c r="EPY186" s="89"/>
      <c r="EQA186" s="91"/>
      <c r="EQD186" s="89"/>
      <c r="EQF186" s="91"/>
      <c r="EQI186" s="89"/>
      <c r="EQK186" s="91"/>
      <c r="EQN186" s="89"/>
      <c r="EQP186" s="91"/>
      <c r="EQS186" s="89"/>
      <c r="EQU186" s="91"/>
      <c r="EQX186" s="89"/>
      <c r="EQZ186" s="91"/>
      <c r="ERC186" s="89"/>
      <c r="ERE186" s="91"/>
      <c r="ERH186" s="89"/>
      <c r="ERJ186" s="91"/>
      <c r="ERM186" s="89"/>
      <c r="ERO186" s="91"/>
      <c r="ERR186" s="89"/>
      <c r="ERT186" s="91"/>
      <c r="ERW186" s="89"/>
      <c r="ERY186" s="91"/>
      <c r="ESB186" s="89"/>
      <c r="ESD186" s="91"/>
      <c r="ESG186" s="89"/>
      <c r="ESI186" s="91"/>
      <c r="ESL186" s="89"/>
      <c r="ESN186" s="91"/>
      <c r="ESQ186" s="89"/>
      <c r="ESS186" s="91"/>
      <c r="ESV186" s="89"/>
      <c r="ESX186" s="91"/>
      <c r="ETA186" s="89"/>
      <c r="ETC186" s="91"/>
      <c r="ETF186" s="89"/>
      <c r="ETH186" s="91"/>
      <c r="ETK186" s="89"/>
      <c r="ETM186" s="91"/>
      <c r="ETP186" s="89"/>
      <c r="ETR186" s="91"/>
      <c r="ETU186" s="89"/>
      <c r="ETW186" s="91"/>
      <c r="ETZ186" s="89"/>
      <c r="EUB186" s="91"/>
      <c r="EUE186" s="89"/>
      <c r="EUG186" s="91"/>
      <c r="EUJ186" s="89"/>
      <c r="EUL186" s="91"/>
      <c r="EUO186" s="89"/>
      <c r="EUQ186" s="91"/>
      <c r="EUT186" s="89"/>
      <c r="EUV186" s="91"/>
      <c r="EUY186" s="89"/>
      <c r="EVA186" s="91"/>
      <c r="EVD186" s="89"/>
      <c r="EVF186" s="91"/>
      <c r="EVI186" s="89"/>
      <c r="EVK186" s="91"/>
      <c r="EVN186" s="89"/>
      <c r="EVP186" s="91"/>
      <c r="EVS186" s="89"/>
      <c r="EVU186" s="91"/>
      <c r="EVX186" s="89"/>
      <c r="EVZ186" s="91"/>
      <c r="EWC186" s="89"/>
      <c r="EWE186" s="91"/>
      <c r="EWH186" s="89"/>
      <c r="EWJ186" s="91"/>
      <c r="EWM186" s="89"/>
      <c r="EWO186" s="91"/>
      <c r="EWR186" s="89"/>
      <c r="EWT186" s="91"/>
      <c r="EWW186" s="89"/>
      <c r="EWY186" s="91"/>
      <c r="EXB186" s="89"/>
      <c r="EXD186" s="91"/>
      <c r="EXG186" s="89"/>
      <c r="EXI186" s="91"/>
      <c r="EXL186" s="89"/>
      <c r="EXN186" s="91"/>
      <c r="EXQ186" s="89"/>
      <c r="EXS186" s="91"/>
      <c r="EXV186" s="89"/>
      <c r="EXX186" s="91"/>
      <c r="EYA186" s="89"/>
      <c r="EYC186" s="91"/>
      <c r="EYF186" s="89"/>
      <c r="EYH186" s="91"/>
      <c r="EYK186" s="89"/>
      <c r="EYM186" s="91"/>
      <c r="EYP186" s="89"/>
      <c r="EYR186" s="91"/>
      <c r="EYU186" s="89"/>
      <c r="EYW186" s="91"/>
      <c r="EYZ186" s="89"/>
      <c r="EZB186" s="91"/>
      <c r="EZE186" s="89"/>
      <c r="EZG186" s="91"/>
      <c r="EZJ186" s="89"/>
      <c r="EZL186" s="91"/>
      <c r="EZO186" s="89"/>
      <c r="EZQ186" s="91"/>
      <c r="EZT186" s="89"/>
      <c r="EZV186" s="91"/>
      <c r="EZY186" s="89"/>
      <c r="FAA186" s="91"/>
      <c r="FAD186" s="89"/>
      <c r="FAF186" s="91"/>
      <c r="FAI186" s="89"/>
      <c r="FAK186" s="91"/>
      <c r="FAN186" s="89"/>
      <c r="FAP186" s="91"/>
      <c r="FAS186" s="89"/>
      <c r="FAU186" s="91"/>
      <c r="FAX186" s="89"/>
      <c r="FAZ186" s="91"/>
      <c r="FBC186" s="89"/>
      <c r="FBE186" s="91"/>
      <c r="FBH186" s="89"/>
      <c r="FBJ186" s="91"/>
      <c r="FBM186" s="89"/>
      <c r="FBO186" s="91"/>
      <c r="FBR186" s="89"/>
      <c r="FBT186" s="91"/>
      <c r="FBW186" s="89"/>
      <c r="FBY186" s="91"/>
      <c r="FCB186" s="89"/>
      <c r="FCD186" s="91"/>
      <c r="FCG186" s="89"/>
      <c r="FCI186" s="91"/>
      <c r="FCL186" s="89"/>
      <c r="FCN186" s="91"/>
      <c r="FCQ186" s="89"/>
      <c r="FCS186" s="91"/>
      <c r="FCV186" s="89"/>
      <c r="FCX186" s="91"/>
      <c r="FDA186" s="89"/>
      <c r="FDC186" s="91"/>
      <c r="FDF186" s="89"/>
      <c r="FDH186" s="91"/>
      <c r="FDK186" s="89"/>
      <c r="FDM186" s="91"/>
      <c r="FDP186" s="89"/>
      <c r="FDR186" s="91"/>
      <c r="FDU186" s="89"/>
      <c r="FDW186" s="91"/>
      <c r="FDZ186" s="89"/>
      <c r="FEB186" s="91"/>
      <c r="FEE186" s="89"/>
      <c r="FEG186" s="91"/>
      <c r="FEJ186" s="89"/>
      <c r="FEL186" s="91"/>
      <c r="FEO186" s="89"/>
      <c r="FEQ186" s="91"/>
      <c r="FET186" s="89"/>
      <c r="FEV186" s="91"/>
      <c r="FEY186" s="89"/>
      <c r="FFA186" s="91"/>
      <c r="FFD186" s="89"/>
      <c r="FFF186" s="91"/>
      <c r="FFI186" s="89"/>
      <c r="FFK186" s="91"/>
      <c r="FFN186" s="89"/>
      <c r="FFP186" s="91"/>
      <c r="FFS186" s="89"/>
      <c r="FFU186" s="91"/>
      <c r="FFX186" s="89"/>
      <c r="FFZ186" s="91"/>
      <c r="FGC186" s="89"/>
      <c r="FGE186" s="91"/>
      <c r="FGH186" s="89"/>
      <c r="FGJ186" s="91"/>
      <c r="FGM186" s="89"/>
      <c r="FGO186" s="91"/>
      <c r="FGR186" s="89"/>
      <c r="FGT186" s="91"/>
      <c r="FGW186" s="89"/>
      <c r="FGY186" s="91"/>
      <c r="FHB186" s="89"/>
      <c r="FHD186" s="91"/>
      <c r="FHG186" s="89"/>
      <c r="FHI186" s="91"/>
      <c r="FHL186" s="89"/>
      <c r="FHN186" s="91"/>
      <c r="FHQ186" s="89"/>
      <c r="FHS186" s="91"/>
      <c r="FHV186" s="89"/>
      <c r="FHX186" s="91"/>
      <c r="FIA186" s="89"/>
      <c r="FIC186" s="91"/>
      <c r="FIF186" s="89"/>
      <c r="FIH186" s="91"/>
      <c r="FIK186" s="89"/>
      <c r="FIM186" s="91"/>
      <c r="FIP186" s="89"/>
      <c r="FIR186" s="91"/>
      <c r="FIU186" s="89"/>
      <c r="FIW186" s="91"/>
      <c r="FIZ186" s="89"/>
      <c r="FJB186" s="91"/>
      <c r="FJE186" s="89"/>
      <c r="FJG186" s="91"/>
      <c r="FJJ186" s="89"/>
      <c r="FJL186" s="91"/>
      <c r="FJO186" s="89"/>
      <c r="FJQ186" s="91"/>
      <c r="FJT186" s="89"/>
      <c r="FJV186" s="91"/>
      <c r="FJY186" s="89"/>
      <c r="FKA186" s="91"/>
      <c r="FKD186" s="89"/>
      <c r="FKF186" s="91"/>
      <c r="FKI186" s="89"/>
      <c r="FKK186" s="91"/>
      <c r="FKN186" s="89"/>
      <c r="FKP186" s="91"/>
      <c r="FKS186" s="89"/>
      <c r="FKU186" s="91"/>
      <c r="FKX186" s="89"/>
      <c r="FKZ186" s="91"/>
      <c r="FLC186" s="89"/>
      <c r="FLE186" s="91"/>
      <c r="FLH186" s="89"/>
      <c r="FLJ186" s="91"/>
      <c r="FLM186" s="89"/>
      <c r="FLO186" s="91"/>
      <c r="FLR186" s="89"/>
      <c r="FLT186" s="91"/>
      <c r="FLW186" s="89"/>
      <c r="FLY186" s="91"/>
      <c r="FMB186" s="89"/>
      <c r="FMD186" s="91"/>
      <c r="FMG186" s="89"/>
      <c r="FMI186" s="91"/>
      <c r="FML186" s="89"/>
      <c r="FMN186" s="91"/>
      <c r="FMQ186" s="89"/>
      <c r="FMS186" s="91"/>
      <c r="FMV186" s="89"/>
      <c r="FMX186" s="91"/>
      <c r="FNA186" s="89"/>
      <c r="FNC186" s="91"/>
      <c r="FNF186" s="89"/>
      <c r="FNH186" s="91"/>
      <c r="FNK186" s="89"/>
      <c r="FNM186" s="91"/>
      <c r="FNP186" s="89"/>
      <c r="FNR186" s="91"/>
      <c r="FNU186" s="89"/>
      <c r="FNW186" s="91"/>
      <c r="FNZ186" s="89"/>
      <c r="FOB186" s="91"/>
      <c r="FOE186" s="89"/>
      <c r="FOG186" s="91"/>
      <c r="FOJ186" s="89"/>
      <c r="FOL186" s="91"/>
      <c r="FOO186" s="89"/>
      <c r="FOQ186" s="91"/>
      <c r="FOT186" s="89"/>
      <c r="FOV186" s="91"/>
      <c r="FOY186" s="89"/>
      <c r="FPA186" s="91"/>
      <c r="FPD186" s="89"/>
      <c r="FPF186" s="91"/>
      <c r="FPI186" s="89"/>
      <c r="FPK186" s="91"/>
      <c r="FPN186" s="89"/>
      <c r="FPP186" s="91"/>
      <c r="FPS186" s="89"/>
      <c r="FPU186" s="91"/>
      <c r="FPX186" s="89"/>
      <c r="FPZ186" s="91"/>
      <c r="FQC186" s="89"/>
      <c r="FQE186" s="91"/>
      <c r="FQH186" s="89"/>
      <c r="FQJ186" s="91"/>
      <c r="FQM186" s="89"/>
      <c r="FQO186" s="91"/>
      <c r="FQR186" s="89"/>
      <c r="FQT186" s="91"/>
      <c r="FQW186" s="89"/>
      <c r="FQY186" s="91"/>
      <c r="FRB186" s="89"/>
      <c r="FRD186" s="91"/>
      <c r="FRG186" s="89"/>
      <c r="FRI186" s="91"/>
      <c r="FRL186" s="89"/>
      <c r="FRN186" s="91"/>
      <c r="FRQ186" s="89"/>
      <c r="FRS186" s="91"/>
      <c r="FRV186" s="89"/>
      <c r="FRX186" s="91"/>
      <c r="FSA186" s="89"/>
      <c r="FSC186" s="91"/>
      <c r="FSF186" s="89"/>
      <c r="FSH186" s="91"/>
      <c r="FSK186" s="89"/>
      <c r="FSM186" s="91"/>
      <c r="FSP186" s="89"/>
      <c r="FSR186" s="91"/>
      <c r="FSU186" s="89"/>
      <c r="FSW186" s="91"/>
      <c r="FSZ186" s="89"/>
      <c r="FTB186" s="91"/>
      <c r="FTE186" s="89"/>
      <c r="FTG186" s="91"/>
      <c r="FTJ186" s="89"/>
      <c r="FTL186" s="91"/>
      <c r="FTO186" s="89"/>
      <c r="FTQ186" s="91"/>
      <c r="FTT186" s="89"/>
      <c r="FTV186" s="91"/>
      <c r="FTY186" s="89"/>
      <c r="FUA186" s="91"/>
      <c r="FUD186" s="89"/>
      <c r="FUF186" s="91"/>
      <c r="FUI186" s="89"/>
      <c r="FUK186" s="91"/>
      <c r="FUN186" s="89"/>
      <c r="FUP186" s="91"/>
      <c r="FUS186" s="89"/>
      <c r="FUU186" s="91"/>
      <c r="FUX186" s="89"/>
      <c r="FUZ186" s="91"/>
      <c r="FVC186" s="89"/>
      <c r="FVE186" s="91"/>
      <c r="FVH186" s="89"/>
      <c r="FVJ186" s="91"/>
      <c r="FVM186" s="89"/>
      <c r="FVO186" s="91"/>
      <c r="FVR186" s="89"/>
      <c r="FVT186" s="91"/>
      <c r="FVW186" s="89"/>
      <c r="FVY186" s="91"/>
      <c r="FWB186" s="89"/>
      <c r="FWD186" s="91"/>
      <c r="FWG186" s="89"/>
      <c r="FWI186" s="91"/>
      <c r="FWL186" s="89"/>
      <c r="FWN186" s="91"/>
      <c r="FWQ186" s="89"/>
      <c r="FWS186" s="91"/>
      <c r="FWV186" s="89"/>
      <c r="FWX186" s="91"/>
      <c r="FXA186" s="89"/>
      <c r="FXC186" s="91"/>
      <c r="FXF186" s="89"/>
      <c r="FXH186" s="91"/>
      <c r="FXK186" s="89"/>
      <c r="FXM186" s="91"/>
      <c r="FXP186" s="89"/>
      <c r="FXR186" s="91"/>
      <c r="FXU186" s="89"/>
      <c r="FXW186" s="91"/>
      <c r="FXZ186" s="89"/>
      <c r="FYB186" s="91"/>
      <c r="FYE186" s="89"/>
      <c r="FYG186" s="91"/>
      <c r="FYJ186" s="89"/>
      <c r="FYL186" s="91"/>
      <c r="FYO186" s="89"/>
      <c r="FYQ186" s="91"/>
      <c r="FYT186" s="89"/>
      <c r="FYV186" s="91"/>
      <c r="FYY186" s="89"/>
      <c r="FZA186" s="91"/>
      <c r="FZD186" s="89"/>
      <c r="FZF186" s="91"/>
      <c r="FZI186" s="89"/>
      <c r="FZK186" s="91"/>
      <c r="FZN186" s="89"/>
      <c r="FZP186" s="91"/>
      <c r="FZS186" s="89"/>
      <c r="FZU186" s="91"/>
      <c r="FZX186" s="89"/>
      <c r="FZZ186" s="91"/>
      <c r="GAC186" s="89"/>
      <c r="GAE186" s="91"/>
      <c r="GAH186" s="89"/>
      <c r="GAJ186" s="91"/>
      <c r="GAM186" s="89"/>
      <c r="GAO186" s="91"/>
      <c r="GAR186" s="89"/>
      <c r="GAT186" s="91"/>
      <c r="GAW186" s="89"/>
      <c r="GAY186" s="91"/>
      <c r="GBB186" s="89"/>
      <c r="GBD186" s="91"/>
      <c r="GBG186" s="89"/>
      <c r="GBI186" s="91"/>
      <c r="GBL186" s="89"/>
      <c r="GBN186" s="91"/>
      <c r="GBQ186" s="89"/>
      <c r="GBS186" s="91"/>
      <c r="GBV186" s="89"/>
      <c r="GBX186" s="91"/>
      <c r="GCA186" s="89"/>
      <c r="GCC186" s="91"/>
      <c r="GCF186" s="89"/>
      <c r="GCH186" s="91"/>
      <c r="GCK186" s="89"/>
      <c r="GCM186" s="91"/>
      <c r="GCP186" s="89"/>
      <c r="GCR186" s="91"/>
      <c r="GCU186" s="89"/>
      <c r="GCW186" s="91"/>
      <c r="GCZ186" s="89"/>
      <c r="GDB186" s="91"/>
      <c r="GDE186" s="89"/>
      <c r="GDG186" s="91"/>
      <c r="GDJ186" s="89"/>
      <c r="GDL186" s="91"/>
      <c r="GDO186" s="89"/>
      <c r="GDQ186" s="91"/>
      <c r="GDT186" s="89"/>
      <c r="GDV186" s="91"/>
      <c r="GDY186" s="89"/>
      <c r="GEA186" s="91"/>
      <c r="GED186" s="89"/>
      <c r="GEF186" s="91"/>
      <c r="GEI186" s="89"/>
      <c r="GEK186" s="91"/>
      <c r="GEN186" s="89"/>
      <c r="GEP186" s="91"/>
      <c r="GES186" s="89"/>
      <c r="GEU186" s="91"/>
      <c r="GEX186" s="89"/>
      <c r="GEZ186" s="91"/>
      <c r="GFC186" s="89"/>
      <c r="GFE186" s="91"/>
      <c r="GFH186" s="89"/>
      <c r="GFJ186" s="91"/>
      <c r="GFM186" s="89"/>
      <c r="GFO186" s="91"/>
      <c r="GFR186" s="89"/>
      <c r="GFT186" s="91"/>
      <c r="GFW186" s="89"/>
      <c r="GFY186" s="91"/>
      <c r="GGB186" s="89"/>
      <c r="GGD186" s="91"/>
      <c r="GGG186" s="89"/>
      <c r="GGI186" s="91"/>
      <c r="GGL186" s="89"/>
      <c r="GGN186" s="91"/>
      <c r="GGQ186" s="89"/>
      <c r="GGS186" s="91"/>
      <c r="GGV186" s="89"/>
      <c r="GGX186" s="91"/>
      <c r="GHA186" s="89"/>
      <c r="GHC186" s="91"/>
      <c r="GHF186" s="89"/>
      <c r="GHH186" s="91"/>
      <c r="GHK186" s="89"/>
      <c r="GHM186" s="91"/>
      <c r="GHP186" s="89"/>
      <c r="GHR186" s="91"/>
      <c r="GHU186" s="89"/>
      <c r="GHW186" s="91"/>
      <c r="GHZ186" s="89"/>
      <c r="GIB186" s="91"/>
      <c r="GIE186" s="89"/>
      <c r="GIG186" s="91"/>
      <c r="GIJ186" s="89"/>
      <c r="GIL186" s="91"/>
      <c r="GIO186" s="89"/>
      <c r="GIQ186" s="91"/>
      <c r="GIT186" s="89"/>
      <c r="GIV186" s="91"/>
      <c r="GIY186" s="89"/>
      <c r="GJA186" s="91"/>
      <c r="GJD186" s="89"/>
      <c r="GJF186" s="91"/>
      <c r="GJI186" s="89"/>
      <c r="GJK186" s="91"/>
      <c r="GJN186" s="89"/>
      <c r="GJP186" s="91"/>
      <c r="GJS186" s="89"/>
      <c r="GJU186" s="91"/>
      <c r="GJX186" s="89"/>
      <c r="GJZ186" s="91"/>
      <c r="GKC186" s="89"/>
      <c r="GKE186" s="91"/>
      <c r="GKH186" s="89"/>
      <c r="GKJ186" s="91"/>
      <c r="GKM186" s="89"/>
      <c r="GKO186" s="91"/>
      <c r="GKR186" s="89"/>
      <c r="GKT186" s="91"/>
      <c r="GKW186" s="89"/>
      <c r="GKY186" s="91"/>
      <c r="GLB186" s="89"/>
      <c r="GLD186" s="91"/>
      <c r="GLG186" s="89"/>
      <c r="GLI186" s="91"/>
      <c r="GLL186" s="89"/>
      <c r="GLN186" s="91"/>
      <c r="GLQ186" s="89"/>
      <c r="GLS186" s="91"/>
      <c r="GLV186" s="89"/>
      <c r="GLX186" s="91"/>
      <c r="GMA186" s="89"/>
      <c r="GMC186" s="91"/>
      <c r="GMF186" s="89"/>
      <c r="GMH186" s="91"/>
      <c r="GMK186" s="89"/>
      <c r="GMM186" s="91"/>
      <c r="GMP186" s="89"/>
      <c r="GMR186" s="91"/>
      <c r="GMU186" s="89"/>
      <c r="GMW186" s="91"/>
      <c r="GMZ186" s="89"/>
      <c r="GNB186" s="91"/>
      <c r="GNE186" s="89"/>
      <c r="GNG186" s="91"/>
      <c r="GNJ186" s="89"/>
      <c r="GNL186" s="91"/>
      <c r="GNO186" s="89"/>
      <c r="GNQ186" s="91"/>
      <c r="GNT186" s="89"/>
      <c r="GNV186" s="91"/>
      <c r="GNY186" s="89"/>
      <c r="GOA186" s="91"/>
      <c r="GOD186" s="89"/>
      <c r="GOF186" s="91"/>
      <c r="GOI186" s="89"/>
      <c r="GOK186" s="91"/>
      <c r="GON186" s="89"/>
      <c r="GOP186" s="91"/>
      <c r="GOS186" s="89"/>
      <c r="GOU186" s="91"/>
      <c r="GOX186" s="89"/>
      <c r="GOZ186" s="91"/>
      <c r="GPC186" s="89"/>
      <c r="GPE186" s="91"/>
      <c r="GPH186" s="89"/>
      <c r="GPJ186" s="91"/>
      <c r="GPM186" s="89"/>
      <c r="GPO186" s="91"/>
      <c r="GPR186" s="89"/>
      <c r="GPT186" s="91"/>
      <c r="GPW186" s="89"/>
      <c r="GPY186" s="91"/>
      <c r="GQB186" s="89"/>
      <c r="GQD186" s="91"/>
      <c r="GQG186" s="89"/>
      <c r="GQI186" s="91"/>
      <c r="GQL186" s="89"/>
      <c r="GQN186" s="91"/>
      <c r="GQQ186" s="89"/>
      <c r="GQS186" s="91"/>
      <c r="GQV186" s="89"/>
      <c r="GQX186" s="91"/>
      <c r="GRA186" s="89"/>
      <c r="GRC186" s="91"/>
      <c r="GRF186" s="89"/>
      <c r="GRH186" s="91"/>
      <c r="GRK186" s="89"/>
      <c r="GRM186" s="91"/>
      <c r="GRP186" s="89"/>
      <c r="GRR186" s="91"/>
      <c r="GRU186" s="89"/>
      <c r="GRW186" s="91"/>
      <c r="GRZ186" s="89"/>
      <c r="GSB186" s="91"/>
      <c r="GSE186" s="89"/>
      <c r="GSG186" s="91"/>
      <c r="GSJ186" s="89"/>
      <c r="GSL186" s="91"/>
      <c r="GSO186" s="89"/>
      <c r="GSQ186" s="91"/>
      <c r="GST186" s="89"/>
      <c r="GSV186" s="91"/>
      <c r="GSY186" s="89"/>
      <c r="GTA186" s="91"/>
      <c r="GTD186" s="89"/>
      <c r="GTF186" s="91"/>
      <c r="GTI186" s="89"/>
      <c r="GTK186" s="91"/>
      <c r="GTN186" s="89"/>
      <c r="GTP186" s="91"/>
      <c r="GTS186" s="89"/>
      <c r="GTU186" s="91"/>
      <c r="GTX186" s="89"/>
      <c r="GTZ186" s="91"/>
      <c r="GUC186" s="89"/>
      <c r="GUE186" s="91"/>
      <c r="GUH186" s="89"/>
      <c r="GUJ186" s="91"/>
      <c r="GUM186" s="89"/>
      <c r="GUO186" s="91"/>
      <c r="GUR186" s="89"/>
      <c r="GUT186" s="91"/>
      <c r="GUW186" s="89"/>
      <c r="GUY186" s="91"/>
      <c r="GVB186" s="89"/>
      <c r="GVD186" s="91"/>
      <c r="GVG186" s="89"/>
      <c r="GVI186" s="91"/>
      <c r="GVL186" s="89"/>
      <c r="GVN186" s="91"/>
      <c r="GVQ186" s="89"/>
      <c r="GVS186" s="91"/>
      <c r="GVV186" s="89"/>
      <c r="GVX186" s="91"/>
      <c r="GWA186" s="89"/>
      <c r="GWC186" s="91"/>
      <c r="GWF186" s="89"/>
      <c r="GWH186" s="91"/>
      <c r="GWK186" s="89"/>
      <c r="GWM186" s="91"/>
      <c r="GWP186" s="89"/>
      <c r="GWR186" s="91"/>
      <c r="GWU186" s="89"/>
      <c r="GWW186" s="91"/>
      <c r="GWZ186" s="89"/>
      <c r="GXB186" s="91"/>
      <c r="GXE186" s="89"/>
      <c r="GXG186" s="91"/>
      <c r="GXJ186" s="89"/>
      <c r="GXL186" s="91"/>
      <c r="GXO186" s="89"/>
      <c r="GXQ186" s="91"/>
      <c r="GXT186" s="89"/>
      <c r="GXV186" s="91"/>
      <c r="GXY186" s="89"/>
      <c r="GYA186" s="91"/>
      <c r="GYD186" s="89"/>
      <c r="GYF186" s="91"/>
      <c r="GYI186" s="89"/>
      <c r="GYK186" s="91"/>
      <c r="GYN186" s="89"/>
      <c r="GYP186" s="91"/>
      <c r="GYS186" s="89"/>
      <c r="GYU186" s="91"/>
      <c r="GYX186" s="89"/>
      <c r="GYZ186" s="91"/>
      <c r="GZC186" s="89"/>
      <c r="GZE186" s="91"/>
      <c r="GZH186" s="89"/>
      <c r="GZJ186" s="91"/>
      <c r="GZM186" s="89"/>
      <c r="GZO186" s="91"/>
      <c r="GZR186" s="89"/>
      <c r="GZT186" s="91"/>
      <c r="GZW186" s="89"/>
      <c r="GZY186" s="91"/>
      <c r="HAB186" s="89"/>
      <c r="HAD186" s="91"/>
      <c r="HAG186" s="89"/>
      <c r="HAI186" s="91"/>
      <c r="HAL186" s="89"/>
      <c r="HAN186" s="91"/>
      <c r="HAQ186" s="89"/>
      <c r="HAS186" s="91"/>
      <c r="HAV186" s="89"/>
      <c r="HAX186" s="91"/>
      <c r="HBA186" s="89"/>
      <c r="HBC186" s="91"/>
      <c r="HBF186" s="89"/>
      <c r="HBH186" s="91"/>
      <c r="HBK186" s="89"/>
      <c r="HBM186" s="91"/>
      <c r="HBP186" s="89"/>
      <c r="HBR186" s="91"/>
      <c r="HBU186" s="89"/>
      <c r="HBW186" s="91"/>
      <c r="HBZ186" s="89"/>
      <c r="HCB186" s="91"/>
      <c r="HCE186" s="89"/>
      <c r="HCG186" s="91"/>
      <c r="HCJ186" s="89"/>
      <c r="HCL186" s="91"/>
      <c r="HCO186" s="89"/>
      <c r="HCQ186" s="91"/>
      <c r="HCT186" s="89"/>
      <c r="HCV186" s="91"/>
      <c r="HCY186" s="89"/>
      <c r="HDA186" s="91"/>
      <c r="HDD186" s="89"/>
      <c r="HDF186" s="91"/>
      <c r="HDI186" s="89"/>
      <c r="HDK186" s="91"/>
      <c r="HDN186" s="89"/>
      <c r="HDP186" s="91"/>
      <c r="HDS186" s="89"/>
      <c r="HDU186" s="91"/>
      <c r="HDX186" s="89"/>
      <c r="HDZ186" s="91"/>
      <c r="HEC186" s="89"/>
      <c r="HEE186" s="91"/>
      <c r="HEH186" s="89"/>
      <c r="HEJ186" s="91"/>
      <c r="HEM186" s="89"/>
      <c r="HEO186" s="91"/>
      <c r="HER186" s="89"/>
      <c r="HET186" s="91"/>
      <c r="HEW186" s="89"/>
      <c r="HEY186" s="91"/>
      <c r="HFB186" s="89"/>
      <c r="HFD186" s="91"/>
      <c r="HFG186" s="89"/>
      <c r="HFI186" s="91"/>
      <c r="HFL186" s="89"/>
      <c r="HFN186" s="91"/>
      <c r="HFQ186" s="89"/>
      <c r="HFS186" s="91"/>
      <c r="HFV186" s="89"/>
      <c r="HFX186" s="91"/>
      <c r="HGA186" s="89"/>
      <c r="HGC186" s="91"/>
      <c r="HGF186" s="89"/>
      <c r="HGH186" s="91"/>
      <c r="HGK186" s="89"/>
      <c r="HGM186" s="91"/>
      <c r="HGP186" s="89"/>
      <c r="HGR186" s="91"/>
      <c r="HGU186" s="89"/>
      <c r="HGW186" s="91"/>
      <c r="HGZ186" s="89"/>
      <c r="HHB186" s="91"/>
      <c r="HHE186" s="89"/>
      <c r="HHG186" s="91"/>
      <c r="HHJ186" s="89"/>
      <c r="HHL186" s="91"/>
      <c r="HHO186" s="89"/>
      <c r="HHQ186" s="91"/>
      <c r="HHT186" s="89"/>
      <c r="HHV186" s="91"/>
      <c r="HHY186" s="89"/>
      <c r="HIA186" s="91"/>
      <c r="HID186" s="89"/>
      <c r="HIF186" s="91"/>
      <c r="HII186" s="89"/>
      <c r="HIK186" s="91"/>
      <c r="HIN186" s="89"/>
      <c r="HIP186" s="91"/>
      <c r="HIS186" s="89"/>
      <c r="HIU186" s="91"/>
      <c r="HIX186" s="89"/>
      <c r="HIZ186" s="91"/>
      <c r="HJC186" s="89"/>
      <c r="HJE186" s="91"/>
      <c r="HJH186" s="89"/>
      <c r="HJJ186" s="91"/>
      <c r="HJM186" s="89"/>
      <c r="HJO186" s="91"/>
      <c r="HJR186" s="89"/>
      <c r="HJT186" s="91"/>
      <c r="HJW186" s="89"/>
      <c r="HJY186" s="91"/>
      <c r="HKB186" s="89"/>
      <c r="HKD186" s="91"/>
      <c r="HKG186" s="89"/>
      <c r="HKI186" s="91"/>
      <c r="HKL186" s="89"/>
      <c r="HKN186" s="91"/>
      <c r="HKQ186" s="89"/>
      <c r="HKS186" s="91"/>
      <c r="HKV186" s="89"/>
      <c r="HKX186" s="91"/>
      <c r="HLA186" s="89"/>
      <c r="HLC186" s="91"/>
      <c r="HLF186" s="89"/>
      <c r="HLH186" s="91"/>
      <c r="HLK186" s="89"/>
      <c r="HLM186" s="91"/>
      <c r="HLP186" s="89"/>
      <c r="HLR186" s="91"/>
      <c r="HLU186" s="89"/>
      <c r="HLW186" s="91"/>
      <c r="HLZ186" s="89"/>
      <c r="HMB186" s="91"/>
      <c r="HME186" s="89"/>
      <c r="HMG186" s="91"/>
      <c r="HMJ186" s="89"/>
      <c r="HML186" s="91"/>
      <c r="HMO186" s="89"/>
      <c r="HMQ186" s="91"/>
      <c r="HMT186" s="89"/>
      <c r="HMV186" s="91"/>
      <c r="HMY186" s="89"/>
      <c r="HNA186" s="91"/>
      <c r="HND186" s="89"/>
      <c r="HNF186" s="91"/>
      <c r="HNI186" s="89"/>
      <c r="HNK186" s="91"/>
      <c r="HNN186" s="89"/>
      <c r="HNP186" s="91"/>
      <c r="HNS186" s="89"/>
      <c r="HNU186" s="91"/>
      <c r="HNX186" s="89"/>
      <c r="HNZ186" s="91"/>
      <c r="HOC186" s="89"/>
      <c r="HOE186" s="91"/>
      <c r="HOH186" s="89"/>
      <c r="HOJ186" s="91"/>
      <c r="HOM186" s="89"/>
      <c r="HOO186" s="91"/>
      <c r="HOR186" s="89"/>
      <c r="HOT186" s="91"/>
      <c r="HOW186" s="89"/>
      <c r="HOY186" s="91"/>
      <c r="HPB186" s="89"/>
      <c r="HPD186" s="91"/>
      <c r="HPG186" s="89"/>
      <c r="HPI186" s="91"/>
      <c r="HPL186" s="89"/>
      <c r="HPN186" s="91"/>
      <c r="HPQ186" s="89"/>
      <c r="HPS186" s="91"/>
      <c r="HPV186" s="89"/>
      <c r="HPX186" s="91"/>
      <c r="HQA186" s="89"/>
      <c r="HQC186" s="91"/>
      <c r="HQF186" s="89"/>
      <c r="HQH186" s="91"/>
      <c r="HQK186" s="89"/>
      <c r="HQM186" s="91"/>
      <c r="HQP186" s="89"/>
      <c r="HQR186" s="91"/>
      <c r="HQU186" s="89"/>
      <c r="HQW186" s="91"/>
      <c r="HQZ186" s="89"/>
      <c r="HRB186" s="91"/>
      <c r="HRE186" s="89"/>
      <c r="HRG186" s="91"/>
      <c r="HRJ186" s="89"/>
      <c r="HRL186" s="91"/>
      <c r="HRO186" s="89"/>
      <c r="HRQ186" s="91"/>
      <c r="HRT186" s="89"/>
      <c r="HRV186" s="91"/>
      <c r="HRY186" s="89"/>
      <c r="HSA186" s="91"/>
      <c r="HSD186" s="89"/>
      <c r="HSF186" s="91"/>
      <c r="HSI186" s="89"/>
      <c r="HSK186" s="91"/>
      <c r="HSN186" s="89"/>
      <c r="HSP186" s="91"/>
      <c r="HSS186" s="89"/>
      <c r="HSU186" s="91"/>
      <c r="HSX186" s="89"/>
      <c r="HSZ186" s="91"/>
      <c r="HTC186" s="89"/>
      <c r="HTE186" s="91"/>
      <c r="HTH186" s="89"/>
      <c r="HTJ186" s="91"/>
      <c r="HTM186" s="89"/>
      <c r="HTO186" s="91"/>
      <c r="HTR186" s="89"/>
      <c r="HTT186" s="91"/>
      <c r="HTW186" s="89"/>
      <c r="HTY186" s="91"/>
      <c r="HUB186" s="89"/>
      <c r="HUD186" s="91"/>
      <c r="HUG186" s="89"/>
      <c r="HUI186" s="91"/>
      <c r="HUL186" s="89"/>
      <c r="HUN186" s="91"/>
      <c r="HUQ186" s="89"/>
      <c r="HUS186" s="91"/>
      <c r="HUV186" s="89"/>
      <c r="HUX186" s="91"/>
      <c r="HVA186" s="89"/>
      <c r="HVC186" s="91"/>
      <c r="HVF186" s="89"/>
      <c r="HVH186" s="91"/>
      <c r="HVK186" s="89"/>
      <c r="HVM186" s="91"/>
      <c r="HVP186" s="89"/>
      <c r="HVR186" s="91"/>
      <c r="HVU186" s="89"/>
      <c r="HVW186" s="91"/>
      <c r="HVZ186" s="89"/>
      <c r="HWB186" s="91"/>
      <c r="HWE186" s="89"/>
      <c r="HWG186" s="91"/>
      <c r="HWJ186" s="89"/>
      <c r="HWL186" s="91"/>
      <c r="HWO186" s="89"/>
      <c r="HWQ186" s="91"/>
      <c r="HWT186" s="89"/>
      <c r="HWV186" s="91"/>
      <c r="HWY186" s="89"/>
      <c r="HXA186" s="91"/>
      <c r="HXD186" s="89"/>
      <c r="HXF186" s="91"/>
      <c r="HXI186" s="89"/>
      <c r="HXK186" s="91"/>
      <c r="HXN186" s="89"/>
      <c r="HXP186" s="91"/>
      <c r="HXS186" s="89"/>
      <c r="HXU186" s="91"/>
      <c r="HXX186" s="89"/>
      <c r="HXZ186" s="91"/>
      <c r="HYC186" s="89"/>
      <c r="HYE186" s="91"/>
      <c r="HYH186" s="89"/>
      <c r="HYJ186" s="91"/>
      <c r="HYM186" s="89"/>
      <c r="HYO186" s="91"/>
      <c r="HYR186" s="89"/>
      <c r="HYT186" s="91"/>
      <c r="HYW186" s="89"/>
      <c r="HYY186" s="91"/>
      <c r="HZB186" s="89"/>
      <c r="HZD186" s="91"/>
      <c r="HZG186" s="89"/>
      <c r="HZI186" s="91"/>
      <c r="HZL186" s="89"/>
      <c r="HZN186" s="91"/>
      <c r="HZQ186" s="89"/>
      <c r="HZS186" s="91"/>
      <c r="HZV186" s="89"/>
      <c r="HZX186" s="91"/>
      <c r="IAA186" s="89"/>
      <c r="IAC186" s="91"/>
      <c r="IAF186" s="89"/>
      <c r="IAH186" s="91"/>
      <c r="IAK186" s="89"/>
      <c r="IAM186" s="91"/>
      <c r="IAP186" s="89"/>
      <c r="IAR186" s="91"/>
      <c r="IAU186" s="89"/>
      <c r="IAW186" s="91"/>
      <c r="IAZ186" s="89"/>
      <c r="IBB186" s="91"/>
      <c r="IBE186" s="89"/>
      <c r="IBG186" s="91"/>
      <c r="IBJ186" s="89"/>
      <c r="IBL186" s="91"/>
      <c r="IBO186" s="89"/>
      <c r="IBQ186" s="91"/>
      <c r="IBT186" s="89"/>
      <c r="IBV186" s="91"/>
      <c r="IBY186" s="89"/>
      <c r="ICA186" s="91"/>
      <c r="ICD186" s="89"/>
      <c r="ICF186" s="91"/>
      <c r="ICI186" s="89"/>
      <c r="ICK186" s="91"/>
      <c r="ICN186" s="89"/>
      <c r="ICP186" s="91"/>
      <c r="ICS186" s="89"/>
      <c r="ICU186" s="91"/>
      <c r="ICX186" s="89"/>
      <c r="ICZ186" s="91"/>
      <c r="IDC186" s="89"/>
      <c r="IDE186" s="91"/>
      <c r="IDH186" s="89"/>
      <c r="IDJ186" s="91"/>
      <c r="IDM186" s="89"/>
      <c r="IDO186" s="91"/>
      <c r="IDR186" s="89"/>
      <c r="IDT186" s="91"/>
      <c r="IDW186" s="89"/>
      <c r="IDY186" s="91"/>
      <c r="IEB186" s="89"/>
      <c r="IED186" s="91"/>
      <c r="IEG186" s="89"/>
      <c r="IEI186" s="91"/>
      <c r="IEL186" s="89"/>
      <c r="IEN186" s="91"/>
      <c r="IEQ186" s="89"/>
      <c r="IES186" s="91"/>
      <c r="IEV186" s="89"/>
      <c r="IEX186" s="91"/>
      <c r="IFA186" s="89"/>
      <c r="IFC186" s="91"/>
      <c r="IFF186" s="89"/>
      <c r="IFH186" s="91"/>
      <c r="IFK186" s="89"/>
      <c r="IFM186" s="91"/>
      <c r="IFP186" s="89"/>
      <c r="IFR186" s="91"/>
      <c r="IFU186" s="89"/>
      <c r="IFW186" s="91"/>
      <c r="IFZ186" s="89"/>
      <c r="IGB186" s="91"/>
      <c r="IGE186" s="89"/>
      <c r="IGG186" s="91"/>
      <c r="IGJ186" s="89"/>
      <c r="IGL186" s="91"/>
      <c r="IGO186" s="89"/>
      <c r="IGQ186" s="91"/>
      <c r="IGT186" s="89"/>
      <c r="IGV186" s="91"/>
      <c r="IGY186" s="89"/>
      <c r="IHA186" s="91"/>
      <c r="IHD186" s="89"/>
      <c r="IHF186" s="91"/>
      <c r="IHI186" s="89"/>
      <c r="IHK186" s="91"/>
      <c r="IHN186" s="89"/>
      <c r="IHP186" s="91"/>
      <c r="IHS186" s="89"/>
      <c r="IHU186" s="91"/>
      <c r="IHX186" s="89"/>
      <c r="IHZ186" s="91"/>
      <c r="IIC186" s="89"/>
      <c r="IIE186" s="91"/>
      <c r="IIH186" s="89"/>
      <c r="IIJ186" s="91"/>
      <c r="IIM186" s="89"/>
      <c r="IIO186" s="91"/>
      <c r="IIR186" s="89"/>
      <c r="IIT186" s="91"/>
      <c r="IIW186" s="89"/>
      <c r="IIY186" s="91"/>
      <c r="IJB186" s="89"/>
      <c r="IJD186" s="91"/>
      <c r="IJG186" s="89"/>
      <c r="IJI186" s="91"/>
      <c r="IJL186" s="89"/>
      <c r="IJN186" s="91"/>
      <c r="IJQ186" s="89"/>
      <c r="IJS186" s="91"/>
      <c r="IJV186" s="89"/>
      <c r="IJX186" s="91"/>
      <c r="IKA186" s="89"/>
      <c r="IKC186" s="91"/>
      <c r="IKF186" s="89"/>
      <c r="IKH186" s="91"/>
      <c r="IKK186" s="89"/>
      <c r="IKM186" s="91"/>
      <c r="IKP186" s="89"/>
      <c r="IKR186" s="91"/>
      <c r="IKU186" s="89"/>
      <c r="IKW186" s="91"/>
      <c r="IKZ186" s="89"/>
      <c r="ILB186" s="91"/>
      <c r="ILE186" s="89"/>
      <c r="ILG186" s="91"/>
      <c r="ILJ186" s="89"/>
      <c r="ILL186" s="91"/>
      <c r="ILO186" s="89"/>
      <c r="ILQ186" s="91"/>
      <c r="ILT186" s="89"/>
      <c r="ILV186" s="91"/>
      <c r="ILY186" s="89"/>
      <c r="IMA186" s="91"/>
      <c r="IMD186" s="89"/>
      <c r="IMF186" s="91"/>
      <c r="IMI186" s="89"/>
      <c r="IMK186" s="91"/>
      <c r="IMN186" s="89"/>
      <c r="IMP186" s="91"/>
      <c r="IMS186" s="89"/>
      <c r="IMU186" s="91"/>
      <c r="IMX186" s="89"/>
      <c r="IMZ186" s="91"/>
      <c r="INC186" s="89"/>
      <c r="INE186" s="91"/>
      <c r="INH186" s="89"/>
      <c r="INJ186" s="91"/>
      <c r="INM186" s="89"/>
      <c r="INO186" s="91"/>
      <c r="INR186" s="89"/>
      <c r="INT186" s="91"/>
      <c r="INW186" s="89"/>
      <c r="INY186" s="91"/>
      <c r="IOB186" s="89"/>
      <c r="IOD186" s="91"/>
      <c r="IOG186" s="89"/>
      <c r="IOI186" s="91"/>
      <c r="IOL186" s="89"/>
      <c r="ION186" s="91"/>
      <c r="IOQ186" s="89"/>
      <c r="IOS186" s="91"/>
      <c r="IOV186" s="89"/>
      <c r="IOX186" s="91"/>
      <c r="IPA186" s="89"/>
      <c r="IPC186" s="91"/>
      <c r="IPF186" s="89"/>
      <c r="IPH186" s="91"/>
      <c r="IPK186" s="89"/>
      <c r="IPM186" s="91"/>
      <c r="IPP186" s="89"/>
      <c r="IPR186" s="91"/>
      <c r="IPU186" s="89"/>
      <c r="IPW186" s="91"/>
      <c r="IPZ186" s="89"/>
      <c r="IQB186" s="91"/>
      <c r="IQE186" s="89"/>
      <c r="IQG186" s="91"/>
      <c r="IQJ186" s="89"/>
      <c r="IQL186" s="91"/>
      <c r="IQO186" s="89"/>
      <c r="IQQ186" s="91"/>
      <c r="IQT186" s="89"/>
      <c r="IQV186" s="91"/>
      <c r="IQY186" s="89"/>
      <c r="IRA186" s="91"/>
      <c r="IRD186" s="89"/>
      <c r="IRF186" s="91"/>
      <c r="IRI186" s="89"/>
      <c r="IRK186" s="91"/>
      <c r="IRN186" s="89"/>
      <c r="IRP186" s="91"/>
      <c r="IRS186" s="89"/>
      <c r="IRU186" s="91"/>
      <c r="IRX186" s="89"/>
      <c r="IRZ186" s="91"/>
      <c r="ISC186" s="89"/>
      <c r="ISE186" s="91"/>
      <c r="ISH186" s="89"/>
      <c r="ISJ186" s="91"/>
      <c r="ISM186" s="89"/>
      <c r="ISO186" s="91"/>
      <c r="ISR186" s="89"/>
      <c r="IST186" s="91"/>
      <c r="ISW186" s="89"/>
      <c r="ISY186" s="91"/>
      <c r="ITB186" s="89"/>
      <c r="ITD186" s="91"/>
      <c r="ITG186" s="89"/>
      <c r="ITI186" s="91"/>
      <c r="ITL186" s="89"/>
      <c r="ITN186" s="91"/>
      <c r="ITQ186" s="89"/>
      <c r="ITS186" s="91"/>
      <c r="ITV186" s="89"/>
      <c r="ITX186" s="91"/>
      <c r="IUA186" s="89"/>
      <c r="IUC186" s="91"/>
      <c r="IUF186" s="89"/>
      <c r="IUH186" s="91"/>
      <c r="IUK186" s="89"/>
      <c r="IUM186" s="91"/>
      <c r="IUP186" s="89"/>
      <c r="IUR186" s="91"/>
      <c r="IUU186" s="89"/>
      <c r="IUW186" s="91"/>
      <c r="IUZ186" s="89"/>
      <c r="IVB186" s="91"/>
      <c r="IVE186" s="89"/>
      <c r="IVG186" s="91"/>
      <c r="IVJ186" s="89"/>
      <c r="IVL186" s="91"/>
      <c r="IVO186" s="89"/>
      <c r="IVQ186" s="91"/>
      <c r="IVT186" s="89"/>
      <c r="IVV186" s="91"/>
      <c r="IVY186" s="89"/>
      <c r="IWA186" s="91"/>
      <c r="IWD186" s="89"/>
      <c r="IWF186" s="91"/>
      <c r="IWI186" s="89"/>
      <c r="IWK186" s="91"/>
      <c r="IWN186" s="89"/>
      <c r="IWP186" s="91"/>
      <c r="IWS186" s="89"/>
      <c r="IWU186" s="91"/>
      <c r="IWX186" s="89"/>
      <c r="IWZ186" s="91"/>
      <c r="IXC186" s="89"/>
      <c r="IXE186" s="91"/>
      <c r="IXH186" s="89"/>
      <c r="IXJ186" s="91"/>
      <c r="IXM186" s="89"/>
      <c r="IXO186" s="91"/>
      <c r="IXR186" s="89"/>
      <c r="IXT186" s="91"/>
      <c r="IXW186" s="89"/>
      <c r="IXY186" s="91"/>
      <c r="IYB186" s="89"/>
      <c r="IYD186" s="91"/>
      <c r="IYG186" s="89"/>
      <c r="IYI186" s="91"/>
      <c r="IYL186" s="89"/>
      <c r="IYN186" s="91"/>
      <c r="IYQ186" s="89"/>
      <c r="IYS186" s="91"/>
      <c r="IYV186" s="89"/>
      <c r="IYX186" s="91"/>
      <c r="IZA186" s="89"/>
      <c r="IZC186" s="91"/>
      <c r="IZF186" s="89"/>
      <c r="IZH186" s="91"/>
      <c r="IZK186" s="89"/>
      <c r="IZM186" s="91"/>
      <c r="IZP186" s="89"/>
      <c r="IZR186" s="91"/>
      <c r="IZU186" s="89"/>
      <c r="IZW186" s="91"/>
      <c r="IZZ186" s="89"/>
      <c r="JAB186" s="91"/>
      <c r="JAE186" s="89"/>
      <c r="JAG186" s="91"/>
      <c r="JAJ186" s="89"/>
      <c r="JAL186" s="91"/>
      <c r="JAO186" s="89"/>
      <c r="JAQ186" s="91"/>
      <c r="JAT186" s="89"/>
      <c r="JAV186" s="91"/>
      <c r="JAY186" s="89"/>
      <c r="JBA186" s="91"/>
      <c r="JBD186" s="89"/>
      <c r="JBF186" s="91"/>
      <c r="JBI186" s="89"/>
      <c r="JBK186" s="91"/>
      <c r="JBN186" s="89"/>
      <c r="JBP186" s="91"/>
      <c r="JBS186" s="89"/>
      <c r="JBU186" s="91"/>
      <c r="JBX186" s="89"/>
      <c r="JBZ186" s="91"/>
      <c r="JCC186" s="89"/>
      <c r="JCE186" s="91"/>
      <c r="JCH186" s="89"/>
      <c r="JCJ186" s="91"/>
      <c r="JCM186" s="89"/>
      <c r="JCO186" s="91"/>
      <c r="JCR186" s="89"/>
      <c r="JCT186" s="91"/>
      <c r="JCW186" s="89"/>
      <c r="JCY186" s="91"/>
      <c r="JDB186" s="89"/>
      <c r="JDD186" s="91"/>
      <c r="JDG186" s="89"/>
      <c r="JDI186" s="91"/>
      <c r="JDL186" s="89"/>
      <c r="JDN186" s="91"/>
      <c r="JDQ186" s="89"/>
      <c r="JDS186" s="91"/>
      <c r="JDV186" s="89"/>
      <c r="JDX186" s="91"/>
      <c r="JEA186" s="89"/>
      <c r="JEC186" s="91"/>
      <c r="JEF186" s="89"/>
      <c r="JEH186" s="91"/>
      <c r="JEK186" s="89"/>
      <c r="JEM186" s="91"/>
      <c r="JEP186" s="89"/>
      <c r="JER186" s="91"/>
      <c r="JEU186" s="89"/>
      <c r="JEW186" s="91"/>
      <c r="JEZ186" s="89"/>
      <c r="JFB186" s="91"/>
      <c r="JFE186" s="89"/>
      <c r="JFG186" s="91"/>
      <c r="JFJ186" s="89"/>
      <c r="JFL186" s="91"/>
      <c r="JFO186" s="89"/>
      <c r="JFQ186" s="91"/>
      <c r="JFT186" s="89"/>
      <c r="JFV186" s="91"/>
      <c r="JFY186" s="89"/>
      <c r="JGA186" s="91"/>
      <c r="JGD186" s="89"/>
      <c r="JGF186" s="91"/>
      <c r="JGI186" s="89"/>
      <c r="JGK186" s="91"/>
      <c r="JGN186" s="89"/>
      <c r="JGP186" s="91"/>
      <c r="JGS186" s="89"/>
      <c r="JGU186" s="91"/>
      <c r="JGX186" s="89"/>
      <c r="JGZ186" s="91"/>
      <c r="JHC186" s="89"/>
      <c r="JHE186" s="91"/>
      <c r="JHH186" s="89"/>
      <c r="JHJ186" s="91"/>
      <c r="JHM186" s="89"/>
      <c r="JHO186" s="91"/>
      <c r="JHR186" s="89"/>
      <c r="JHT186" s="91"/>
      <c r="JHW186" s="89"/>
      <c r="JHY186" s="91"/>
      <c r="JIB186" s="89"/>
      <c r="JID186" s="91"/>
      <c r="JIG186" s="89"/>
      <c r="JII186" s="91"/>
      <c r="JIL186" s="89"/>
      <c r="JIN186" s="91"/>
      <c r="JIQ186" s="89"/>
      <c r="JIS186" s="91"/>
      <c r="JIV186" s="89"/>
      <c r="JIX186" s="91"/>
      <c r="JJA186" s="89"/>
      <c r="JJC186" s="91"/>
      <c r="JJF186" s="89"/>
      <c r="JJH186" s="91"/>
      <c r="JJK186" s="89"/>
      <c r="JJM186" s="91"/>
      <c r="JJP186" s="89"/>
      <c r="JJR186" s="91"/>
      <c r="JJU186" s="89"/>
      <c r="JJW186" s="91"/>
      <c r="JJZ186" s="89"/>
      <c r="JKB186" s="91"/>
      <c r="JKE186" s="89"/>
      <c r="JKG186" s="91"/>
      <c r="JKJ186" s="89"/>
      <c r="JKL186" s="91"/>
      <c r="JKO186" s="89"/>
      <c r="JKQ186" s="91"/>
      <c r="JKT186" s="89"/>
      <c r="JKV186" s="91"/>
      <c r="JKY186" s="89"/>
      <c r="JLA186" s="91"/>
      <c r="JLD186" s="89"/>
      <c r="JLF186" s="91"/>
      <c r="JLI186" s="89"/>
      <c r="JLK186" s="91"/>
      <c r="JLN186" s="89"/>
      <c r="JLP186" s="91"/>
      <c r="JLS186" s="89"/>
      <c r="JLU186" s="91"/>
      <c r="JLX186" s="89"/>
      <c r="JLZ186" s="91"/>
      <c r="JMC186" s="89"/>
      <c r="JME186" s="91"/>
      <c r="JMH186" s="89"/>
      <c r="JMJ186" s="91"/>
      <c r="JMM186" s="89"/>
      <c r="JMO186" s="91"/>
      <c r="JMR186" s="89"/>
      <c r="JMT186" s="91"/>
      <c r="JMW186" s="89"/>
      <c r="JMY186" s="91"/>
      <c r="JNB186" s="89"/>
      <c r="JND186" s="91"/>
      <c r="JNG186" s="89"/>
      <c r="JNI186" s="91"/>
      <c r="JNL186" s="89"/>
      <c r="JNN186" s="91"/>
      <c r="JNQ186" s="89"/>
      <c r="JNS186" s="91"/>
      <c r="JNV186" s="89"/>
      <c r="JNX186" s="91"/>
      <c r="JOA186" s="89"/>
      <c r="JOC186" s="91"/>
      <c r="JOF186" s="89"/>
      <c r="JOH186" s="91"/>
      <c r="JOK186" s="89"/>
      <c r="JOM186" s="91"/>
      <c r="JOP186" s="89"/>
      <c r="JOR186" s="91"/>
      <c r="JOU186" s="89"/>
      <c r="JOW186" s="91"/>
      <c r="JOZ186" s="89"/>
      <c r="JPB186" s="91"/>
      <c r="JPE186" s="89"/>
      <c r="JPG186" s="91"/>
      <c r="JPJ186" s="89"/>
      <c r="JPL186" s="91"/>
      <c r="JPO186" s="89"/>
      <c r="JPQ186" s="91"/>
      <c r="JPT186" s="89"/>
      <c r="JPV186" s="91"/>
      <c r="JPY186" s="89"/>
      <c r="JQA186" s="91"/>
      <c r="JQD186" s="89"/>
      <c r="JQF186" s="91"/>
      <c r="JQI186" s="89"/>
      <c r="JQK186" s="91"/>
      <c r="JQN186" s="89"/>
      <c r="JQP186" s="91"/>
      <c r="JQS186" s="89"/>
      <c r="JQU186" s="91"/>
      <c r="JQX186" s="89"/>
      <c r="JQZ186" s="91"/>
      <c r="JRC186" s="89"/>
      <c r="JRE186" s="91"/>
      <c r="JRH186" s="89"/>
      <c r="JRJ186" s="91"/>
      <c r="JRM186" s="89"/>
      <c r="JRO186" s="91"/>
      <c r="JRR186" s="89"/>
      <c r="JRT186" s="91"/>
      <c r="JRW186" s="89"/>
      <c r="JRY186" s="91"/>
      <c r="JSB186" s="89"/>
      <c r="JSD186" s="91"/>
      <c r="JSG186" s="89"/>
      <c r="JSI186" s="91"/>
      <c r="JSL186" s="89"/>
      <c r="JSN186" s="91"/>
      <c r="JSQ186" s="89"/>
      <c r="JSS186" s="91"/>
      <c r="JSV186" s="89"/>
      <c r="JSX186" s="91"/>
      <c r="JTA186" s="89"/>
      <c r="JTC186" s="91"/>
      <c r="JTF186" s="89"/>
      <c r="JTH186" s="91"/>
      <c r="JTK186" s="89"/>
      <c r="JTM186" s="91"/>
      <c r="JTP186" s="89"/>
      <c r="JTR186" s="91"/>
      <c r="JTU186" s="89"/>
      <c r="JTW186" s="91"/>
      <c r="JTZ186" s="89"/>
      <c r="JUB186" s="91"/>
      <c r="JUE186" s="89"/>
      <c r="JUG186" s="91"/>
      <c r="JUJ186" s="89"/>
      <c r="JUL186" s="91"/>
      <c r="JUO186" s="89"/>
      <c r="JUQ186" s="91"/>
      <c r="JUT186" s="89"/>
      <c r="JUV186" s="91"/>
      <c r="JUY186" s="89"/>
      <c r="JVA186" s="91"/>
      <c r="JVD186" s="89"/>
      <c r="JVF186" s="91"/>
      <c r="JVI186" s="89"/>
      <c r="JVK186" s="91"/>
      <c r="JVN186" s="89"/>
      <c r="JVP186" s="91"/>
      <c r="JVS186" s="89"/>
      <c r="JVU186" s="91"/>
      <c r="JVX186" s="89"/>
      <c r="JVZ186" s="91"/>
      <c r="JWC186" s="89"/>
      <c r="JWE186" s="91"/>
      <c r="JWH186" s="89"/>
      <c r="JWJ186" s="91"/>
      <c r="JWM186" s="89"/>
      <c r="JWO186" s="91"/>
      <c r="JWR186" s="89"/>
      <c r="JWT186" s="91"/>
      <c r="JWW186" s="89"/>
      <c r="JWY186" s="91"/>
      <c r="JXB186" s="89"/>
      <c r="JXD186" s="91"/>
      <c r="JXG186" s="89"/>
      <c r="JXI186" s="91"/>
      <c r="JXL186" s="89"/>
      <c r="JXN186" s="91"/>
      <c r="JXQ186" s="89"/>
      <c r="JXS186" s="91"/>
      <c r="JXV186" s="89"/>
      <c r="JXX186" s="91"/>
      <c r="JYA186" s="89"/>
      <c r="JYC186" s="91"/>
      <c r="JYF186" s="89"/>
      <c r="JYH186" s="91"/>
      <c r="JYK186" s="89"/>
      <c r="JYM186" s="91"/>
      <c r="JYP186" s="89"/>
      <c r="JYR186" s="91"/>
      <c r="JYU186" s="89"/>
      <c r="JYW186" s="91"/>
      <c r="JYZ186" s="89"/>
      <c r="JZB186" s="91"/>
      <c r="JZE186" s="89"/>
      <c r="JZG186" s="91"/>
      <c r="JZJ186" s="89"/>
      <c r="JZL186" s="91"/>
      <c r="JZO186" s="89"/>
      <c r="JZQ186" s="91"/>
      <c r="JZT186" s="89"/>
      <c r="JZV186" s="91"/>
      <c r="JZY186" s="89"/>
      <c r="KAA186" s="91"/>
      <c r="KAD186" s="89"/>
      <c r="KAF186" s="91"/>
      <c r="KAI186" s="89"/>
      <c r="KAK186" s="91"/>
      <c r="KAN186" s="89"/>
      <c r="KAP186" s="91"/>
      <c r="KAS186" s="89"/>
      <c r="KAU186" s="91"/>
      <c r="KAX186" s="89"/>
      <c r="KAZ186" s="91"/>
      <c r="KBC186" s="89"/>
      <c r="KBE186" s="91"/>
      <c r="KBH186" s="89"/>
      <c r="KBJ186" s="91"/>
      <c r="KBM186" s="89"/>
      <c r="KBO186" s="91"/>
      <c r="KBR186" s="89"/>
      <c r="KBT186" s="91"/>
      <c r="KBW186" s="89"/>
      <c r="KBY186" s="91"/>
      <c r="KCB186" s="89"/>
      <c r="KCD186" s="91"/>
      <c r="KCG186" s="89"/>
      <c r="KCI186" s="91"/>
      <c r="KCL186" s="89"/>
      <c r="KCN186" s="91"/>
      <c r="KCQ186" s="89"/>
      <c r="KCS186" s="91"/>
      <c r="KCV186" s="89"/>
      <c r="KCX186" s="91"/>
      <c r="KDA186" s="89"/>
      <c r="KDC186" s="91"/>
      <c r="KDF186" s="89"/>
      <c r="KDH186" s="91"/>
      <c r="KDK186" s="89"/>
      <c r="KDM186" s="91"/>
      <c r="KDP186" s="89"/>
      <c r="KDR186" s="91"/>
      <c r="KDU186" s="89"/>
      <c r="KDW186" s="91"/>
      <c r="KDZ186" s="89"/>
      <c r="KEB186" s="91"/>
      <c r="KEE186" s="89"/>
      <c r="KEG186" s="91"/>
      <c r="KEJ186" s="89"/>
      <c r="KEL186" s="91"/>
      <c r="KEO186" s="89"/>
      <c r="KEQ186" s="91"/>
      <c r="KET186" s="89"/>
      <c r="KEV186" s="91"/>
      <c r="KEY186" s="89"/>
      <c r="KFA186" s="91"/>
      <c r="KFD186" s="89"/>
      <c r="KFF186" s="91"/>
      <c r="KFI186" s="89"/>
      <c r="KFK186" s="91"/>
      <c r="KFN186" s="89"/>
      <c r="KFP186" s="91"/>
      <c r="KFS186" s="89"/>
      <c r="KFU186" s="91"/>
      <c r="KFX186" s="89"/>
      <c r="KFZ186" s="91"/>
      <c r="KGC186" s="89"/>
      <c r="KGE186" s="91"/>
      <c r="KGH186" s="89"/>
      <c r="KGJ186" s="91"/>
      <c r="KGM186" s="89"/>
      <c r="KGO186" s="91"/>
      <c r="KGR186" s="89"/>
      <c r="KGT186" s="91"/>
      <c r="KGW186" s="89"/>
      <c r="KGY186" s="91"/>
      <c r="KHB186" s="89"/>
      <c r="KHD186" s="91"/>
      <c r="KHG186" s="89"/>
      <c r="KHI186" s="91"/>
      <c r="KHL186" s="89"/>
      <c r="KHN186" s="91"/>
      <c r="KHQ186" s="89"/>
      <c r="KHS186" s="91"/>
      <c r="KHV186" s="89"/>
      <c r="KHX186" s="91"/>
      <c r="KIA186" s="89"/>
      <c r="KIC186" s="91"/>
      <c r="KIF186" s="89"/>
      <c r="KIH186" s="91"/>
      <c r="KIK186" s="89"/>
      <c r="KIM186" s="91"/>
      <c r="KIP186" s="89"/>
      <c r="KIR186" s="91"/>
      <c r="KIU186" s="89"/>
      <c r="KIW186" s="91"/>
      <c r="KIZ186" s="89"/>
      <c r="KJB186" s="91"/>
      <c r="KJE186" s="89"/>
      <c r="KJG186" s="91"/>
      <c r="KJJ186" s="89"/>
      <c r="KJL186" s="91"/>
      <c r="KJO186" s="89"/>
      <c r="KJQ186" s="91"/>
      <c r="KJT186" s="89"/>
      <c r="KJV186" s="91"/>
      <c r="KJY186" s="89"/>
      <c r="KKA186" s="91"/>
      <c r="KKD186" s="89"/>
      <c r="KKF186" s="91"/>
      <c r="KKI186" s="89"/>
      <c r="KKK186" s="91"/>
      <c r="KKN186" s="89"/>
      <c r="KKP186" s="91"/>
      <c r="KKS186" s="89"/>
      <c r="KKU186" s="91"/>
      <c r="KKX186" s="89"/>
      <c r="KKZ186" s="91"/>
      <c r="KLC186" s="89"/>
      <c r="KLE186" s="91"/>
      <c r="KLH186" s="89"/>
      <c r="KLJ186" s="91"/>
      <c r="KLM186" s="89"/>
      <c r="KLO186" s="91"/>
      <c r="KLR186" s="89"/>
      <c r="KLT186" s="91"/>
      <c r="KLW186" s="89"/>
      <c r="KLY186" s="91"/>
      <c r="KMB186" s="89"/>
      <c r="KMD186" s="91"/>
      <c r="KMG186" s="89"/>
      <c r="KMI186" s="91"/>
      <c r="KML186" s="89"/>
      <c r="KMN186" s="91"/>
      <c r="KMQ186" s="89"/>
      <c r="KMS186" s="91"/>
      <c r="KMV186" s="89"/>
      <c r="KMX186" s="91"/>
      <c r="KNA186" s="89"/>
      <c r="KNC186" s="91"/>
      <c r="KNF186" s="89"/>
      <c r="KNH186" s="91"/>
      <c r="KNK186" s="89"/>
      <c r="KNM186" s="91"/>
      <c r="KNP186" s="89"/>
      <c r="KNR186" s="91"/>
      <c r="KNU186" s="89"/>
      <c r="KNW186" s="91"/>
      <c r="KNZ186" s="89"/>
      <c r="KOB186" s="91"/>
      <c r="KOE186" s="89"/>
      <c r="KOG186" s="91"/>
      <c r="KOJ186" s="89"/>
      <c r="KOL186" s="91"/>
      <c r="KOO186" s="89"/>
      <c r="KOQ186" s="91"/>
      <c r="KOT186" s="89"/>
      <c r="KOV186" s="91"/>
      <c r="KOY186" s="89"/>
      <c r="KPA186" s="91"/>
      <c r="KPD186" s="89"/>
      <c r="KPF186" s="91"/>
      <c r="KPI186" s="89"/>
      <c r="KPK186" s="91"/>
      <c r="KPN186" s="89"/>
      <c r="KPP186" s="91"/>
      <c r="KPS186" s="89"/>
      <c r="KPU186" s="91"/>
      <c r="KPX186" s="89"/>
      <c r="KPZ186" s="91"/>
      <c r="KQC186" s="89"/>
      <c r="KQE186" s="91"/>
      <c r="KQH186" s="89"/>
      <c r="KQJ186" s="91"/>
      <c r="KQM186" s="89"/>
      <c r="KQO186" s="91"/>
      <c r="KQR186" s="89"/>
      <c r="KQT186" s="91"/>
      <c r="KQW186" s="89"/>
      <c r="KQY186" s="91"/>
      <c r="KRB186" s="89"/>
      <c r="KRD186" s="91"/>
      <c r="KRG186" s="89"/>
      <c r="KRI186" s="91"/>
      <c r="KRL186" s="89"/>
      <c r="KRN186" s="91"/>
      <c r="KRQ186" s="89"/>
      <c r="KRS186" s="91"/>
      <c r="KRV186" s="89"/>
      <c r="KRX186" s="91"/>
      <c r="KSA186" s="89"/>
      <c r="KSC186" s="91"/>
      <c r="KSF186" s="89"/>
      <c r="KSH186" s="91"/>
      <c r="KSK186" s="89"/>
      <c r="KSM186" s="91"/>
      <c r="KSP186" s="89"/>
      <c r="KSR186" s="91"/>
      <c r="KSU186" s="89"/>
      <c r="KSW186" s="91"/>
      <c r="KSZ186" s="89"/>
      <c r="KTB186" s="91"/>
      <c r="KTE186" s="89"/>
      <c r="KTG186" s="91"/>
      <c r="KTJ186" s="89"/>
      <c r="KTL186" s="91"/>
      <c r="KTO186" s="89"/>
      <c r="KTQ186" s="91"/>
      <c r="KTT186" s="89"/>
      <c r="KTV186" s="91"/>
      <c r="KTY186" s="89"/>
      <c r="KUA186" s="91"/>
      <c r="KUD186" s="89"/>
      <c r="KUF186" s="91"/>
      <c r="KUI186" s="89"/>
      <c r="KUK186" s="91"/>
      <c r="KUN186" s="89"/>
      <c r="KUP186" s="91"/>
      <c r="KUS186" s="89"/>
      <c r="KUU186" s="91"/>
      <c r="KUX186" s="89"/>
      <c r="KUZ186" s="91"/>
      <c r="KVC186" s="89"/>
      <c r="KVE186" s="91"/>
      <c r="KVH186" s="89"/>
      <c r="KVJ186" s="91"/>
      <c r="KVM186" s="89"/>
      <c r="KVO186" s="91"/>
      <c r="KVR186" s="89"/>
      <c r="KVT186" s="91"/>
      <c r="KVW186" s="89"/>
      <c r="KVY186" s="91"/>
      <c r="KWB186" s="89"/>
      <c r="KWD186" s="91"/>
      <c r="KWG186" s="89"/>
      <c r="KWI186" s="91"/>
      <c r="KWL186" s="89"/>
      <c r="KWN186" s="91"/>
      <c r="KWQ186" s="89"/>
      <c r="KWS186" s="91"/>
      <c r="KWV186" s="89"/>
      <c r="KWX186" s="91"/>
      <c r="KXA186" s="89"/>
      <c r="KXC186" s="91"/>
      <c r="KXF186" s="89"/>
      <c r="KXH186" s="91"/>
      <c r="KXK186" s="89"/>
      <c r="KXM186" s="91"/>
      <c r="KXP186" s="89"/>
      <c r="KXR186" s="91"/>
      <c r="KXU186" s="89"/>
      <c r="KXW186" s="91"/>
      <c r="KXZ186" s="89"/>
      <c r="KYB186" s="91"/>
      <c r="KYE186" s="89"/>
      <c r="KYG186" s="91"/>
      <c r="KYJ186" s="89"/>
      <c r="KYL186" s="91"/>
      <c r="KYO186" s="89"/>
      <c r="KYQ186" s="91"/>
      <c r="KYT186" s="89"/>
      <c r="KYV186" s="91"/>
      <c r="KYY186" s="89"/>
      <c r="KZA186" s="91"/>
      <c r="KZD186" s="89"/>
      <c r="KZF186" s="91"/>
      <c r="KZI186" s="89"/>
      <c r="KZK186" s="91"/>
      <c r="KZN186" s="89"/>
      <c r="KZP186" s="91"/>
      <c r="KZS186" s="89"/>
      <c r="KZU186" s="91"/>
      <c r="KZX186" s="89"/>
      <c r="KZZ186" s="91"/>
      <c r="LAC186" s="89"/>
      <c r="LAE186" s="91"/>
      <c r="LAH186" s="89"/>
      <c r="LAJ186" s="91"/>
      <c r="LAM186" s="89"/>
      <c r="LAO186" s="91"/>
      <c r="LAR186" s="89"/>
      <c r="LAT186" s="91"/>
      <c r="LAW186" s="89"/>
      <c r="LAY186" s="91"/>
      <c r="LBB186" s="89"/>
      <c r="LBD186" s="91"/>
      <c r="LBG186" s="89"/>
      <c r="LBI186" s="91"/>
      <c r="LBL186" s="89"/>
      <c r="LBN186" s="91"/>
      <c r="LBQ186" s="89"/>
      <c r="LBS186" s="91"/>
      <c r="LBV186" s="89"/>
      <c r="LBX186" s="91"/>
      <c r="LCA186" s="89"/>
      <c r="LCC186" s="91"/>
      <c r="LCF186" s="89"/>
      <c r="LCH186" s="91"/>
      <c r="LCK186" s="89"/>
      <c r="LCM186" s="91"/>
      <c r="LCP186" s="89"/>
      <c r="LCR186" s="91"/>
      <c r="LCU186" s="89"/>
      <c r="LCW186" s="91"/>
      <c r="LCZ186" s="89"/>
      <c r="LDB186" s="91"/>
      <c r="LDE186" s="89"/>
      <c r="LDG186" s="91"/>
      <c r="LDJ186" s="89"/>
      <c r="LDL186" s="91"/>
      <c r="LDO186" s="89"/>
      <c r="LDQ186" s="91"/>
      <c r="LDT186" s="89"/>
      <c r="LDV186" s="91"/>
      <c r="LDY186" s="89"/>
      <c r="LEA186" s="91"/>
      <c r="LED186" s="89"/>
      <c r="LEF186" s="91"/>
      <c r="LEI186" s="89"/>
      <c r="LEK186" s="91"/>
      <c r="LEN186" s="89"/>
      <c r="LEP186" s="91"/>
      <c r="LES186" s="89"/>
      <c r="LEU186" s="91"/>
      <c r="LEX186" s="89"/>
      <c r="LEZ186" s="91"/>
      <c r="LFC186" s="89"/>
      <c r="LFE186" s="91"/>
      <c r="LFH186" s="89"/>
      <c r="LFJ186" s="91"/>
      <c r="LFM186" s="89"/>
      <c r="LFO186" s="91"/>
      <c r="LFR186" s="89"/>
      <c r="LFT186" s="91"/>
      <c r="LFW186" s="89"/>
      <c r="LFY186" s="91"/>
      <c r="LGB186" s="89"/>
      <c r="LGD186" s="91"/>
      <c r="LGG186" s="89"/>
      <c r="LGI186" s="91"/>
      <c r="LGL186" s="89"/>
      <c r="LGN186" s="91"/>
      <c r="LGQ186" s="89"/>
      <c r="LGS186" s="91"/>
      <c r="LGV186" s="89"/>
      <c r="LGX186" s="91"/>
      <c r="LHA186" s="89"/>
      <c r="LHC186" s="91"/>
      <c r="LHF186" s="89"/>
      <c r="LHH186" s="91"/>
      <c r="LHK186" s="89"/>
      <c r="LHM186" s="91"/>
      <c r="LHP186" s="89"/>
      <c r="LHR186" s="91"/>
      <c r="LHU186" s="89"/>
      <c r="LHW186" s="91"/>
      <c r="LHZ186" s="89"/>
      <c r="LIB186" s="91"/>
      <c r="LIE186" s="89"/>
      <c r="LIG186" s="91"/>
      <c r="LIJ186" s="89"/>
      <c r="LIL186" s="91"/>
      <c r="LIO186" s="89"/>
      <c r="LIQ186" s="91"/>
      <c r="LIT186" s="89"/>
      <c r="LIV186" s="91"/>
      <c r="LIY186" s="89"/>
      <c r="LJA186" s="91"/>
      <c r="LJD186" s="89"/>
      <c r="LJF186" s="91"/>
      <c r="LJI186" s="89"/>
      <c r="LJK186" s="91"/>
      <c r="LJN186" s="89"/>
      <c r="LJP186" s="91"/>
      <c r="LJS186" s="89"/>
      <c r="LJU186" s="91"/>
      <c r="LJX186" s="89"/>
      <c r="LJZ186" s="91"/>
      <c r="LKC186" s="89"/>
      <c r="LKE186" s="91"/>
      <c r="LKH186" s="89"/>
      <c r="LKJ186" s="91"/>
      <c r="LKM186" s="89"/>
      <c r="LKO186" s="91"/>
      <c r="LKR186" s="89"/>
      <c r="LKT186" s="91"/>
      <c r="LKW186" s="89"/>
      <c r="LKY186" s="91"/>
      <c r="LLB186" s="89"/>
      <c r="LLD186" s="91"/>
      <c r="LLG186" s="89"/>
      <c r="LLI186" s="91"/>
      <c r="LLL186" s="89"/>
      <c r="LLN186" s="91"/>
      <c r="LLQ186" s="89"/>
      <c r="LLS186" s="91"/>
      <c r="LLV186" s="89"/>
      <c r="LLX186" s="91"/>
      <c r="LMA186" s="89"/>
      <c r="LMC186" s="91"/>
      <c r="LMF186" s="89"/>
      <c r="LMH186" s="91"/>
      <c r="LMK186" s="89"/>
      <c r="LMM186" s="91"/>
      <c r="LMP186" s="89"/>
      <c r="LMR186" s="91"/>
      <c r="LMU186" s="89"/>
      <c r="LMW186" s="91"/>
      <c r="LMZ186" s="89"/>
      <c r="LNB186" s="91"/>
      <c r="LNE186" s="89"/>
      <c r="LNG186" s="91"/>
      <c r="LNJ186" s="89"/>
      <c r="LNL186" s="91"/>
      <c r="LNO186" s="89"/>
      <c r="LNQ186" s="91"/>
      <c r="LNT186" s="89"/>
      <c r="LNV186" s="91"/>
      <c r="LNY186" s="89"/>
      <c r="LOA186" s="91"/>
      <c r="LOD186" s="89"/>
      <c r="LOF186" s="91"/>
      <c r="LOI186" s="89"/>
      <c r="LOK186" s="91"/>
      <c r="LON186" s="89"/>
      <c r="LOP186" s="91"/>
      <c r="LOS186" s="89"/>
      <c r="LOU186" s="91"/>
      <c r="LOX186" s="89"/>
      <c r="LOZ186" s="91"/>
      <c r="LPC186" s="89"/>
      <c r="LPE186" s="91"/>
      <c r="LPH186" s="89"/>
      <c r="LPJ186" s="91"/>
      <c r="LPM186" s="89"/>
      <c r="LPO186" s="91"/>
      <c r="LPR186" s="89"/>
      <c r="LPT186" s="91"/>
      <c r="LPW186" s="89"/>
      <c r="LPY186" s="91"/>
      <c r="LQB186" s="89"/>
      <c r="LQD186" s="91"/>
      <c r="LQG186" s="89"/>
      <c r="LQI186" s="91"/>
      <c r="LQL186" s="89"/>
      <c r="LQN186" s="91"/>
      <c r="LQQ186" s="89"/>
      <c r="LQS186" s="91"/>
      <c r="LQV186" s="89"/>
      <c r="LQX186" s="91"/>
      <c r="LRA186" s="89"/>
      <c r="LRC186" s="91"/>
      <c r="LRF186" s="89"/>
      <c r="LRH186" s="91"/>
      <c r="LRK186" s="89"/>
      <c r="LRM186" s="91"/>
      <c r="LRP186" s="89"/>
      <c r="LRR186" s="91"/>
      <c r="LRU186" s="89"/>
      <c r="LRW186" s="91"/>
      <c r="LRZ186" s="89"/>
      <c r="LSB186" s="91"/>
      <c r="LSE186" s="89"/>
      <c r="LSG186" s="91"/>
      <c r="LSJ186" s="89"/>
      <c r="LSL186" s="91"/>
      <c r="LSO186" s="89"/>
      <c r="LSQ186" s="91"/>
      <c r="LST186" s="89"/>
      <c r="LSV186" s="91"/>
      <c r="LSY186" s="89"/>
      <c r="LTA186" s="91"/>
      <c r="LTD186" s="89"/>
      <c r="LTF186" s="91"/>
      <c r="LTI186" s="89"/>
      <c r="LTK186" s="91"/>
      <c r="LTN186" s="89"/>
      <c r="LTP186" s="91"/>
      <c r="LTS186" s="89"/>
      <c r="LTU186" s="91"/>
      <c r="LTX186" s="89"/>
      <c r="LTZ186" s="91"/>
      <c r="LUC186" s="89"/>
      <c r="LUE186" s="91"/>
      <c r="LUH186" s="89"/>
      <c r="LUJ186" s="91"/>
      <c r="LUM186" s="89"/>
      <c r="LUO186" s="91"/>
      <c r="LUR186" s="89"/>
      <c r="LUT186" s="91"/>
      <c r="LUW186" s="89"/>
      <c r="LUY186" s="91"/>
      <c r="LVB186" s="89"/>
      <c r="LVD186" s="91"/>
      <c r="LVG186" s="89"/>
      <c r="LVI186" s="91"/>
      <c r="LVL186" s="89"/>
      <c r="LVN186" s="91"/>
      <c r="LVQ186" s="89"/>
      <c r="LVS186" s="91"/>
      <c r="LVV186" s="89"/>
      <c r="LVX186" s="91"/>
      <c r="LWA186" s="89"/>
      <c r="LWC186" s="91"/>
      <c r="LWF186" s="89"/>
      <c r="LWH186" s="91"/>
      <c r="LWK186" s="89"/>
      <c r="LWM186" s="91"/>
      <c r="LWP186" s="89"/>
      <c r="LWR186" s="91"/>
      <c r="LWU186" s="89"/>
      <c r="LWW186" s="91"/>
      <c r="LWZ186" s="89"/>
      <c r="LXB186" s="91"/>
      <c r="LXE186" s="89"/>
      <c r="LXG186" s="91"/>
      <c r="LXJ186" s="89"/>
      <c r="LXL186" s="91"/>
      <c r="LXO186" s="89"/>
      <c r="LXQ186" s="91"/>
      <c r="LXT186" s="89"/>
      <c r="LXV186" s="91"/>
      <c r="LXY186" s="89"/>
      <c r="LYA186" s="91"/>
      <c r="LYD186" s="89"/>
      <c r="LYF186" s="91"/>
      <c r="LYI186" s="89"/>
      <c r="LYK186" s="91"/>
      <c r="LYN186" s="89"/>
      <c r="LYP186" s="91"/>
      <c r="LYS186" s="89"/>
      <c r="LYU186" s="91"/>
      <c r="LYX186" s="89"/>
      <c r="LYZ186" s="91"/>
      <c r="LZC186" s="89"/>
      <c r="LZE186" s="91"/>
      <c r="LZH186" s="89"/>
      <c r="LZJ186" s="91"/>
      <c r="LZM186" s="89"/>
      <c r="LZO186" s="91"/>
      <c r="LZR186" s="89"/>
      <c r="LZT186" s="91"/>
      <c r="LZW186" s="89"/>
      <c r="LZY186" s="91"/>
      <c r="MAB186" s="89"/>
      <c r="MAD186" s="91"/>
      <c r="MAG186" s="89"/>
      <c r="MAI186" s="91"/>
      <c r="MAL186" s="89"/>
      <c r="MAN186" s="91"/>
      <c r="MAQ186" s="89"/>
      <c r="MAS186" s="91"/>
      <c r="MAV186" s="89"/>
      <c r="MAX186" s="91"/>
      <c r="MBA186" s="89"/>
      <c r="MBC186" s="91"/>
      <c r="MBF186" s="89"/>
      <c r="MBH186" s="91"/>
      <c r="MBK186" s="89"/>
      <c r="MBM186" s="91"/>
      <c r="MBP186" s="89"/>
      <c r="MBR186" s="91"/>
      <c r="MBU186" s="89"/>
      <c r="MBW186" s="91"/>
      <c r="MBZ186" s="89"/>
      <c r="MCB186" s="91"/>
      <c r="MCE186" s="89"/>
      <c r="MCG186" s="91"/>
      <c r="MCJ186" s="89"/>
      <c r="MCL186" s="91"/>
      <c r="MCO186" s="89"/>
      <c r="MCQ186" s="91"/>
      <c r="MCT186" s="89"/>
      <c r="MCV186" s="91"/>
      <c r="MCY186" s="89"/>
      <c r="MDA186" s="91"/>
      <c r="MDD186" s="89"/>
      <c r="MDF186" s="91"/>
      <c r="MDI186" s="89"/>
      <c r="MDK186" s="91"/>
      <c r="MDN186" s="89"/>
      <c r="MDP186" s="91"/>
      <c r="MDS186" s="89"/>
      <c r="MDU186" s="91"/>
      <c r="MDX186" s="89"/>
      <c r="MDZ186" s="91"/>
      <c r="MEC186" s="89"/>
      <c r="MEE186" s="91"/>
      <c r="MEH186" s="89"/>
      <c r="MEJ186" s="91"/>
      <c r="MEM186" s="89"/>
      <c r="MEO186" s="91"/>
      <c r="MER186" s="89"/>
      <c r="MET186" s="91"/>
      <c r="MEW186" s="89"/>
      <c r="MEY186" s="91"/>
      <c r="MFB186" s="89"/>
      <c r="MFD186" s="91"/>
      <c r="MFG186" s="89"/>
      <c r="MFI186" s="91"/>
      <c r="MFL186" s="89"/>
      <c r="MFN186" s="91"/>
      <c r="MFQ186" s="89"/>
      <c r="MFS186" s="91"/>
      <c r="MFV186" s="89"/>
      <c r="MFX186" s="91"/>
      <c r="MGA186" s="89"/>
      <c r="MGC186" s="91"/>
      <c r="MGF186" s="89"/>
      <c r="MGH186" s="91"/>
      <c r="MGK186" s="89"/>
      <c r="MGM186" s="91"/>
      <c r="MGP186" s="89"/>
      <c r="MGR186" s="91"/>
      <c r="MGU186" s="89"/>
      <c r="MGW186" s="91"/>
      <c r="MGZ186" s="89"/>
      <c r="MHB186" s="91"/>
      <c r="MHE186" s="89"/>
      <c r="MHG186" s="91"/>
      <c r="MHJ186" s="89"/>
      <c r="MHL186" s="91"/>
      <c r="MHO186" s="89"/>
      <c r="MHQ186" s="91"/>
      <c r="MHT186" s="89"/>
      <c r="MHV186" s="91"/>
      <c r="MHY186" s="89"/>
      <c r="MIA186" s="91"/>
      <c r="MID186" s="89"/>
      <c r="MIF186" s="91"/>
      <c r="MII186" s="89"/>
      <c r="MIK186" s="91"/>
      <c r="MIN186" s="89"/>
      <c r="MIP186" s="91"/>
      <c r="MIS186" s="89"/>
      <c r="MIU186" s="91"/>
      <c r="MIX186" s="89"/>
      <c r="MIZ186" s="91"/>
      <c r="MJC186" s="89"/>
      <c r="MJE186" s="91"/>
      <c r="MJH186" s="89"/>
      <c r="MJJ186" s="91"/>
      <c r="MJM186" s="89"/>
      <c r="MJO186" s="91"/>
      <c r="MJR186" s="89"/>
      <c r="MJT186" s="91"/>
      <c r="MJW186" s="89"/>
      <c r="MJY186" s="91"/>
      <c r="MKB186" s="89"/>
      <c r="MKD186" s="91"/>
      <c r="MKG186" s="89"/>
      <c r="MKI186" s="91"/>
      <c r="MKL186" s="89"/>
      <c r="MKN186" s="91"/>
      <c r="MKQ186" s="89"/>
      <c r="MKS186" s="91"/>
      <c r="MKV186" s="89"/>
      <c r="MKX186" s="91"/>
      <c r="MLA186" s="89"/>
      <c r="MLC186" s="91"/>
      <c r="MLF186" s="89"/>
      <c r="MLH186" s="91"/>
      <c r="MLK186" s="89"/>
      <c r="MLM186" s="91"/>
      <c r="MLP186" s="89"/>
      <c r="MLR186" s="91"/>
      <c r="MLU186" s="89"/>
      <c r="MLW186" s="91"/>
      <c r="MLZ186" s="89"/>
      <c r="MMB186" s="91"/>
      <c r="MME186" s="89"/>
      <c r="MMG186" s="91"/>
      <c r="MMJ186" s="89"/>
      <c r="MML186" s="91"/>
      <c r="MMO186" s="89"/>
      <c r="MMQ186" s="91"/>
      <c r="MMT186" s="89"/>
      <c r="MMV186" s="91"/>
      <c r="MMY186" s="89"/>
      <c r="MNA186" s="91"/>
      <c r="MND186" s="89"/>
      <c r="MNF186" s="91"/>
      <c r="MNI186" s="89"/>
      <c r="MNK186" s="91"/>
      <c r="MNN186" s="89"/>
      <c r="MNP186" s="91"/>
      <c r="MNS186" s="89"/>
      <c r="MNU186" s="91"/>
      <c r="MNX186" s="89"/>
      <c r="MNZ186" s="91"/>
      <c r="MOC186" s="89"/>
      <c r="MOE186" s="91"/>
      <c r="MOH186" s="89"/>
      <c r="MOJ186" s="91"/>
      <c r="MOM186" s="89"/>
      <c r="MOO186" s="91"/>
      <c r="MOR186" s="89"/>
      <c r="MOT186" s="91"/>
      <c r="MOW186" s="89"/>
      <c r="MOY186" s="91"/>
      <c r="MPB186" s="89"/>
      <c r="MPD186" s="91"/>
      <c r="MPG186" s="89"/>
      <c r="MPI186" s="91"/>
      <c r="MPL186" s="89"/>
      <c r="MPN186" s="91"/>
      <c r="MPQ186" s="89"/>
      <c r="MPS186" s="91"/>
      <c r="MPV186" s="89"/>
      <c r="MPX186" s="91"/>
      <c r="MQA186" s="89"/>
      <c r="MQC186" s="91"/>
      <c r="MQF186" s="89"/>
      <c r="MQH186" s="91"/>
      <c r="MQK186" s="89"/>
      <c r="MQM186" s="91"/>
      <c r="MQP186" s="89"/>
      <c r="MQR186" s="91"/>
      <c r="MQU186" s="89"/>
      <c r="MQW186" s="91"/>
      <c r="MQZ186" s="89"/>
      <c r="MRB186" s="91"/>
      <c r="MRE186" s="89"/>
      <c r="MRG186" s="91"/>
      <c r="MRJ186" s="89"/>
      <c r="MRL186" s="91"/>
      <c r="MRO186" s="89"/>
      <c r="MRQ186" s="91"/>
      <c r="MRT186" s="89"/>
      <c r="MRV186" s="91"/>
      <c r="MRY186" s="89"/>
      <c r="MSA186" s="91"/>
      <c r="MSD186" s="89"/>
      <c r="MSF186" s="91"/>
      <c r="MSI186" s="89"/>
      <c r="MSK186" s="91"/>
      <c r="MSN186" s="89"/>
      <c r="MSP186" s="91"/>
      <c r="MSS186" s="89"/>
      <c r="MSU186" s="91"/>
      <c r="MSX186" s="89"/>
      <c r="MSZ186" s="91"/>
      <c r="MTC186" s="89"/>
      <c r="MTE186" s="91"/>
      <c r="MTH186" s="89"/>
      <c r="MTJ186" s="91"/>
      <c r="MTM186" s="89"/>
      <c r="MTO186" s="91"/>
      <c r="MTR186" s="89"/>
      <c r="MTT186" s="91"/>
      <c r="MTW186" s="89"/>
      <c r="MTY186" s="91"/>
      <c r="MUB186" s="89"/>
      <c r="MUD186" s="91"/>
      <c r="MUG186" s="89"/>
      <c r="MUI186" s="91"/>
      <c r="MUL186" s="89"/>
      <c r="MUN186" s="91"/>
      <c r="MUQ186" s="89"/>
      <c r="MUS186" s="91"/>
      <c r="MUV186" s="89"/>
      <c r="MUX186" s="91"/>
      <c r="MVA186" s="89"/>
      <c r="MVC186" s="91"/>
      <c r="MVF186" s="89"/>
      <c r="MVH186" s="91"/>
      <c r="MVK186" s="89"/>
      <c r="MVM186" s="91"/>
      <c r="MVP186" s="89"/>
      <c r="MVR186" s="91"/>
      <c r="MVU186" s="89"/>
      <c r="MVW186" s="91"/>
      <c r="MVZ186" s="89"/>
      <c r="MWB186" s="91"/>
      <c r="MWE186" s="89"/>
      <c r="MWG186" s="91"/>
      <c r="MWJ186" s="89"/>
      <c r="MWL186" s="91"/>
      <c r="MWO186" s="89"/>
      <c r="MWQ186" s="91"/>
      <c r="MWT186" s="89"/>
      <c r="MWV186" s="91"/>
      <c r="MWY186" s="89"/>
      <c r="MXA186" s="91"/>
      <c r="MXD186" s="89"/>
      <c r="MXF186" s="91"/>
      <c r="MXI186" s="89"/>
      <c r="MXK186" s="91"/>
      <c r="MXN186" s="89"/>
      <c r="MXP186" s="91"/>
      <c r="MXS186" s="89"/>
      <c r="MXU186" s="91"/>
      <c r="MXX186" s="89"/>
      <c r="MXZ186" s="91"/>
      <c r="MYC186" s="89"/>
      <c r="MYE186" s="91"/>
      <c r="MYH186" s="89"/>
      <c r="MYJ186" s="91"/>
      <c r="MYM186" s="89"/>
      <c r="MYO186" s="91"/>
      <c r="MYR186" s="89"/>
      <c r="MYT186" s="91"/>
      <c r="MYW186" s="89"/>
      <c r="MYY186" s="91"/>
      <c r="MZB186" s="89"/>
      <c r="MZD186" s="91"/>
      <c r="MZG186" s="89"/>
      <c r="MZI186" s="91"/>
      <c r="MZL186" s="89"/>
      <c r="MZN186" s="91"/>
      <c r="MZQ186" s="89"/>
      <c r="MZS186" s="91"/>
      <c r="MZV186" s="89"/>
      <c r="MZX186" s="91"/>
      <c r="NAA186" s="89"/>
      <c r="NAC186" s="91"/>
      <c r="NAF186" s="89"/>
      <c r="NAH186" s="91"/>
      <c r="NAK186" s="89"/>
      <c r="NAM186" s="91"/>
      <c r="NAP186" s="89"/>
      <c r="NAR186" s="91"/>
      <c r="NAU186" s="89"/>
      <c r="NAW186" s="91"/>
      <c r="NAZ186" s="89"/>
      <c r="NBB186" s="91"/>
      <c r="NBE186" s="89"/>
      <c r="NBG186" s="91"/>
      <c r="NBJ186" s="89"/>
      <c r="NBL186" s="91"/>
      <c r="NBO186" s="89"/>
      <c r="NBQ186" s="91"/>
      <c r="NBT186" s="89"/>
      <c r="NBV186" s="91"/>
      <c r="NBY186" s="89"/>
      <c r="NCA186" s="91"/>
      <c r="NCD186" s="89"/>
      <c r="NCF186" s="91"/>
      <c r="NCI186" s="89"/>
      <c r="NCK186" s="91"/>
      <c r="NCN186" s="89"/>
      <c r="NCP186" s="91"/>
      <c r="NCS186" s="89"/>
      <c r="NCU186" s="91"/>
      <c r="NCX186" s="89"/>
      <c r="NCZ186" s="91"/>
      <c r="NDC186" s="89"/>
      <c r="NDE186" s="91"/>
      <c r="NDH186" s="89"/>
      <c r="NDJ186" s="91"/>
      <c r="NDM186" s="89"/>
      <c r="NDO186" s="91"/>
      <c r="NDR186" s="89"/>
      <c r="NDT186" s="91"/>
      <c r="NDW186" s="89"/>
      <c r="NDY186" s="91"/>
      <c r="NEB186" s="89"/>
      <c r="NED186" s="91"/>
      <c r="NEG186" s="89"/>
      <c r="NEI186" s="91"/>
      <c r="NEL186" s="89"/>
      <c r="NEN186" s="91"/>
      <c r="NEQ186" s="89"/>
      <c r="NES186" s="91"/>
      <c r="NEV186" s="89"/>
      <c r="NEX186" s="91"/>
      <c r="NFA186" s="89"/>
      <c r="NFC186" s="91"/>
      <c r="NFF186" s="89"/>
      <c r="NFH186" s="91"/>
      <c r="NFK186" s="89"/>
      <c r="NFM186" s="91"/>
      <c r="NFP186" s="89"/>
      <c r="NFR186" s="91"/>
      <c r="NFU186" s="89"/>
      <c r="NFW186" s="91"/>
      <c r="NFZ186" s="89"/>
      <c r="NGB186" s="91"/>
      <c r="NGE186" s="89"/>
      <c r="NGG186" s="91"/>
      <c r="NGJ186" s="89"/>
      <c r="NGL186" s="91"/>
      <c r="NGO186" s="89"/>
      <c r="NGQ186" s="91"/>
      <c r="NGT186" s="89"/>
      <c r="NGV186" s="91"/>
      <c r="NGY186" s="89"/>
      <c r="NHA186" s="91"/>
      <c r="NHD186" s="89"/>
      <c r="NHF186" s="91"/>
      <c r="NHI186" s="89"/>
      <c r="NHK186" s="91"/>
      <c r="NHN186" s="89"/>
      <c r="NHP186" s="91"/>
      <c r="NHS186" s="89"/>
      <c r="NHU186" s="91"/>
      <c r="NHX186" s="89"/>
      <c r="NHZ186" s="91"/>
      <c r="NIC186" s="89"/>
      <c r="NIE186" s="91"/>
      <c r="NIH186" s="89"/>
      <c r="NIJ186" s="91"/>
      <c r="NIM186" s="89"/>
      <c r="NIO186" s="91"/>
      <c r="NIR186" s="89"/>
      <c r="NIT186" s="91"/>
      <c r="NIW186" s="89"/>
      <c r="NIY186" s="91"/>
      <c r="NJB186" s="89"/>
      <c r="NJD186" s="91"/>
      <c r="NJG186" s="89"/>
      <c r="NJI186" s="91"/>
      <c r="NJL186" s="89"/>
      <c r="NJN186" s="91"/>
      <c r="NJQ186" s="89"/>
      <c r="NJS186" s="91"/>
      <c r="NJV186" s="89"/>
      <c r="NJX186" s="91"/>
      <c r="NKA186" s="89"/>
      <c r="NKC186" s="91"/>
      <c r="NKF186" s="89"/>
      <c r="NKH186" s="91"/>
      <c r="NKK186" s="89"/>
      <c r="NKM186" s="91"/>
      <c r="NKP186" s="89"/>
      <c r="NKR186" s="91"/>
      <c r="NKU186" s="89"/>
      <c r="NKW186" s="91"/>
      <c r="NKZ186" s="89"/>
      <c r="NLB186" s="91"/>
      <c r="NLE186" s="89"/>
      <c r="NLG186" s="91"/>
      <c r="NLJ186" s="89"/>
      <c r="NLL186" s="91"/>
      <c r="NLO186" s="89"/>
      <c r="NLQ186" s="91"/>
      <c r="NLT186" s="89"/>
      <c r="NLV186" s="91"/>
      <c r="NLY186" s="89"/>
      <c r="NMA186" s="91"/>
      <c r="NMD186" s="89"/>
      <c r="NMF186" s="91"/>
      <c r="NMI186" s="89"/>
      <c r="NMK186" s="91"/>
      <c r="NMN186" s="89"/>
      <c r="NMP186" s="91"/>
      <c r="NMS186" s="89"/>
      <c r="NMU186" s="91"/>
      <c r="NMX186" s="89"/>
      <c r="NMZ186" s="91"/>
      <c r="NNC186" s="89"/>
      <c r="NNE186" s="91"/>
      <c r="NNH186" s="89"/>
      <c r="NNJ186" s="91"/>
      <c r="NNM186" s="89"/>
      <c r="NNO186" s="91"/>
      <c r="NNR186" s="89"/>
      <c r="NNT186" s="91"/>
      <c r="NNW186" s="89"/>
      <c r="NNY186" s="91"/>
      <c r="NOB186" s="89"/>
      <c r="NOD186" s="91"/>
      <c r="NOG186" s="89"/>
      <c r="NOI186" s="91"/>
      <c r="NOL186" s="89"/>
      <c r="NON186" s="91"/>
      <c r="NOQ186" s="89"/>
      <c r="NOS186" s="91"/>
      <c r="NOV186" s="89"/>
      <c r="NOX186" s="91"/>
      <c r="NPA186" s="89"/>
      <c r="NPC186" s="91"/>
      <c r="NPF186" s="89"/>
      <c r="NPH186" s="91"/>
      <c r="NPK186" s="89"/>
      <c r="NPM186" s="91"/>
      <c r="NPP186" s="89"/>
      <c r="NPR186" s="91"/>
      <c r="NPU186" s="89"/>
      <c r="NPW186" s="91"/>
      <c r="NPZ186" s="89"/>
      <c r="NQB186" s="91"/>
      <c r="NQE186" s="89"/>
      <c r="NQG186" s="91"/>
      <c r="NQJ186" s="89"/>
      <c r="NQL186" s="91"/>
      <c r="NQO186" s="89"/>
      <c r="NQQ186" s="91"/>
      <c r="NQT186" s="89"/>
      <c r="NQV186" s="91"/>
      <c r="NQY186" s="89"/>
      <c r="NRA186" s="91"/>
      <c r="NRD186" s="89"/>
      <c r="NRF186" s="91"/>
      <c r="NRI186" s="89"/>
      <c r="NRK186" s="91"/>
      <c r="NRN186" s="89"/>
      <c r="NRP186" s="91"/>
      <c r="NRS186" s="89"/>
      <c r="NRU186" s="91"/>
      <c r="NRX186" s="89"/>
      <c r="NRZ186" s="91"/>
      <c r="NSC186" s="89"/>
      <c r="NSE186" s="91"/>
      <c r="NSH186" s="89"/>
      <c r="NSJ186" s="91"/>
      <c r="NSM186" s="89"/>
      <c r="NSO186" s="91"/>
      <c r="NSR186" s="89"/>
      <c r="NST186" s="91"/>
      <c r="NSW186" s="89"/>
      <c r="NSY186" s="91"/>
      <c r="NTB186" s="89"/>
      <c r="NTD186" s="91"/>
      <c r="NTG186" s="89"/>
      <c r="NTI186" s="91"/>
      <c r="NTL186" s="89"/>
      <c r="NTN186" s="91"/>
      <c r="NTQ186" s="89"/>
      <c r="NTS186" s="91"/>
      <c r="NTV186" s="89"/>
      <c r="NTX186" s="91"/>
      <c r="NUA186" s="89"/>
      <c r="NUC186" s="91"/>
      <c r="NUF186" s="89"/>
      <c r="NUH186" s="91"/>
      <c r="NUK186" s="89"/>
      <c r="NUM186" s="91"/>
      <c r="NUP186" s="89"/>
      <c r="NUR186" s="91"/>
      <c r="NUU186" s="89"/>
      <c r="NUW186" s="91"/>
      <c r="NUZ186" s="89"/>
      <c r="NVB186" s="91"/>
      <c r="NVE186" s="89"/>
      <c r="NVG186" s="91"/>
      <c r="NVJ186" s="89"/>
      <c r="NVL186" s="91"/>
      <c r="NVO186" s="89"/>
      <c r="NVQ186" s="91"/>
      <c r="NVT186" s="89"/>
      <c r="NVV186" s="91"/>
      <c r="NVY186" s="89"/>
      <c r="NWA186" s="91"/>
      <c r="NWD186" s="89"/>
      <c r="NWF186" s="91"/>
      <c r="NWI186" s="89"/>
      <c r="NWK186" s="91"/>
      <c r="NWN186" s="89"/>
      <c r="NWP186" s="91"/>
      <c r="NWS186" s="89"/>
      <c r="NWU186" s="91"/>
      <c r="NWX186" s="89"/>
      <c r="NWZ186" s="91"/>
      <c r="NXC186" s="89"/>
      <c r="NXE186" s="91"/>
      <c r="NXH186" s="89"/>
      <c r="NXJ186" s="91"/>
      <c r="NXM186" s="89"/>
      <c r="NXO186" s="91"/>
      <c r="NXR186" s="89"/>
      <c r="NXT186" s="91"/>
      <c r="NXW186" s="89"/>
      <c r="NXY186" s="91"/>
      <c r="NYB186" s="89"/>
      <c r="NYD186" s="91"/>
      <c r="NYG186" s="89"/>
      <c r="NYI186" s="91"/>
      <c r="NYL186" s="89"/>
      <c r="NYN186" s="91"/>
      <c r="NYQ186" s="89"/>
      <c r="NYS186" s="91"/>
      <c r="NYV186" s="89"/>
      <c r="NYX186" s="91"/>
      <c r="NZA186" s="89"/>
      <c r="NZC186" s="91"/>
      <c r="NZF186" s="89"/>
      <c r="NZH186" s="91"/>
      <c r="NZK186" s="89"/>
      <c r="NZM186" s="91"/>
      <c r="NZP186" s="89"/>
      <c r="NZR186" s="91"/>
      <c r="NZU186" s="89"/>
      <c r="NZW186" s="91"/>
      <c r="NZZ186" s="89"/>
      <c r="OAB186" s="91"/>
      <c r="OAE186" s="89"/>
      <c r="OAG186" s="91"/>
      <c r="OAJ186" s="89"/>
      <c r="OAL186" s="91"/>
      <c r="OAO186" s="89"/>
      <c r="OAQ186" s="91"/>
      <c r="OAT186" s="89"/>
      <c r="OAV186" s="91"/>
      <c r="OAY186" s="89"/>
      <c r="OBA186" s="91"/>
      <c r="OBD186" s="89"/>
      <c r="OBF186" s="91"/>
      <c r="OBI186" s="89"/>
      <c r="OBK186" s="91"/>
      <c r="OBN186" s="89"/>
      <c r="OBP186" s="91"/>
      <c r="OBS186" s="89"/>
      <c r="OBU186" s="91"/>
      <c r="OBX186" s="89"/>
      <c r="OBZ186" s="91"/>
      <c r="OCC186" s="89"/>
      <c r="OCE186" s="91"/>
      <c r="OCH186" s="89"/>
      <c r="OCJ186" s="91"/>
      <c r="OCM186" s="89"/>
      <c r="OCO186" s="91"/>
      <c r="OCR186" s="89"/>
      <c r="OCT186" s="91"/>
      <c r="OCW186" s="89"/>
      <c r="OCY186" s="91"/>
      <c r="ODB186" s="89"/>
      <c r="ODD186" s="91"/>
      <c r="ODG186" s="89"/>
      <c r="ODI186" s="91"/>
      <c r="ODL186" s="89"/>
      <c r="ODN186" s="91"/>
      <c r="ODQ186" s="89"/>
      <c r="ODS186" s="91"/>
      <c r="ODV186" s="89"/>
      <c r="ODX186" s="91"/>
      <c r="OEA186" s="89"/>
      <c r="OEC186" s="91"/>
      <c r="OEF186" s="89"/>
      <c r="OEH186" s="91"/>
      <c r="OEK186" s="89"/>
      <c r="OEM186" s="91"/>
      <c r="OEP186" s="89"/>
      <c r="OER186" s="91"/>
      <c r="OEU186" s="89"/>
      <c r="OEW186" s="91"/>
      <c r="OEZ186" s="89"/>
      <c r="OFB186" s="91"/>
      <c r="OFE186" s="89"/>
      <c r="OFG186" s="91"/>
      <c r="OFJ186" s="89"/>
      <c r="OFL186" s="91"/>
      <c r="OFO186" s="89"/>
      <c r="OFQ186" s="91"/>
      <c r="OFT186" s="89"/>
      <c r="OFV186" s="91"/>
      <c r="OFY186" s="89"/>
      <c r="OGA186" s="91"/>
      <c r="OGD186" s="89"/>
      <c r="OGF186" s="91"/>
      <c r="OGI186" s="89"/>
      <c r="OGK186" s="91"/>
      <c r="OGN186" s="89"/>
      <c r="OGP186" s="91"/>
      <c r="OGS186" s="89"/>
      <c r="OGU186" s="91"/>
      <c r="OGX186" s="89"/>
      <c r="OGZ186" s="91"/>
      <c r="OHC186" s="89"/>
      <c r="OHE186" s="91"/>
      <c r="OHH186" s="89"/>
      <c r="OHJ186" s="91"/>
      <c r="OHM186" s="89"/>
      <c r="OHO186" s="91"/>
      <c r="OHR186" s="89"/>
      <c r="OHT186" s="91"/>
      <c r="OHW186" s="89"/>
      <c r="OHY186" s="91"/>
      <c r="OIB186" s="89"/>
      <c r="OID186" s="91"/>
      <c r="OIG186" s="89"/>
      <c r="OII186" s="91"/>
      <c r="OIL186" s="89"/>
      <c r="OIN186" s="91"/>
      <c r="OIQ186" s="89"/>
      <c r="OIS186" s="91"/>
      <c r="OIV186" s="89"/>
      <c r="OIX186" s="91"/>
      <c r="OJA186" s="89"/>
      <c r="OJC186" s="91"/>
      <c r="OJF186" s="89"/>
      <c r="OJH186" s="91"/>
      <c r="OJK186" s="89"/>
      <c r="OJM186" s="91"/>
      <c r="OJP186" s="89"/>
      <c r="OJR186" s="91"/>
      <c r="OJU186" s="89"/>
      <c r="OJW186" s="91"/>
      <c r="OJZ186" s="89"/>
      <c r="OKB186" s="91"/>
      <c r="OKE186" s="89"/>
      <c r="OKG186" s="91"/>
      <c r="OKJ186" s="89"/>
      <c r="OKL186" s="91"/>
      <c r="OKO186" s="89"/>
      <c r="OKQ186" s="91"/>
      <c r="OKT186" s="89"/>
      <c r="OKV186" s="91"/>
      <c r="OKY186" s="89"/>
      <c r="OLA186" s="91"/>
      <c r="OLD186" s="89"/>
      <c r="OLF186" s="91"/>
      <c r="OLI186" s="89"/>
      <c r="OLK186" s="91"/>
      <c r="OLN186" s="89"/>
      <c r="OLP186" s="91"/>
      <c r="OLS186" s="89"/>
      <c r="OLU186" s="91"/>
      <c r="OLX186" s="89"/>
      <c r="OLZ186" s="91"/>
      <c r="OMC186" s="89"/>
      <c r="OME186" s="91"/>
      <c r="OMH186" s="89"/>
      <c r="OMJ186" s="91"/>
      <c r="OMM186" s="89"/>
      <c r="OMO186" s="91"/>
      <c r="OMR186" s="89"/>
      <c r="OMT186" s="91"/>
      <c r="OMW186" s="89"/>
      <c r="OMY186" s="91"/>
      <c r="ONB186" s="89"/>
      <c r="OND186" s="91"/>
      <c r="ONG186" s="89"/>
      <c r="ONI186" s="91"/>
      <c r="ONL186" s="89"/>
      <c r="ONN186" s="91"/>
      <c r="ONQ186" s="89"/>
      <c r="ONS186" s="91"/>
      <c r="ONV186" s="89"/>
      <c r="ONX186" s="91"/>
      <c r="OOA186" s="89"/>
      <c r="OOC186" s="91"/>
      <c r="OOF186" s="89"/>
      <c r="OOH186" s="91"/>
      <c r="OOK186" s="89"/>
      <c r="OOM186" s="91"/>
      <c r="OOP186" s="89"/>
      <c r="OOR186" s="91"/>
      <c r="OOU186" s="89"/>
      <c r="OOW186" s="91"/>
      <c r="OOZ186" s="89"/>
      <c r="OPB186" s="91"/>
      <c r="OPE186" s="89"/>
      <c r="OPG186" s="91"/>
      <c r="OPJ186" s="89"/>
      <c r="OPL186" s="91"/>
      <c r="OPO186" s="89"/>
      <c r="OPQ186" s="91"/>
      <c r="OPT186" s="89"/>
      <c r="OPV186" s="91"/>
      <c r="OPY186" s="89"/>
      <c r="OQA186" s="91"/>
      <c r="OQD186" s="89"/>
      <c r="OQF186" s="91"/>
      <c r="OQI186" s="89"/>
      <c r="OQK186" s="91"/>
      <c r="OQN186" s="89"/>
      <c r="OQP186" s="91"/>
      <c r="OQS186" s="89"/>
      <c r="OQU186" s="91"/>
      <c r="OQX186" s="89"/>
      <c r="OQZ186" s="91"/>
      <c r="ORC186" s="89"/>
      <c r="ORE186" s="91"/>
      <c r="ORH186" s="89"/>
      <c r="ORJ186" s="91"/>
      <c r="ORM186" s="89"/>
      <c r="ORO186" s="91"/>
      <c r="ORR186" s="89"/>
      <c r="ORT186" s="91"/>
      <c r="ORW186" s="89"/>
      <c r="ORY186" s="91"/>
      <c r="OSB186" s="89"/>
      <c r="OSD186" s="91"/>
      <c r="OSG186" s="89"/>
      <c r="OSI186" s="91"/>
      <c r="OSL186" s="89"/>
      <c r="OSN186" s="91"/>
      <c r="OSQ186" s="89"/>
      <c r="OSS186" s="91"/>
      <c r="OSV186" s="89"/>
      <c r="OSX186" s="91"/>
      <c r="OTA186" s="89"/>
      <c r="OTC186" s="91"/>
      <c r="OTF186" s="89"/>
      <c r="OTH186" s="91"/>
      <c r="OTK186" s="89"/>
      <c r="OTM186" s="91"/>
      <c r="OTP186" s="89"/>
      <c r="OTR186" s="91"/>
      <c r="OTU186" s="89"/>
      <c r="OTW186" s="91"/>
      <c r="OTZ186" s="89"/>
      <c r="OUB186" s="91"/>
      <c r="OUE186" s="89"/>
      <c r="OUG186" s="91"/>
      <c r="OUJ186" s="89"/>
      <c r="OUL186" s="91"/>
      <c r="OUO186" s="89"/>
      <c r="OUQ186" s="91"/>
      <c r="OUT186" s="89"/>
      <c r="OUV186" s="91"/>
      <c r="OUY186" s="89"/>
      <c r="OVA186" s="91"/>
      <c r="OVD186" s="89"/>
      <c r="OVF186" s="91"/>
      <c r="OVI186" s="89"/>
      <c r="OVK186" s="91"/>
      <c r="OVN186" s="89"/>
      <c r="OVP186" s="91"/>
      <c r="OVS186" s="89"/>
      <c r="OVU186" s="91"/>
      <c r="OVX186" s="89"/>
      <c r="OVZ186" s="91"/>
      <c r="OWC186" s="89"/>
      <c r="OWE186" s="91"/>
      <c r="OWH186" s="89"/>
      <c r="OWJ186" s="91"/>
      <c r="OWM186" s="89"/>
      <c r="OWO186" s="91"/>
      <c r="OWR186" s="89"/>
      <c r="OWT186" s="91"/>
      <c r="OWW186" s="89"/>
      <c r="OWY186" s="91"/>
      <c r="OXB186" s="89"/>
      <c r="OXD186" s="91"/>
      <c r="OXG186" s="89"/>
      <c r="OXI186" s="91"/>
      <c r="OXL186" s="89"/>
      <c r="OXN186" s="91"/>
      <c r="OXQ186" s="89"/>
      <c r="OXS186" s="91"/>
      <c r="OXV186" s="89"/>
      <c r="OXX186" s="91"/>
      <c r="OYA186" s="89"/>
      <c r="OYC186" s="91"/>
      <c r="OYF186" s="89"/>
      <c r="OYH186" s="91"/>
      <c r="OYK186" s="89"/>
      <c r="OYM186" s="91"/>
      <c r="OYP186" s="89"/>
      <c r="OYR186" s="91"/>
      <c r="OYU186" s="89"/>
      <c r="OYW186" s="91"/>
      <c r="OYZ186" s="89"/>
      <c r="OZB186" s="91"/>
      <c r="OZE186" s="89"/>
      <c r="OZG186" s="91"/>
      <c r="OZJ186" s="89"/>
      <c r="OZL186" s="91"/>
      <c r="OZO186" s="89"/>
      <c r="OZQ186" s="91"/>
      <c r="OZT186" s="89"/>
      <c r="OZV186" s="91"/>
      <c r="OZY186" s="89"/>
      <c r="PAA186" s="91"/>
      <c r="PAD186" s="89"/>
      <c r="PAF186" s="91"/>
      <c r="PAI186" s="89"/>
      <c r="PAK186" s="91"/>
      <c r="PAN186" s="89"/>
      <c r="PAP186" s="91"/>
      <c r="PAS186" s="89"/>
      <c r="PAU186" s="91"/>
      <c r="PAX186" s="89"/>
      <c r="PAZ186" s="91"/>
      <c r="PBC186" s="89"/>
      <c r="PBE186" s="91"/>
      <c r="PBH186" s="89"/>
      <c r="PBJ186" s="91"/>
      <c r="PBM186" s="89"/>
      <c r="PBO186" s="91"/>
      <c r="PBR186" s="89"/>
      <c r="PBT186" s="91"/>
      <c r="PBW186" s="89"/>
      <c r="PBY186" s="91"/>
      <c r="PCB186" s="89"/>
      <c r="PCD186" s="91"/>
      <c r="PCG186" s="89"/>
      <c r="PCI186" s="91"/>
      <c r="PCL186" s="89"/>
      <c r="PCN186" s="91"/>
      <c r="PCQ186" s="89"/>
      <c r="PCS186" s="91"/>
      <c r="PCV186" s="89"/>
      <c r="PCX186" s="91"/>
      <c r="PDA186" s="89"/>
      <c r="PDC186" s="91"/>
      <c r="PDF186" s="89"/>
      <c r="PDH186" s="91"/>
      <c r="PDK186" s="89"/>
      <c r="PDM186" s="91"/>
      <c r="PDP186" s="89"/>
      <c r="PDR186" s="91"/>
      <c r="PDU186" s="89"/>
      <c r="PDW186" s="91"/>
      <c r="PDZ186" s="89"/>
      <c r="PEB186" s="91"/>
      <c r="PEE186" s="89"/>
      <c r="PEG186" s="91"/>
      <c r="PEJ186" s="89"/>
      <c r="PEL186" s="91"/>
      <c r="PEO186" s="89"/>
      <c r="PEQ186" s="91"/>
      <c r="PET186" s="89"/>
      <c r="PEV186" s="91"/>
      <c r="PEY186" s="89"/>
      <c r="PFA186" s="91"/>
      <c r="PFD186" s="89"/>
      <c r="PFF186" s="91"/>
      <c r="PFI186" s="89"/>
      <c r="PFK186" s="91"/>
      <c r="PFN186" s="89"/>
      <c r="PFP186" s="91"/>
      <c r="PFS186" s="89"/>
      <c r="PFU186" s="91"/>
      <c r="PFX186" s="89"/>
      <c r="PFZ186" s="91"/>
      <c r="PGC186" s="89"/>
      <c r="PGE186" s="91"/>
      <c r="PGH186" s="89"/>
      <c r="PGJ186" s="91"/>
      <c r="PGM186" s="89"/>
      <c r="PGO186" s="91"/>
      <c r="PGR186" s="89"/>
      <c r="PGT186" s="91"/>
      <c r="PGW186" s="89"/>
      <c r="PGY186" s="91"/>
      <c r="PHB186" s="89"/>
      <c r="PHD186" s="91"/>
      <c r="PHG186" s="89"/>
      <c r="PHI186" s="91"/>
      <c r="PHL186" s="89"/>
      <c r="PHN186" s="91"/>
      <c r="PHQ186" s="89"/>
      <c r="PHS186" s="91"/>
      <c r="PHV186" s="89"/>
      <c r="PHX186" s="91"/>
      <c r="PIA186" s="89"/>
      <c r="PIC186" s="91"/>
      <c r="PIF186" s="89"/>
      <c r="PIH186" s="91"/>
      <c r="PIK186" s="89"/>
      <c r="PIM186" s="91"/>
      <c r="PIP186" s="89"/>
      <c r="PIR186" s="91"/>
      <c r="PIU186" s="89"/>
      <c r="PIW186" s="91"/>
      <c r="PIZ186" s="89"/>
      <c r="PJB186" s="91"/>
      <c r="PJE186" s="89"/>
      <c r="PJG186" s="91"/>
      <c r="PJJ186" s="89"/>
      <c r="PJL186" s="91"/>
      <c r="PJO186" s="89"/>
      <c r="PJQ186" s="91"/>
      <c r="PJT186" s="89"/>
      <c r="PJV186" s="91"/>
      <c r="PJY186" s="89"/>
      <c r="PKA186" s="91"/>
      <c r="PKD186" s="89"/>
      <c r="PKF186" s="91"/>
      <c r="PKI186" s="89"/>
      <c r="PKK186" s="91"/>
      <c r="PKN186" s="89"/>
      <c r="PKP186" s="91"/>
      <c r="PKS186" s="89"/>
      <c r="PKU186" s="91"/>
      <c r="PKX186" s="89"/>
      <c r="PKZ186" s="91"/>
      <c r="PLC186" s="89"/>
      <c r="PLE186" s="91"/>
      <c r="PLH186" s="89"/>
      <c r="PLJ186" s="91"/>
      <c r="PLM186" s="89"/>
      <c r="PLO186" s="91"/>
      <c r="PLR186" s="89"/>
      <c r="PLT186" s="91"/>
      <c r="PLW186" s="89"/>
      <c r="PLY186" s="91"/>
      <c r="PMB186" s="89"/>
      <c r="PMD186" s="91"/>
      <c r="PMG186" s="89"/>
      <c r="PMI186" s="91"/>
      <c r="PML186" s="89"/>
      <c r="PMN186" s="91"/>
      <c r="PMQ186" s="89"/>
      <c r="PMS186" s="91"/>
      <c r="PMV186" s="89"/>
      <c r="PMX186" s="91"/>
      <c r="PNA186" s="89"/>
      <c r="PNC186" s="91"/>
      <c r="PNF186" s="89"/>
      <c r="PNH186" s="91"/>
      <c r="PNK186" s="89"/>
      <c r="PNM186" s="91"/>
      <c r="PNP186" s="89"/>
      <c r="PNR186" s="91"/>
      <c r="PNU186" s="89"/>
      <c r="PNW186" s="91"/>
      <c r="PNZ186" s="89"/>
      <c r="POB186" s="91"/>
      <c r="POE186" s="89"/>
      <c r="POG186" s="91"/>
      <c r="POJ186" s="89"/>
      <c r="POL186" s="91"/>
      <c r="POO186" s="89"/>
      <c r="POQ186" s="91"/>
      <c r="POT186" s="89"/>
      <c r="POV186" s="91"/>
      <c r="POY186" s="89"/>
      <c r="PPA186" s="91"/>
      <c r="PPD186" s="89"/>
      <c r="PPF186" s="91"/>
      <c r="PPI186" s="89"/>
      <c r="PPK186" s="91"/>
      <c r="PPN186" s="89"/>
      <c r="PPP186" s="91"/>
      <c r="PPS186" s="89"/>
      <c r="PPU186" s="91"/>
      <c r="PPX186" s="89"/>
      <c r="PPZ186" s="91"/>
      <c r="PQC186" s="89"/>
      <c r="PQE186" s="91"/>
      <c r="PQH186" s="89"/>
      <c r="PQJ186" s="91"/>
      <c r="PQM186" s="89"/>
      <c r="PQO186" s="91"/>
      <c r="PQR186" s="89"/>
      <c r="PQT186" s="91"/>
      <c r="PQW186" s="89"/>
      <c r="PQY186" s="91"/>
      <c r="PRB186" s="89"/>
      <c r="PRD186" s="91"/>
      <c r="PRG186" s="89"/>
      <c r="PRI186" s="91"/>
      <c r="PRL186" s="89"/>
      <c r="PRN186" s="91"/>
      <c r="PRQ186" s="89"/>
      <c r="PRS186" s="91"/>
      <c r="PRV186" s="89"/>
      <c r="PRX186" s="91"/>
      <c r="PSA186" s="89"/>
      <c r="PSC186" s="91"/>
      <c r="PSF186" s="89"/>
      <c r="PSH186" s="91"/>
      <c r="PSK186" s="89"/>
      <c r="PSM186" s="91"/>
      <c r="PSP186" s="89"/>
      <c r="PSR186" s="91"/>
      <c r="PSU186" s="89"/>
      <c r="PSW186" s="91"/>
      <c r="PSZ186" s="89"/>
      <c r="PTB186" s="91"/>
      <c r="PTE186" s="89"/>
      <c r="PTG186" s="91"/>
      <c r="PTJ186" s="89"/>
      <c r="PTL186" s="91"/>
      <c r="PTO186" s="89"/>
      <c r="PTQ186" s="91"/>
      <c r="PTT186" s="89"/>
      <c r="PTV186" s="91"/>
      <c r="PTY186" s="89"/>
      <c r="PUA186" s="91"/>
      <c r="PUD186" s="89"/>
      <c r="PUF186" s="91"/>
      <c r="PUI186" s="89"/>
      <c r="PUK186" s="91"/>
      <c r="PUN186" s="89"/>
      <c r="PUP186" s="91"/>
      <c r="PUS186" s="89"/>
      <c r="PUU186" s="91"/>
      <c r="PUX186" s="89"/>
      <c r="PUZ186" s="91"/>
      <c r="PVC186" s="89"/>
      <c r="PVE186" s="91"/>
      <c r="PVH186" s="89"/>
      <c r="PVJ186" s="91"/>
      <c r="PVM186" s="89"/>
      <c r="PVO186" s="91"/>
      <c r="PVR186" s="89"/>
      <c r="PVT186" s="91"/>
      <c r="PVW186" s="89"/>
      <c r="PVY186" s="91"/>
      <c r="PWB186" s="89"/>
      <c r="PWD186" s="91"/>
      <c r="PWG186" s="89"/>
      <c r="PWI186" s="91"/>
      <c r="PWL186" s="89"/>
      <c r="PWN186" s="91"/>
      <c r="PWQ186" s="89"/>
      <c r="PWS186" s="91"/>
      <c r="PWV186" s="89"/>
      <c r="PWX186" s="91"/>
      <c r="PXA186" s="89"/>
      <c r="PXC186" s="91"/>
      <c r="PXF186" s="89"/>
      <c r="PXH186" s="91"/>
      <c r="PXK186" s="89"/>
      <c r="PXM186" s="91"/>
      <c r="PXP186" s="89"/>
      <c r="PXR186" s="91"/>
      <c r="PXU186" s="89"/>
      <c r="PXW186" s="91"/>
      <c r="PXZ186" s="89"/>
      <c r="PYB186" s="91"/>
      <c r="PYE186" s="89"/>
      <c r="PYG186" s="91"/>
      <c r="PYJ186" s="89"/>
      <c r="PYL186" s="91"/>
      <c r="PYO186" s="89"/>
      <c r="PYQ186" s="91"/>
      <c r="PYT186" s="89"/>
      <c r="PYV186" s="91"/>
      <c r="PYY186" s="89"/>
      <c r="PZA186" s="91"/>
      <c r="PZD186" s="89"/>
      <c r="PZF186" s="91"/>
      <c r="PZI186" s="89"/>
      <c r="PZK186" s="91"/>
      <c r="PZN186" s="89"/>
      <c r="PZP186" s="91"/>
      <c r="PZS186" s="89"/>
      <c r="PZU186" s="91"/>
      <c r="PZX186" s="89"/>
      <c r="PZZ186" s="91"/>
      <c r="QAC186" s="89"/>
      <c r="QAE186" s="91"/>
      <c r="QAH186" s="89"/>
      <c r="QAJ186" s="91"/>
      <c r="QAM186" s="89"/>
      <c r="QAO186" s="91"/>
      <c r="QAR186" s="89"/>
      <c r="QAT186" s="91"/>
      <c r="QAW186" s="89"/>
      <c r="QAY186" s="91"/>
      <c r="QBB186" s="89"/>
      <c r="QBD186" s="91"/>
      <c r="QBG186" s="89"/>
      <c r="QBI186" s="91"/>
      <c r="QBL186" s="89"/>
      <c r="QBN186" s="91"/>
      <c r="QBQ186" s="89"/>
      <c r="QBS186" s="91"/>
      <c r="QBV186" s="89"/>
      <c r="QBX186" s="91"/>
      <c r="QCA186" s="89"/>
      <c r="QCC186" s="91"/>
      <c r="QCF186" s="89"/>
      <c r="QCH186" s="91"/>
      <c r="QCK186" s="89"/>
      <c r="QCM186" s="91"/>
      <c r="QCP186" s="89"/>
      <c r="QCR186" s="91"/>
      <c r="QCU186" s="89"/>
      <c r="QCW186" s="91"/>
      <c r="QCZ186" s="89"/>
      <c r="QDB186" s="91"/>
      <c r="QDE186" s="89"/>
      <c r="QDG186" s="91"/>
      <c r="QDJ186" s="89"/>
      <c r="QDL186" s="91"/>
      <c r="QDO186" s="89"/>
      <c r="QDQ186" s="91"/>
      <c r="QDT186" s="89"/>
      <c r="QDV186" s="91"/>
      <c r="QDY186" s="89"/>
      <c r="QEA186" s="91"/>
      <c r="QED186" s="89"/>
      <c r="QEF186" s="91"/>
      <c r="QEI186" s="89"/>
      <c r="QEK186" s="91"/>
      <c r="QEN186" s="89"/>
      <c r="QEP186" s="91"/>
      <c r="QES186" s="89"/>
      <c r="QEU186" s="91"/>
      <c r="QEX186" s="89"/>
      <c r="QEZ186" s="91"/>
      <c r="QFC186" s="89"/>
      <c r="QFE186" s="91"/>
      <c r="QFH186" s="89"/>
      <c r="QFJ186" s="91"/>
      <c r="QFM186" s="89"/>
      <c r="QFO186" s="91"/>
      <c r="QFR186" s="89"/>
      <c r="QFT186" s="91"/>
      <c r="QFW186" s="89"/>
      <c r="QFY186" s="91"/>
      <c r="QGB186" s="89"/>
      <c r="QGD186" s="91"/>
      <c r="QGG186" s="89"/>
      <c r="QGI186" s="91"/>
      <c r="QGL186" s="89"/>
      <c r="QGN186" s="91"/>
      <c r="QGQ186" s="89"/>
      <c r="QGS186" s="91"/>
      <c r="QGV186" s="89"/>
      <c r="QGX186" s="91"/>
      <c r="QHA186" s="89"/>
      <c r="QHC186" s="91"/>
      <c r="QHF186" s="89"/>
      <c r="QHH186" s="91"/>
      <c r="QHK186" s="89"/>
      <c r="QHM186" s="91"/>
      <c r="QHP186" s="89"/>
      <c r="QHR186" s="91"/>
      <c r="QHU186" s="89"/>
      <c r="QHW186" s="91"/>
      <c r="QHZ186" s="89"/>
      <c r="QIB186" s="91"/>
      <c r="QIE186" s="89"/>
      <c r="QIG186" s="91"/>
      <c r="QIJ186" s="89"/>
      <c r="QIL186" s="91"/>
      <c r="QIO186" s="89"/>
      <c r="QIQ186" s="91"/>
      <c r="QIT186" s="89"/>
      <c r="QIV186" s="91"/>
      <c r="QIY186" s="89"/>
      <c r="QJA186" s="91"/>
      <c r="QJD186" s="89"/>
      <c r="QJF186" s="91"/>
      <c r="QJI186" s="89"/>
      <c r="QJK186" s="91"/>
      <c r="QJN186" s="89"/>
      <c r="QJP186" s="91"/>
      <c r="QJS186" s="89"/>
      <c r="QJU186" s="91"/>
      <c r="QJX186" s="89"/>
      <c r="QJZ186" s="91"/>
      <c r="QKC186" s="89"/>
      <c r="QKE186" s="91"/>
      <c r="QKH186" s="89"/>
      <c r="QKJ186" s="91"/>
      <c r="QKM186" s="89"/>
      <c r="QKO186" s="91"/>
      <c r="QKR186" s="89"/>
      <c r="QKT186" s="91"/>
      <c r="QKW186" s="89"/>
      <c r="QKY186" s="91"/>
      <c r="QLB186" s="89"/>
      <c r="QLD186" s="91"/>
      <c r="QLG186" s="89"/>
      <c r="QLI186" s="91"/>
      <c r="QLL186" s="89"/>
      <c r="QLN186" s="91"/>
      <c r="QLQ186" s="89"/>
      <c r="QLS186" s="91"/>
      <c r="QLV186" s="89"/>
      <c r="QLX186" s="91"/>
      <c r="QMA186" s="89"/>
      <c r="QMC186" s="91"/>
      <c r="QMF186" s="89"/>
      <c r="QMH186" s="91"/>
      <c r="QMK186" s="89"/>
      <c r="QMM186" s="91"/>
      <c r="QMP186" s="89"/>
      <c r="QMR186" s="91"/>
      <c r="QMU186" s="89"/>
      <c r="QMW186" s="91"/>
      <c r="QMZ186" s="89"/>
      <c r="QNB186" s="91"/>
      <c r="QNE186" s="89"/>
      <c r="QNG186" s="91"/>
      <c r="QNJ186" s="89"/>
      <c r="QNL186" s="91"/>
      <c r="QNO186" s="89"/>
      <c r="QNQ186" s="91"/>
      <c r="QNT186" s="89"/>
      <c r="QNV186" s="91"/>
      <c r="QNY186" s="89"/>
      <c r="QOA186" s="91"/>
      <c r="QOD186" s="89"/>
      <c r="QOF186" s="91"/>
      <c r="QOI186" s="89"/>
      <c r="QOK186" s="91"/>
      <c r="QON186" s="89"/>
      <c r="QOP186" s="91"/>
      <c r="QOS186" s="89"/>
      <c r="QOU186" s="91"/>
      <c r="QOX186" s="89"/>
      <c r="QOZ186" s="91"/>
      <c r="QPC186" s="89"/>
      <c r="QPE186" s="91"/>
      <c r="QPH186" s="89"/>
      <c r="QPJ186" s="91"/>
      <c r="QPM186" s="89"/>
      <c r="QPO186" s="91"/>
      <c r="QPR186" s="89"/>
      <c r="QPT186" s="91"/>
      <c r="QPW186" s="89"/>
      <c r="QPY186" s="91"/>
      <c r="QQB186" s="89"/>
      <c r="QQD186" s="91"/>
      <c r="QQG186" s="89"/>
      <c r="QQI186" s="91"/>
      <c r="QQL186" s="89"/>
      <c r="QQN186" s="91"/>
      <c r="QQQ186" s="89"/>
      <c r="QQS186" s="91"/>
      <c r="QQV186" s="89"/>
      <c r="QQX186" s="91"/>
      <c r="QRA186" s="89"/>
      <c r="QRC186" s="91"/>
      <c r="QRF186" s="89"/>
      <c r="QRH186" s="91"/>
      <c r="QRK186" s="89"/>
      <c r="QRM186" s="91"/>
      <c r="QRP186" s="89"/>
      <c r="QRR186" s="91"/>
      <c r="QRU186" s="89"/>
      <c r="QRW186" s="91"/>
      <c r="QRZ186" s="89"/>
      <c r="QSB186" s="91"/>
      <c r="QSE186" s="89"/>
      <c r="QSG186" s="91"/>
      <c r="QSJ186" s="89"/>
      <c r="QSL186" s="91"/>
      <c r="QSO186" s="89"/>
      <c r="QSQ186" s="91"/>
      <c r="QST186" s="89"/>
      <c r="QSV186" s="91"/>
      <c r="QSY186" s="89"/>
      <c r="QTA186" s="91"/>
      <c r="QTD186" s="89"/>
      <c r="QTF186" s="91"/>
      <c r="QTI186" s="89"/>
      <c r="QTK186" s="91"/>
      <c r="QTN186" s="89"/>
      <c r="QTP186" s="91"/>
      <c r="QTS186" s="89"/>
      <c r="QTU186" s="91"/>
      <c r="QTX186" s="89"/>
      <c r="QTZ186" s="91"/>
      <c r="QUC186" s="89"/>
      <c r="QUE186" s="91"/>
      <c r="QUH186" s="89"/>
      <c r="QUJ186" s="91"/>
      <c r="QUM186" s="89"/>
      <c r="QUO186" s="91"/>
      <c r="QUR186" s="89"/>
      <c r="QUT186" s="91"/>
      <c r="QUW186" s="89"/>
      <c r="QUY186" s="91"/>
      <c r="QVB186" s="89"/>
      <c r="QVD186" s="91"/>
      <c r="QVG186" s="89"/>
      <c r="QVI186" s="91"/>
      <c r="QVL186" s="89"/>
      <c r="QVN186" s="91"/>
      <c r="QVQ186" s="89"/>
      <c r="QVS186" s="91"/>
      <c r="QVV186" s="89"/>
      <c r="QVX186" s="91"/>
      <c r="QWA186" s="89"/>
      <c r="QWC186" s="91"/>
      <c r="QWF186" s="89"/>
      <c r="QWH186" s="91"/>
      <c r="QWK186" s="89"/>
      <c r="QWM186" s="91"/>
      <c r="QWP186" s="89"/>
      <c r="QWR186" s="91"/>
      <c r="QWU186" s="89"/>
      <c r="QWW186" s="91"/>
      <c r="QWZ186" s="89"/>
      <c r="QXB186" s="91"/>
      <c r="QXE186" s="89"/>
      <c r="QXG186" s="91"/>
      <c r="QXJ186" s="89"/>
      <c r="QXL186" s="91"/>
      <c r="QXO186" s="89"/>
      <c r="QXQ186" s="91"/>
      <c r="QXT186" s="89"/>
      <c r="QXV186" s="91"/>
      <c r="QXY186" s="89"/>
      <c r="QYA186" s="91"/>
      <c r="QYD186" s="89"/>
      <c r="QYF186" s="91"/>
      <c r="QYI186" s="89"/>
      <c r="QYK186" s="91"/>
      <c r="QYN186" s="89"/>
      <c r="QYP186" s="91"/>
      <c r="QYS186" s="89"/>
      <c r="QYU186" s="91"/>
      <c r="QYX186" s="89"/>
      <c r="QYZ186" s="91"/>
      <c r="QZC186" s="89"/>
      <c r="QZE186" s="91"/>
      <c r="QZH186" s="89"/>
      <c r="QZJ186" s="91"/>
      <c r="QZM186" s="89"/>
      <c r="QZO186" s="91"/>
      <c r="QZR186" s="89"/>
      <c r="QZT186" s="91"/>
      <c r="QZW186" s="89"/>
      <c r="QZY186" s="91"/>
      <c r="RAB186" s="89"/>
      <c r="RAD186" s="91"/>
      <c r="RAG186" s="89"/>
      <c r="RAI186" s="91"/>
      <c r="RAL186" s="89"/>
      <c r="RAN186" s="91"/>
      <c r="RAQ186" s="89"/>
      <c r="RAS186" s="91"/>
      <c r="RAV186" s="89"/>
      <c r="RAX186" s="91"/>
      <c r="RBA186" s="89"/>
      <c r="RBC186" s="91"/>
      <c r="RBF186" s="89"/>
      <c r="RBH186" s="91"/>
      <c r="RBK186" s="89"/>
      <c r="RBM186" s="91"/>
      <c r="RBP186" s="89"/>
      <c r="RBR186" s="91"/>
      <c r="RBU186" s="89"/>
      <c r="RBW186" s="91"/>
      <c r="RBZ186" s="89"/>
      <c r="RCB186" s="91"/>
      <c r="RCE186" s="89"/>
      <c r="RCG186" s="91"/>
      <c r="RCJ186" s="89"/>
      <c r="RCL186" s="91"/>
      <c r="RCO186" s="89"/>
      <c r="RCQ186" s="91"/>
      <c r="RCT186" s="89"/>
      <c r="RCV186" s="91"/>
      <c r="RCY186" s="89"/>
      <c r="RDA186" s="91"/>
      <c r="RDD186" s="89"/>
      <c r="RDF186" s="91"/>
      <c r="RDI186" s="89"/>
      <c r="RDK186" s="91"/>
      <c r="RDN186" s="89"/>
      <c r="RDP186" s="91"/>
      <c r="RDS186" s="89"/>
      <c r="RDU186" s="91"/>
      <c r="RDX186" s="89"/>
      <c r="RDZ186" s="91"/>
      <c r="REC186" s="89"/>
      <c r="REE186" s="91"/>
      <c r="REH186" s="89"/>
      <c r="REJ186" s="91"/>
      <c r="REM186" s="89"/>
      <c r="REO186" s="91"/>
      <c r="RER186" s="89"/>
      <c r="RET186" s="91"/>
      <c r="REW186" s="89"/>
      <c r="REY186" s="91"/>
      <c r="RFB186" s="89"/>
      <c r="RFD186" s="91"/>
      <c r="RFG186" s="89"/>
      <c r="RFI186" s="91"/>
      <c r="RFL186" s="89"/>
      <c r="RFN186" s="91"/>
      <c r="RFQ186" s="89"/>
      <c r="RFS186" s="91"/>
      <c r="RFV186" s="89"/>
      <c r="RFX186" s="91"/>
      <c r="RGA186" s="89"/>
      <c r="RGC186" s="91"/>
      <c r="RGF186" s="89"/>
      <c r="RGH186" s="91"/>
      <c r="RGK186" s="89"/>
      <c r="RGM186" s="91"/>
      <c r="RGP186" s="89"/>
      <c r="RGR186" s="91"/>
      <c r="RGU186" s="89"/>
      <c r="RGW186" s="91"/>
      <c r="RGZ186" s="89"/>
      <c r="RHB186" s="91"/>
      <c r="RHE186" s="89"/>
      <c r="RHG186" s="91"/>
      <c r="RHJ186" s="89"/>
      <c r="RHL186" s="91"/>
      <c r="RHO186" s="89"/>
      <c r="RHQ186" s="91"/>
      <c r="RHT186" s="89"/>
      <c r="RHV186" s="91"/>
      <c r="RHY186" s="89"/>
      <c r="RIA186" s="91"/>
      <c r="RID186" s="89"/>
      <c r="RIF186" s="91"/>
      <c r="RII186" s="89"/>
      <c r="RIK186" s="91"/>
      <c r="RIN186" s="89"/>
      <c r="RIP186" s="91"/>
      <c r="RIS186" s="89"/>
      <c r="RIU186" s="91"/>
      <c r="RIX186" s="89"/>
      <c r="RIZ186" s="91"/>
      <c r="RJC186" s="89"/>
      <c r="RJE186" s="91"/>
      <c r="RJH186" s="89"/>
      <c r="RJJ186" s="91"/>
      <c r="RJM186" s="89"/>
      <c r="RJO186" s="91"/>
      <c r="RJR186" s="89"/>
      <c r="RJT186" s="91"/>
      <c r="RJW186" s="89"/>
      <c r="RJY186" s="91"/>
      <c r="RKB186" s="89"/>
      <c r="RKD186" s="91"/>
      <c r="RKG186" s="89"/>
      <c r="RKI186" s="91"/>
      <c r="RKL186" s="89"/>
      <c r="RKN186" s="91"/>
      <c r="RKQ186" s="89"/>
      <c r="RKS186" s="91"/>
      <c r="RKV186" s="89"/>
      <c r="RKX186" s="91"/>
      <c r="RLA186" s="89"/>
      <c r="RLC186" s="91"/>
      <c r="RLF186" s="89"/>
      <c r="RLH186" s="91"/>
      <c r="RLK186" s="89"/>
      <c r="RLM186" s="91"/>
      <c r="RLP186" s="89"/>
      <c r="RLR186" s="91"/>
      <c r="RLU186" s="89"/>
      <c r="RLW186" s="91"/>
      <c r="RLZ186" s="89"/>
      <c r="RMB186" s="91"/>
      <c r="RME186" s="89"/>
      <c r="RMG186" s="91"/>
      <c r="RMJ186" s="89"/>
      <c r="RML186" s="91"/>
      <c r="RMO186" s="89"/>
      <c r="RMQ186" s="91"/>
      <c r="RMT186" s="89"/>
      <c r="RMV186" s="91"/>
      <c r="RMY186" s="89"/>
      <c r="RNA186" s="91"/>
      <c r="RND186" s="89"/>
      <c r="RNF186" s="91"/>
      <c r="RNI186" s="89"/>
      <c r="RNK186" s="91"/>
      <c r="RNN186" s="89"/>
      <c r="RNP186" s="91"/>
      <c r="RNS186" s="89"/>
      <c r="RNU186" s="91"/>
      <c r="RNX186" s="89"/>
      <c r="RNZ186" s="91"/>
      <c r="ROC186" s="89"/>
      <c r="ROE186" s="91"/>
      <c r="ROH186" s="89"/>
      <c r="ROJ186" s="91"/>
      <c r="ROM186" s="89"/>
      <c r="ROO186" s="91"/>
      <c r="ROR186" s="89"/>
      <c r="ROT186" s="91"/>
      <c r="ROW186" s="89"/>
      <c r="ROY186" s="91"/>
      <c r="RPB186" s="89"/>
      <c r="RPD186" s="91"/>
      <c r="RPG186" s="89"/>
      <c r="RPI186" s="91"/>
      <c r="RPL186" s="89"/>
      <c r="RPN186" s="91"/>
      <c r="RPQ186" s="89"/>
      <c r="RPS186" s="91"/>
      <c r="RPV186" s="89"/>
      <c r="RPX186" s="91"/>
      <c r="RQA186" s="89"/>
      <c r="RQC186" s="91"/>
      <c r="RQF186" s="89"/>
      <c r="RQH186" s="91"/>
      <c r="RQK186" s="89"/>
      <c r="RQM186" s="91"/>
      <c r="RQP186" s="89"/>
      <c r="RQR186" s="91"/>
      <c r="RQU186" s="89"/>
      <c r="RQW186" s="91"/>
      <c r="RQZ186" s="89"/>
      <c r="RRB186" s="91"/>
      <c r="RRE186" s="89"/>
      <c r="RRG186" s="91"/>
      <c r="RRJ186" s="89"/>
      <c r="RRL186" s="91"/>
      <c r="RRO186" s="89"/>
      <c r="RRQ186" s="91"/>
      <c r="RRT186" s="89"/>
      <c r="RRV186" s="91"/>
      <c r="RRY186" s="89"/>
      <c r="RSA186" s="91"/>
      <c r="RSD186" s="89"/>
      <c r="RSF186" s="91"/>
      <c r="RSI186" s="89"/>
      <c r="RSK186" s="91"/>
      <c r="RSN186" s="89"/>
      <c r="RSP186" s="91"/>
      <c r="RSS186" s="89"/>
      <c r="RSU186" s="91"/>
      <c r="RSX186" s="89"/>
      <c r="RSZ186" s="91"/>
      <c r="RTC186" s="89"/>
      <c r="RTE186" s="91"/>
      <c r="RTH186" s="89"/>
      <c r="RTJ186" s="91"/>
      <c r="RTM186" s="89"/>
      <c r="RTO186" s="91"/>
      <c r="RTR186" s="89"/>
      <c r="RTT186" s="91"/>
      <c r="RTW186" s="89"/>
      <c r="RTY186" s="91"/>
      <c r="RUB186" s="89"/>
      <c r="RUD186" s="91"/>
      <c r="RUG186" s="89"/>
      <c r="RUI186" s="91"/>
      <c r="RUL186" s="89"/>
      <c r="RUN186" s="91"/>
      <c r="RUQ186" s="89"/>
      <c r="RUS186" s="91"/>
      <c r="RUV186" s="89"/>
      <c r="RUX186" s="91"/>
      <c r="RVA186" s="89"/>
      <c r="RVC186" s="91"/>
      <c r="RVF186" s="89"/>
      <c r="RVH186" s="91"/>
      <c r="RVK186" s="89"/>
      <c r="RVM186" s="91"/>
      <c r="RVP186" s="89"/>
      <c r="RVR186" s="91"/>
      <c r="RVU186" s="89"/>
      <c r="RVW186" s="91"/>
      <c r="RVZ186" s="89"/>
      <c r="RWB186" s="91"/>
      <c r="RWE186" s="89"/>
      <c r="RWG186" s="91"/>
      <c r="RWJ186" s="89"/>
      <c r="RWL186" s="91"/>
      <c r="RWO186" s="89"/>
      <c r="RWQ186" s="91"/>
      <c r="RWT186" s="89"/>
      <c r="RWV186" s="91"/>
      <c r="RWY186" s="89"/>
      <c r="RXA186" s="91"/>
      <c r="RXD186" s="89"/>
      <c r="RXF186" s="91"/>
      <c r="RXI186" s="89"/>
      <c r="RXK186" s="91"/>
      <c r="RXN186" s="89"/>
      <c r="RXP186" s="91"/>
      <c r="RXS186" s="89"/>
      <c r="RXU186" s="91"/>
      <c r="RXX186" s="89"/>
      <c r="RXZ186" s="91"/>
      <c r="RYC186" s="89"/>
      <c r="RYE186" s="91"/>
      <c r="RYH186" s="89"/>
      <c r="RYJ186" s="91"/>
      <c r="RYM186" s="89"/>
      <c r="RYO186" s="91"/>
      <c r="RYR186" s="89"/>
      <c r="RYT186" s="91"/>
      <c r="RYW186" s="89"/>
      <c r="RYY186" s="91"/>
      <c r="RZB186" s="89"/>
      <c r="RZD186" s="91"/>
      <c r="RZG186" s="89"/>
      <c r="RZI186" s="91"/>
      <c r="RZL186" s="89"/>
      <c r="RZN186" s="91"/>
      <c r="RZQ186" s="89"/>
      <c r="RZS186" s="91"/>
      <c r="RZV186" s="89"/>
      <c r="RZX186" s="91"/>
      <c r="SAA186" s="89"/>
      <c r="SAC186" s="91"/>
      <c r="SAF186" s="89"/>
      <c r="SAH186" s="91"/>
      <c r="SAK186" s="89"/>
      <c r="SAM186" s="91"/>
      <c r="SAP186" s="89"/>
      <c r="SAR186" s="91"/>
      <c r="SAU186" s="89"/>
      <c r="SAW186" s="91"/>
      <c r="SAZ186" s="89"/>
      <c r="SBB186" s="91"/>
      <c r="SBE186" s="89"/>
      <c r="SBG186" s="91"/>
      <c r="SBJ186" s="89"/>
      <c r="SBL186" s="91"/>
      <c r="SBO186" s="89"/>
      <c r="SBQ186" s="91"/>
      <c r="SBT186" s="89"/>
      <c r="SBV186" s="91"/>
      <c r="SBY186" s="89"/>
      <c r="SCA186" s="91"/>
      <c r="SCD186" s="89"/>
      <c r="SCF186" s="91"/>
      <c r="SCI186" s="89"/>
      <c r="SCK186" s="91"/>
      <c r="SCN186" s="89"/>
      <c r="SCP186" s="91"/>
      <c r="SCS186" s="89"/>
      <c r="SCU186" s="91"/>
      <c r="SCX186" s="89"/>
      <c r="SCZ186" s="91"/>
      <c r="SDC186" s="89"/>
      <c r="SDE186" s="91"/>
      <c r="SDH186" s="89"/>
      <c r="SDJ186" s="91"/>
      <c r="SDM186" s="89"/>
      <c r="SDO186" s="91"/>
      <c r="SDR186" s="89"/>
      <c r="SDT186" s="91"/>
      <c r="SDW186" s="89"/>
      <c r="SDY186" s="91"/>
      <c r="SEB186" s="89"/>
      <c r="SED186" s="91"/>
      <c r="SEG186" s="89"/>
      <c r="SEI186" s="91"/>
      <c r="SEL186" s="89"/>
      <c r="SEN186" s="91"/>
      <c r="SEQ186" s="89"/>
      <c r="SES186" s="91"/>
      <c r="SEV186" s="89"/>
      <c r="SEX186" s="91"/>
      <c r="SFA186" s="89"/>
      <c r="SFC186" s="91"/>
      <c r="SFF186" s="89"/>
      <c r="SFH186" s="91"/>
      <c r="SFK186" s="89"/>
      <c r="SFM186" s="91"/>
      <c r="SFP186" s="89"/>
      <c r="SFR186" s="91"/>
      <c r="SFU186" s="89"/>
      <c r="SFW186" s="91"/>
      <c r="SFZ186" s="89"/>
      <c r="SGB186" s="91"/>
      <c r="SGE186" s="89"/>
      <c r="SGG186" s="91"/>
      <c r="SGJ186" s="89"/>
      <c r="SGL186" s="91"/>
      <c r="SGO186" s="89"/>
      <c r="SGQ186" s="91"/>
      <c r="SGT186" s="89"/>
      <c r="SGV186" s="91"/>
      <c r="SGY186" s="89"/>
      <c r="SHA186" s="91"/>
      <c r="SHD186" s="89"/>
      <c r="SHF186" s="91"/>
      <c r="SHI186" s="89"/>
      <c r="SHK186" s="91"/>
      <c r="SHN186" s="89"/>
      <c r="SHP186" s="91"/>
      <c r="SHS186" s="89"/>
      <c r="SHU186" s="91"/>
      <c r="SHX186" s="89"/>
      <c r="SHZ186" s="91"/>
      <c r="SIC186" s="89"/>
      <c r="SIE186" s="91"/>
      <c r="SIH186" s="89"/>
      <c r="SIJ186" s="91"/>
      <c r="SIM186" s="89"/>
      <c r="SIO186" s="91"/>
      <c r="SIR186" s="89"/>
      <c r="SIT186" s="91"/>
      <c r="SIW186" s="89"/>
      <c r="SIY186" s="91"/>
      <c r="SJB186" s="89"/>
      <c r="SJD186" s="91"/>
      <c r="SJG186" s="89"/>
      <c r="SJI186" s="91"/>
      <c r="SJL186" s="89"/>
      <c r="SJN186" s="91"/>
      <c r="SJQ186" s="89"/>
      <c r="SJS186" s="91"/>
      <c r="SJV186" s="89"/>
      <c r="SJX186" s="91"/>
      <c r="SKA186" s="89"/>
      <c r="SKC186" s="91"/>
      <c r="SKF186" s="89"/>
      <c r="SKH186" s="91"/>
      <c r="SKK186" s="89"/>
      <c r="SKM186" s="91"/>
      <c r="SKP186" s="89"/>
      <c r="SKR186" s="91"/>
      <c r="SKU186" s="89"/>
      <c r="SKW186" s="91"/>
      <c r="SKZ186" s="89"/>
      <c r="SLB186" s="91"/>
      <c r="SLE186" s="89"/>
      <c r="SLG186" s="91"/>
      <c r="SLJ186" s="89"/>
      <c r="SLL186" s="91"/>
      <c r="SLO186" s="89"/>
      <c r="SLQ186" s="91"/>
      <c r="SLT186" s="89"/>
      <c r="SLV186" s="91"/>
      <c r="SLY186" s="89"/>
      <c r="SMA186" s="91"/>
      <c r="SMD186" s="89"/>
      <c r="SMF186" s="91"/>
      <c r="SMI186" s="89"/>
      <c r="SMK186" s="91"/>
      <c r="SMN186" s="89"/>
      <c r="SMP186" s="91"/>
      <c r="SMS186" s="89"/>
      <c r="SMU186" s="91"/>
      <c r="SMX186" s="89"/>
      <c r="SMZ186" s="91"/>
      <c r="SNC186" s="89"/>
      <c r="SNE186" s="91"/>
      <c r="SNH186" s="89"/>
      <c r="SNJ186" s="91"/>
      <c r="SNM186" s="89"/>
      <c r="SNO186" s="91"/>
      <c r="SNR186" s="89"/>
      <c r="SNT186" s="91"/>
      <c r="SNW186" s="89"/>
      <c r="SNY186" s="91"/>
      <c r="SOB186" s="89"/>
      <c r="SOD186" s="91"/>
      <c r="SOG186" s="89"/>
      <c r="SOI186" s="91"/>
      <c r="SOL186" s="89"/>
      <c r="SON186" s="91"/>
      <c r="SOQ186" s="89"/>
      <c r="SOS186" s="91"/>
      <c r="SOV186" s="89"/>
      <c r="SOX186" s="91"/>
      <c r="SPA186" s="89"/>
      <c r="SPC186" s="91"/>
      <c r="SPF186" s="89"/>
      <c r="SPH186" s="91"/>
      <c r="SPK186" s="89"/>
      <c r="SPM186" s="91"/>
      <c r="SPP186" s="89"/>
      <c r="SPR186" s="91"/>
      <c r="SPU186" s="89"/>
      <c r="SPW186" s="91"/>
      <c r="SPZ186" s="89"/>
      <c r="SQB186" s="91"/>
      <c r="SQE186" s="89"/>
      <c r="SQG186" s="91"/>
      <c r="SQJ186" s="89"/>
      <c r="SQL186" s="91"/>
      <c r="SQO186" s="89"/>
      <c r="SQQ186" s="91"/>
      <c r="SQT186" s="89"/>
      <c r="SQV186" s="91"/>
      <c r="SQY186" s="89"/>
      <c r="SRA186" s="91"/>
      <c r="SRD186" s="89"/>
      <c r="SRF186" s="91"/>
      <c r="SRI186" s="89"/>
      <c r="SRK186" s="91"/>
      <c r="SRN186" s="89"/>
      <c r="SRP186" s="91"/>
      <c r="SRS186" s="89"/>
      <c r="SRU186" s="91"/>
      <c r="SRX186" s="89"/>
      <c r="SRZ186" s="91"/>
      <c r="SSC186" s="89"/>
      <c r="SSE186" s="91"/>
      <c r="SSH186" s="89"/>
      <c r="SSJ186" s="91"/>
      <c r="SSM186" s="89"/>
      <c r="SSO186" s="91"/>
      <c r="SSR186" s="89"/>
      <c r="SST186" s="91"/>
      <c r="SSW186" s="89"/>
      <c r="SSY186" s="91"/>
      <c r="STB186" s="89"/>
      <c r="STD186" s="91"/>
      <c r="STG186" s="89"/>
      <c r="STI186" s="91"/>
      <c r="STL186" s="89"/>
      <c r="STN186" s="91"/>
      <c r="STQ186" s="89"/>
      <c r="STS186" s="91"/>
      <c r="STV186" s="89"/>
      <c r="STX186" s="91"/>
      <c r="SUA186" s="89"/>
      <c r="SUC186" s="91"/>
      <c r="SUF186" s="89"/>
      <c r="SUH186" s="91"/>
      <c r="SUK186" s="89"/>
      <c r="SUM186" s="91"/>
      <c r="SUP186" s="89"/>
      <c r="SUR186" s="91"/>
      <c r="SUU186" s="89"/>
      <c r="SUW186" s="91"/>
      <c r="SUZ186" s="89"/>
      <c r="SVB186" s="91"/>
      <c r="SVE186" s="89"/>
      <c r="SVG186" s="91"/>
      <c r="SVJ186" s="89"/>
      <c r="SVL186" s="91"/>
      <c r="SVO186" s="89"/>
      <c r="SVQ186" s="91"/>
      <c r="SVT186" s="89"/>
      <c r="SVV186" s="91"/>
      <c r="SVY186" s="89"/>
      <c r="SWA186" s="91"/>
      <c r="SWD186" s="89"/>
      <c r="SWF186" s="91"/>
      <c r="SWI186" s="89"/>
      <c r="SWK186" s="91"/>
      <c r="SWN186" s="89"/>
      <c r="SWP186" s="91"/>
      <c r="SWS186" s="89"/>
      <c r="SWU186" s="91"/>
      <c r="SWX186" s="89"/>
      <c r="SWZ186" s="91"/>
      <c r="SXC186" s="89"/>
      <c r="SXE186" s="91"/>
      <c r="SXH186" s="89"/>
      <c r="SXJ186" s="91"/>
      <c r="SXM186" s="89"/>
      <c r="SXO186" s="91"/>
      <c r="SXR186" s="89"/>
      <c r="SXT186" s="91"/>
      <c r="SXW186" s="89"/>
      <c r="SXY186" s="91"/>
      <c r="SYB186" s="89"/>
      <c r="SYD186" s="91"/>
      <c r="SYG186" s="89"/>
      <c r="SYI186" s="91"/>
      <c r="SYL186" s="89"/>
      <c r="SYN186" s="91"/>
      <c r="SYQ186" s="89"/>
      <c r="SYS186" s="91"/>
      <c r="SYV186" s="89"/>
      <c r="SYX186" s="91"/>
      <c r="SZA186" s="89"/>
      <c r="SZC186" s="91"/>
      <c r="SZF186" s="89"/>
      <c r="SZH186" s="91"/>
      <c r="SZK186" s="89"/>
      <c r="SZM186" s="91"/>
      <c r="SZP186" s="89"/>
      <c r="SZR186" s="91"/>
      <c r="SZU186" s="89"/>
      <c r="SZW186" s="91"/>
      <c r="SZZ186" s="89"/>
      <c r="TAB186" s="91"/>
      <c r="TAE186" s="89"/>
      <c r="TAG186" s="91"/>
      <c r="TAJ186" s="89"/>
      <c r="TAL186" s="91"/>
      <c r="TAO186" s="89"/>
      <c r="TAQ186" s="91"/>
      <c r="TAT186" s="89"/>
      <c r="TAV186" s="91"/>
      <c r="TAY186" s="89"/>
      <c r="TBA186" s="91"/>
      <c r="TBD186" s="89"/>
      <c r="TBF186" s="91"/>
      <c r="TBI186" s="89"/>
      <c r="TBK186" s="91"/>
      <c r="TBN186" s="89"/>
      <c r="TBP186" s="91"/>
      <c r="TBS186" s="89"/>
      <c r="TBU186" s="91"/>
      <c r="TBX186" s="89"/>
      <c r="TBZ186" s="91"/>
      <c r="TCC186" s="89"/>
      <c r="TCE186" s="91"/>
      <c r="TCH186" s="89"/>
      <c r="TCJ186" s="91"/>
      <c r="TCM186" s="89"/>
      <c r="TCO186" s="91"/>
      <c r="TCR186" s="89"/>
      <c r="TCT186" s="91"/>
      <c r="TCW186" s="89"/>
      <c r="TCY186" s="91"/>
      <c r="TDB186" s="89"/>
      <c r="TDD186" s="91"/>
      <c r="TDG186" s="89"/>
      <c r="TDI186" s="91"/>
      <c r="TDL186" s="89"/>
      <c r="TDN186" s="91"/>
      <c r="TDQ186" s="89"/>
      <c r="TDS186" s="91"/>
      <c r="TDV186" s="89"/>
      <c r="TDX186" s="91"/>
      <c r="TEA186" s="89"/>
      <c r="TEC186" s="91"/>
      <c r="TEF186" s="89"/>
      <c r="TEH186" s="91"/>
      <c r="TEK186" s="89"/>
      <c r="TEM186" s="91"/>
      <c r="TEP186" s="89"/>
      <c r="TER186" s="91"/>
      <c r="TEU186" s="89"/>
      <c r="TEW186" s="91"/>
      <c r="TEZ186" s="89"/>
      <c r="TFB186" s="91"/>
      <c r="TFE186" s="89"/>
      <c r="TFG186" s="91"/>
      <c r="TFJ186" s="89"/>
      <c r="TFL186" s="91"/>
      <c r="TFO186" s="89"/>
      <c r="TFQ186" s="91"/>
      <c r="TFT186" s="89"/>
      <c r="TFV186" s="91"/>
      <c r="TFY186" s="89"/>
      <c r="TGA186" s="91"/>
      <c r="TGD186" s="89"/>
      <c r="TGF186" s="91"/>
      <c r="TGI186" s="89"/>
      <c r="TGK186" s="91"/>
      <c r="TGN186" s="89"/>
      <c r="TGP186" s="91"/>
      <c r="TGS186" s="89"/>
      <c r="TGU186" s="91"/>
      <c r="TGX186" s="89"/>
      <c r="TGZ186" s="91"/>
      <c r="THC186" s="89"/>
      <c r="THE186" s="91"/>
      <c r="THH186" s="89"/>
      <c r="THJ186" s="91"/>
      <c r="THM186" s="89"/>
      <c r="THO186" s="91"/>
      <c r="THR186" s="89"/>
      <c r="THT186" s="91"/>
      <c r="THW186" s="89"/>
      <c r="THY186" s="91"/>
      <c r="TIB186" s="89"/>
      <c r="TID186" s="91"/>
      <c r="TIG186" s="89"/>
      <c r="TII186" s="91"/>
      <c r="TIL186" s="89"/>
      <c r="TIN186" s="91"/>
      <c r="TIQ186" s="89"/>
      <c r="TIS186" s="91"/>
      <c r="TIV186" s="89"/>
      <c r="TIX186" s="91"/>
      <c r="TJA186" s="89"/>
      <c r="TJC186" s="91"/>
      <c r="TJF186" s="89"/>
      <c r="TJH186" s="91"/>
      <c r="TJK186" s="89"/>
      <c r="TJM186" s="91"/>
      <c r="TJP186" s="89"/>
      <c r="TJR186" s="91"/>
      <c r="TJU186" s="89"/>
      <c r="TJW186" s="91"/>
      <c r="TJZ186" s="89"/>
      <c r="TKB186" s="91"/>
      <c r="TKE186" s="89"/>
      <c r="TKG186" s="91"/>
      <c r="TKJ186" s="89"/>
      <c r="TKL186" s="91"/>
      <c r="TKO186" s="89"/>
      <c r="TKQ186" s="91"/>
      <c r="TKT186" s="89"/>
      <c r="TKV186" s="91"/>
      <c r="TKY186" s="89"/>
      <c r="TLA186" s="91"/>
      <c r="TLD186" s="89"/>
      <c r="TLF186" s="91"/>
      <c r="TLI186" s="89"/>
      <c r="TLK186" s="91"/>
      <c r="TLN186" s="89"/>
      <c r="TLP186" s="91"/>
      <c r="TLS186" s="89"/>
      <c r="TLU186" s="91"/>
      <c r="TLX186" s="89"/>
      <c r="TLZ186" s="91"/>
      <c r="TMC186" s="89"/>
      <c r="TME186" s="91"/>
      <c r="TMH186" s="89"/>
      <c r="TMJ186" s="91"/>
      <c r="TMM186" s="89"/>
      <c r="TMO186" s="91"/>
      <c r="TMR186" s="89"/>
      <c r="TMT186" s="91"/>
      <c r="TMW186" s="89"/>
      <c r="TMY186" s="91"/>
      <c r="TNB186" s="89"/>
      <c r="TND186" s="91"/>
      <c r="TNG186" s="89"/>
      <c r="TNI186" s="91"/>
      <c r="TNL186" s="89"/>
      <c r="TNN186" s="91"/>
      <c r="TNQ186" s="89"/>
      <c r="TNS186" s="91"/>
      <c r="TNV186" s="89"/>
      <c r="TNX186" s="91"/>
      <c r="TOA186" s="89"/>
      <c r="TOC186" s="91"/>
      <c r="TOF186" s="89"/>
      <c r="TOH186" s="91"/>
      <c r="TOK186" s="89"/>
      <c r="TOM186" s="91"/>
      <c r="TOP186" s="89"/>
      <c r="TOR186" s="91"/>
      <c r="TOU186" s="89"/>
      <c r="TOW186" s="91"/>
      <c r="TOZ186" s="89"/>
      <c r="TPB186" s="91"/>
      <c r="TPE186" s="89"/>
      <c r="TPG186" s="91"/>
      <c r="TPJ186" s="89"/>
      <c r="TPL186" s="91"/>
      <c r="TPO186" s="89"/>
      <c r="TPQ186" s="91"/>
      <c r="TPT186" s="89"/>
      <c r="TPV186" s="91"/>
      <c r="TPY186" s="89"/>
      <c r="TQA186" s="91"/>
      <c r="TQD186" s="89"/>
      <c r="TQF186" s="91"/>
      <c r="TQI186" s="89"/>
      <c r="TQK186" s="91"/>
      <c r="TQN186" s="89"/>
      <c r="TQP186" s="91"/>
      <c r="TQS186" s="89"/>
      <c r="TQU186" s="91"/>
      <c r="TQX186" s="89"/>
      <c r="TQZ186" s="91"/>
      <c r="TRC186" s="89"/>
      <c r="TRE186" s="91"/>
      <c r="TRH186" s="89"/>
      <c r="TRJ186" s="91"/>
      <c r="TRM186" s="89"/>
      <c r="TRO186" s="91"/>
      <c r="TRR186" s="89"/>
      <c r="TRT186" s="91"/>
      <c r="TRW186" s="89"/>
      <c r="TRY186" s="91"/>
      <c r="TSB186" s="89"/>
      <c r="TSD186" s="91"/>
      <c r="TSG186" s="89"/>
      <c r="TSI186" s="91"/>
      <c r="TSL186" s="89"/>
      <c r="TSN186" s="91"/>
      <c r="TSQ186" s="89"/>
      <c r="TSS186" s="91"/>
      <c r="TSV186" s="89"/>
      <c r="TSX186" s="91"/>
      <c r="TTA186" s="89"/>
      <c r="TTC186" s="91"/>
      <c r="TTF186" s="89"/>
      <c r="TTH186" s="91"/>
      <c r="TTK186" s="89"/>
      <c r="TTM186" s="91"/>
      <c r="TTP186" s="89"/>
      <c r="TTR186" s="91"/>
      <c r="TTU186" s="89"/>
      <c r="TTW186" s="91"/>
      <c r="TTZ186" s="89"/>
      <c r="TUB186" s="91"/>
      <c r="TUE186" s="89"/>
      <c r="TUG186" s="91"/>
      <c r="TUJ186" s="89"/>
      <c r="TUL186" s="91"/>
      <c r="TUO186" s="89"/>
      <c r="TUQ186" s="91"/>
      <c r="TUT186" s="89"/>
      <c r="TUV186" s="91"/>
      <c r="TUY186" s="89"/>
      <c r="TVA186" s="91"/>
      <c r="TVD186" s="89"/>
      <c r="TVF186" s="91"/>
      <c r="TVI186" s="89"/>
      <c r="TVK186" s="91"/>
      <c r="TVN186" s="89"/>
      <c r="TVP186" s="91"/>
      <c r="TVS186" s="89"/>
      <c r="TVU186" s="91"/>
      <c r="TVX186" s="89"/>
      <c r="TVZ186" s="91"/>
      <c r="TWC186" s="89"/>
      <c r="TWE186" s="91"/>
      <c r="TWH186" s="89"/>
      <c r="TWJ186" s="91"/>
      <c r="TWM186" s="89"/>
      <c r="TWO186" s="91"/>
      <c r="TWR186" s="89"/>
      <c r="TWT186" s="91"/>
      <c r="TWW186" s="89"/>
      <c r="TWY186" s="91"/>
      <c r="TXB186" s="89"/>
      <c r="TXD186" s="91"/>
      <c r="TXG186" s="89"/>
      <c r="TXI186" s="91"/>
      <c r="TXL186" s="89"/>
      <c r="TXN186" s="91"/>
      <c r="TXQ186" s="89"/>
      <c r="TXS186" s="91"/>
      <c r="TXV186" s="89"/>
      <c r="TXX186" s="91"/>
      <c r="TYA186" s="89"/>
      <c r="TYC186" s="91"/>
      <c r="TYF186" s="89"/>
      <c r="TYH186" s="91"/>
      <c r="TYK186" s="89"/>
      <c r="TYM186" s="91"/>
      <c r="TYP186" s="89"/>
      <c r="TYR186" s="91"/>
      <c r="TYU186" s="89"/>
      <c r="TYW186" s="91"/>
      <c r="TYZ186" s="89"/>
      <c r="TZB186" s="91"/>
      <c r="TZE186" s="89"/>
      <c r="TZG186" s="91"/>
      <c r="TZJ186" s="89"/>
      <c r="TZL186" s="91"/>
      <c r="TZO186" s="89"/>
      <c r="TZQ186" s="91"/>
      <c r="TZT186" s="89"/>
      <c r="TZV186" s="91"/>
      <c r="TZY186" s="89"/>
      <c r="UAA186" s="91"/>
      <c r="UAD186" s="89"/>
      <c r="UAF186" s="91"/>
      <c r="UAI186" s="89"/>
      <c r="UAK186" s="91"/>
      <c r="UAN186" s="89"/>
      <c r="UAP186" s="91"/>
      <c r="UAS186" s="89"/>
      <c r="UAU186" s="91"/>
      <c r="UAX186" s="89"/>
      <c r="UAZ186" s="91"/>
      <c r="UBC186" s="89"/>
      <c r="UBE186" s="91"/>
      <c r="UBH186" s="89"/>
      <c r="UBJ186" s="91"/>
      <c r="UBM186" s="89"/>
      <c r="UBO186" s="91"/>
      <c r="UBR186" s="89"/>
      <c r="UBT186" s="91"/>
      <c r="UBW186" s="89"/>
      <c r="UBY186" s="91"/>
      <c r="UCB186" s="89"/>
      <c r="UCD186" s="91"/>
      <c r="UCG186" s="89"/>
      <c r="UCI186" s="91"/>
      <c r="UCL186" s="89"/>
      <c r="UCN186" s="91"/>
      <c r="UCQ186" s="89"/>
      <c r="UCS186" s="91"/>
      <c r="UCV186" s="89"/>
      <c r="UCX186" s="91"/>
      <c r="UDA186" s="89"/>
      <c r="UDC186" s="91"/>
      <c r="UDF186" s="89"/>
      <c r="UDH186" s="91"/>
      <c r="UDK186" s="89"/>
      <c r="UDM186" s="91"/>
      <c r="UDP186" s="89"/>
      <c r="UDR186" s="91"/>
      <c r="UDU186" s="89"/>
      <c r="UDW186" s="91"/>
      <c r="UDZ186" s="89"/>
      <c r="UEB186" s="91"/>
      <c r="UEE186" s="89"/>
      <c r="UEG186" s="91"/>
      <c r="UEJ186" s="89"/>
      <c r="UEL186" s="91"/>
      <c r="UEO186" s="89"/>
      <c r="UEQ186" s="91"/>
      <c r="UET186" s="89"/>
      <c r="UEV186" s="91"/>
      <c r="UEY186" s="89"/>
      <c r="UFA186" s="91"/>
      <c r="UFD186" s="89"/>
      <c r="UFF186" s="91"/>
      <c r="UFI186" s="89"/>
      <c r="UFK186" s="91"/>
      <c r="UFN186" s="89"/>
      <c r="UFP186" s="91"/>
      <c r="UFS186" s="89"/>
      <c r="UFU186" s="91"/>
      <c r="UFX186" s="89"/>
      <c r="UFZ186" s="91"/>
      <c r="UGC186" s="89"/>
      <c r="UGE186" s="91"/>
      <c r="UGH186" s="89"/>
      <c r="UGJ186" s="91"/>
      <c r="UGM186" s="89"/>
      <c r="UGO186" s="91"/>
      <c r="UGR186" s="89"/>
      <c r="UGT186" s="91"/>
      <c r="UGW186" s="89"/>
      <c r="UGY186" s="91"/>
      <c r="UHB186" s="89"/>
      <c r="UHD186" s="91"/>
      <c r="UHG186" s="89"/>
      <c r="UHI186" s="91"/>
      <c r="UHL186" s="89"/>
      <c r="UHN186" s="91"/>
      <c r="UHQ186" s="89"/>
      <c r="UHS186" s="91"/>
      <c r="UHV186" s="89"/>
      <c r="UHX186" s="91"/>
      <c r="UIA186" s="89"/>
      <c r="UIC186" s="91"/>
      <c r="UIF186" s="89"/>
      <c r="UIH186" s="91"/>
      <c r="UIK186" s="89"/>
      <c r="UIM186" s="91"/>
      <c r="UIP186" s="89"/>
      <c r="UIR186" s="91"/>
      <c r="UIU186" s="89"/>
      <c r="UIW186" s="91"/>
      <c r="UIZ186" s="89"/>
      <c r="UJB186" s="91"/>
      <c r="UJE186" s="89"/>
      <c r="UJG186" s="91"/>
      <c r="UJJ186" s="89"/>
      <c r="UJL186" s="91"/>
      <c r="UJO186" s="89"/>
      <c r="UJQ186" s="91"/>
      <c r="UJT186" s="89"/>
      <c r="UJV186" s="91"/>
      <c r="UJY186" s="89"/>
      <c r="UKA186" s="91"/>
      <c r="UKD186" s="89"/>
      <c r="UKF186" s="91"/>
      <c r="UKI186" s="89"/>
      <c r="UKK186" s="91"/>
      <c r="UKN186" s="89"/>
      <c r="UKP186" s="91"/>
      <c r="UKS186" s="89"/>
      <c r="UKU186" s="91"/>
      <c r="UKX186" s="89"/>
      <c r="UKZ186" s="91"/>
      <c r="ULC186" s="89"/>
      <c r="ULE186" s="91"/>
      <c r="ULH186" s="89"/>
      <c r="ULJ186" s="91"/>
      <c r="ULM186" s="89"/>
      <c r="ULO186" s="91"/>
      <c r="ULR186" s="89"/>
      <c r="ULT186" s="91"/>
      <c r="ULW186" s="89"/>
      <c r="ULY186" s="91"/>
      <c r="UMB186" s="89"/>
      <c r="UMD186" s="91"/>
      <c r="UMG186" s="89"/>
      <c r="UMI186" s="91"/>
      <c r="UML186" s="89"/>
      <c r="UMN186" s="91"/>
      <c r="UMQ186" s="89"/>
      <c r="UMS186" s="91"/>
      <c r="UMV186" s="89"/>
      <c r="UMX186" s="91"/>
      <c r="UNA186" s="89"/>
      <c r="UNC186" s="91"/>
      <c r="UNF186" s="89"/>
      <c r="UNH186" s="91"/>
      <c r="UNK186" s="89"/>
      <c r="UNM186" s="91"/>
      <c r="UNP186" s="89"/>
      <c r="UNR186" s="91"/>
      <c r="UNU186" s="89"/>
      <c r="UNW186" s="91"/>
      <c r="UNZ186" s="89"/>
      <c r="UOB186" s="91"/>
      <c r="UOE186" s="89"/>
      <c r="UOG186" s="91"/>
      <c r="UOJ186" s="89"/>
      <c r="UOL186" s="91"/>
      <c r="UOO186" s="89"/>
      <c r="UOQ186" s="91"/>
      <c r="UOT186" s="89"/>
      <c r="UOV186" s="91"/>
      <c r="UOY186" s="89"/>
      <c r="UPA186" s="91"/>
      <c r="UPD186" s="89"/>
      <c r="UPF186" s="91"/>
      <c r="UPI186" s="89"/>
      <c r="UPK186" s="91"/>
      <c r="UPN186" s="89"/>
      <c r="UPP186" s="91"/>
      <c r="UPS186" s="89"/>
      <c r="UPU186" s="91"/>
      <c r="UPX186" s="89"/>
      <c r="UPZ186" s="91"/>
      <c r="UQC186" s="89"/>
      <c r="UQE186" s="91"/>
      <c r="UQH186" s="89"/>
      <c r="UQJ186" s="91"/>
      <c r="UQM186" s="89"/>
      <c r="UQO186" s="91"/>
      <c r="UQR186" s="89"/>
      <c r="UQT186" s="91"/>
      <c r="UQW186" s="89"/>
      <c r="UQY186" s="91"/>
      <c r="URB186" s="89"/>
      <c r="URD186" s="91"/>
      <c r="URG186" s="89"/>
      <c r="URI186" s="91"/>
      <c r="URL186" s="89"/>
      <c r="URN186" s="91"/>
      <c r="URQ186" s="89"/>
      <c r="URS186" s="91"/>
      <c r="URV186" s="89"/>
      <c r="URX186" s="91"/>
      <c r="USA186" s="89"/>
      <c r="USC186" s="91"/>
      <c r="USF186" s="89"/>
      <c r="USH186" s="91"/>
      <c r="USK186" s="89"/>
      <c r="USM186" s="91"/>
      <c r="USP186" s="89"/>
      <c r="USR186" s="91"/>
      <c r="USU186" s="89"/>
      <c r="USW186" s="91"/>
      <c r="USZ186" s="89"/>
      <c r="UTB186" s="91"/>
      <c r="UTE186" s="89"/>
      <c r="UTG186" s="91"/>
      <c r="UTJ186" s="89"/>
      <c r="UTL186" s="91"/>
      <c r="UTO186" s="89"/>
      <c r="UTQ186" s="91"/>
      <c r="UTT186" s="89"/>
      <c r="UTV186" s="91"/>
      <c r="UTY186" s="89"/>
      <c r="UUA186" s="91"/>
      <c r="UUD186" s="89"/>
      <c r="UUF186" s="91"/>
      <c r="UUI186" s="89"/>
      <c r="UUK186" s="91"/>
      <c r="UUN186" s="89"/>
      <c r="UUP186" s="91"/>
      <c r="UUS186" s="89"/>
      <c r="UUU186" s="91"/>
      <c r="UUX186" s="89"/>
      <c r="UUZ186" s="91"/>
      <c r="UVC186" s="89"/>
      <c r="UVE186" s="91"/>
      <c r="UVH186" s="89"/>
      <c r="UVJ186" s="91"/>
      <c r="UVM186" s="89"/>
      <c r="UVO186" s="91"/>
      <c r="UVR186" s="89"/>
      <c r="UVT186" s="91"/>
      <c r="UVW186" s="89"/>
      <c r="UVY186" s="91"/>
      <c r="UWB186" s="89"/>
      <c r="UWD186" s="91"/>
      <c r="UWG186" s="89"/>
      <c r="UWI186" s="91"/>
      <c r="UWL186" s="89"/>
      <c r="UWN186" s="91"/>
      <c r="UWQ186" s="89"/>
      <c r="UWS186" s="91"/>
      <c r="UWV186" s="89"/>
      <c r="UWX186" s="91"/>
      <c r="UXA186" s="89"/>
      <c r="UXC186" s="91"/>
      <c r="UXF186" s="89"/>
      <c r="UXH186" s="91"/>
      <c r="UXK186" s="89"/>
      <c r="UXM186" s="91"/>
      <c r="UXP186" s="89"/>
      <c r="UXR186" s="91"/>
      <c r="UXU186" s="89"/>
      <c r="UXW186" s="91"/>
      <c r="UXZ186" s="89"/>
      <c r="UYB186" s="91"/>
      <c r="UYE186" s="89"/>
      <c r="UYG186" s="91"/>
      <c r="UYJ186" s="89"/>
      <c r="UYL186" s="91"/>
      <c r="UYO186" s="89"/>
      <c r="UYQ186" s="91"/>
      <c r="UYT186" s="89"/>
      <c r="UYV186" s="91"/>
      <c r="UYY186" s="89"/>
      <c r="UZA186" s="91"/>
      <c r="UZD186" s="89"/>
      <c r="UZF186" s="91"/>
      <c r="UZI186" s="89"/>
      <c r="UZK186" s="91"/>
      <c r="UZN186" s="89"/>
      <c r="UZP186" s="91"/>
      <c r="UZS186" s="89"/>
      <c r="UZU186" s="91"/>
      <c r="UZX186" s="89"/>
      <c r="UZZ186" s="91"/>
      <c r="VAC186" s="89"/>
      <c r="VAE186" s="91"/>
      <c r="VAH186" s="89"/>
      <c r="VAJ186" s="91"/>
      <c r="VAM186" s="89"/>
      <c r="VAO186" s="91"/>
      <c r="VAR186" s="89"/>
      <c r="VAT186" s="91"/>
      <c r="VAW186" s="89"/>
      <c r="VAY186" s="91"/>
      <c r="VBB186" s="89"/>
      <c r="VBD186" s="91"/>
      <c r="VBG186" s="89"/>
      <c r="VBI186" s="91"/>
      <c r="VBL186" s="89"/>
      <c r="VBN186" s="91"/>
      <c r="VBQ186" s="89"/>
      <c r="VBS186" s="91"/>
      <c r="VBV186" s="89"/>
      <c r="VBX186" s="91"/>
      <c r="VCA186" s="89"/>
      <c r="VCC186" s="91"/>
      <c r="VCF186" s="89"/>
      <c r="VCH186" s="91"/>
      <c r="VCK186" s="89"/>
      <c r="VCM186" s="91"/>
      <c r="VCP186" s="89"/>
      <c r="VCR186" s="91"/>
      <c r="VCU186" s="89"/>
      <c r="VCW186" s="91"/>
      <c r="VCZ186" s="89"/>
      <c r="VDB186" s="91"/>
      <c r="VDE186" s="89"/>
      <c r="VDG186" s="91"/>
      <c r="VDJ186" s="89"/>
      <c r="VDL186" s="91"/>
      <c r="VDO186" s="89"/>
      <c r="VDQ186" s="91"/>
      <c r="VDT186" s="89"/>
      <c r="VDV186" s="91"/>
      <c r="VDY186" s="89"/>
      <c r="VEA186" s="91"/>
      <c r="VED186" s="89"/>
      <c r="VEF186" s="91"/>
      <c r="VEI186" s="89"/>
      <c r="VEK186" s="91"/>
      <c r="VEN186" s="89"/>
      <c r="VEP186" s="91"/>
      <c r="VES186" s="89"/>
      <c r="VEU186" s="91"/>
      <c r="VEX186" s="89"/>
      <c r="VEZ186" s="91"/>
      <c r="VFC186" s="89"/>
      <c r="VFE186" s="91"/>
      <c r="VFH186" s="89"/>
      <c r="VFJ186" s="91"/>
      <c r="VFM186" s="89"/>
      <c r="VFO186" s="91"/>
      <c r="VFR186" s="89"/>
      <c r="VFT186" s="91"/>
      <c r="VFW186" s="89"/>
      <c r="VFY186" s="91"/>
      <c r="VGB186" s="89"/>
      <c r="VGD186" s="91"/>
      <c r="VGG186" s="89"/>
      <c r="VGI186" s="91"/>
      <c r="VGL186" s="89"/>
      <c r="VGN186" s="91"/>
      <c r="VGQ186" s="89"/>
      <c r="VGS186" s="91"/>
      <c r="VGV186" s="89"/>
      <c r="VGX186" s="91"/>
      <c r="VHA186" s="89"/>
      <c r="VHC186" s="91"/>
      <c r="VHF186" s="89"/>
      <c r="VHH186" s="91"/>
      <c r="VHK186" s="89"/>
      <c r="VHM186" s="91"/>
      <c r="VHP186" s="89"/>
      <c r="VHR186" s="91"/>
      <c r="VHU186" s="89"/>
      <c r="VHW186" s="91"/>
      <c r="VHZ186" s="89"/>
      <c r="VIB186" s="91"/>
      <c r="VIE186" s="89"/>
      <c r="VIG186" s="91"/>
      <c r="VIJ186" s="89"/>
      <c r="VIL186" s="91"/>
      <c r="VIO186" s="89"/>
      <c r="VIQ186" s="91"/>
      <c r="VIT186" s="89"/>
      <c r="VIV186" s="91"/>
      <c r="VIY186" s="89"/>
      <c r="VJA186" s="91"/>
      <c r="VJD186" s="89"/>
      <c r="VJF186" s="91"/>
      <c r="VJI186" s="89"/>
      <c r="VJK186" s="91"/>
      <c r="VJN186" s="89"/>
      <c r="VJP186" s="91"/>
      <c r="VJS186" s="89"/>
      <c r="VJU186" s="91"/>
      <c r="VJX186" s="89"/>
      <c r="VJZ186" s="91"/>
      <c r="VKC186" s="89"/>
      <c r="VKE186" s="91"/>
      <c r="VKH186" s="89"/>
      <c r="VKJ186" s="91"/>
      <c r="VKM186" s="89"/>
      <c r="VKO186" s="91"/>
      <c r="VKR186" s="89"/>
      <c r="VKT186" s="91"/>
      <c r="VKW186" s="89"/>
      <c r="VKY186" s="91"/>
      <c r="VLB186" s="89"/>
      <c r="VLD186" s="91"/>
      <c r="VLG186" s="89"/>
      <c r="VLI186" s="91"/>
      <c r="VLL186" s="89"/>
      <c r="VLN186" s="91"/>
      <c r="VLQ186" s="89"/>
      <c r="VLS186" s="91"/>
      <c r="VLV186" s="89"/>
      <c r="VLX186" s="91"/>
      <c r="VMA186" s="89"/>
      <c r="VMC186" s="91"/>
      <c r="VMF186" s="89"/>
      <c r="VMH186" s="91"/>
      <c r="VMK186" s="89"/>
      <c r="VMM186" s="91"/>
      <c r="VMP186" s="89"/>
      <c r="VMR186" s="91"/>
      <c r="VMU186" s="89"/>
      <c r="VMW186" s="91"/>
      <c r="VMZ186" s="89"/>
      <c r="VNB186" s="91"/>
      <c r="VNE186" s="89"/>
      <c r="VNG186" s="91"/>
      <c r="VNJ186" s="89"/>
      <c r="VNL186" s="91"/>
      <c r="VNO186" s="89"/>
      <c r="VNQ186" s="91"/>
      <c r="VNT186" s="89"/>
      <c r="VNV186" s="91"/>
      <c r="VNY186" s="89"/>
      <c r="VOA186" s="91"/>
      <c r="VOD186" s="89"/>
      <c r="VOF186" s="91"/>
      <c r="VOI186" s="89"/>
      <c r="VOK186" s="91"/>
      <c r="VON186" s="89"/>
      <c r="VOP186" s="91"/>
      <c r="VOS186" s="89"/>
      <c r="VOU186" s="91"/>
      <c r="VOX186" s="89"/>
      <c r="VOZ186" s="91"/>
      <c r="VPC186" s="89"/>
      <c r="VPE186" s="91"/>
      <c r="VPH186" s="89"/>
      <c r="VPJ186" s="91"/>
      <c r="VPM186" s="89"/>
      <c r="VPO186" s="91"/>
      <c r="VPR186" s="89"/>
      <c r="VPT186" s="91"/>
      <c r="VPW186" s="89"/>
      <c r="VPY186" s="91"/>
      <c r="VQB186" s="89"/>
      <c r="VQD186" s="91"/>
      <c r="VQG186" s="89"/>
      <c r="VQI186" s="91"/>
      <c r="VQL186" s="89"/>
      <c r="VQN186" s="91"/>
      <c r="VQQ186" s="89"/>
      <c r="VQS186" s="91"/>
      <c r="VQV186" s="89"/>
      <c r="VQX186" s="91"/>
      <c r="VRA186" s="89"/>
      <c r="VRC186" s="91"/>
      <c r="VRF186" s="89"/>
      <c r="VRH186" s="91"/>
      <c r="VRK186" s="89"/>
      <c r="VRM186" s="91"/>
      <c r="VRP186" s="89"/>
      <c r="VRR186" s="91"/>
      <c r="VRU186" s="89"/>
      <c r="VRW186" s="91"/>
      <c r="VRZ186" s="89"/>
      <c r="VSB186" s="91"/>
      <c r="VSE186" s="89"/>
      <c r="VSG186" s="91"/>
      <c r="VSJ186" s="89"/>
      <c r="VSL186" s="91"/>
      <c r="VSO186" s="89"/>
      <c r="VSQ186" s="91"/>
      <c r="VST186" s="89"/>
      <c r="VSV186" s="91"/>
      <c r="VSY186" s="89"/>
      <c r="VTA186" s="91"/>
      <c r="VTD186" s="89"/>
      <c r="VTF186" s="91"/>
      <c r="VTI186" s="89"/>
      <c r="VTK186" s="91"/>
      <c r="VTN186" s="89"/>
      <c r="VTP186" s="91"/>
      <c r="VTS186" s="89"/>
      <c r="VTU186" s="91"/>
      <c r="VTX186" s="89"/>
      <c r="VTZ186" s="91"/>
      <c r="VUC186" s="89"/>
      <c r="VUE186" s="91"/>
      <c r="VUH186" s="89"/>
      <c r="VUJ186" s="91"/>
      <c r="VUM186" s="89"/>
      <c r="VUO186" s="91"/>
      <c r="VUR186" s="89"/>
      <c r="VUT186" s="91"/>
      <c r="VUW186" s="89"/>
      <c r="VUY186" s="91"/>
      <c r="VVB186" s="89"/>
      <c r="VVD186" s="91"/>
      <c r="VVG186" s="89"/>
      <c r="VVI186" s="91"/>
      <c r="VVL186" s="89"/>
      <c r="VVN186" s="91"/>
      <c r="VVQ186" s="89"/>
      <c r="VVS186" s="91"/>
      <c r="VVV186" s="89"/>
      <c r="VVX186" s="91"/>
      <c r="VWA186" s="89"/>
      <c r="VWC186" s="91"/>
      <c r="VWF186" s="89"/>
      <c r="VWH186" s="91"/>
      <c r="VWK186" s="89"/>
      <c r="VWM186" s="91"/>
      <c r="VWP186" s="89"/>
      <c r="VWR186" s="91"/>
      <c r="VWU186" s="89"/>
      <c r="VWW186" s="91"/>
      <c r="VWZ186" s="89"/>
      <c r="VXB186" s="91"/>
      <c r="VXE186" s="89"/>
      <c r="VXG186" s="91"/>
      <c r="VXJ186" s="89"/>
      <c r="VXL186" s="91"/>
      <c r="VXO186" s="89"/>
      <c r="VXQ186" s="91"/>
      <c r="VXT186" s="89"/>
      <c r="VXV186" s="91"/>
      <c r="VXY186" s="89"/>
      <c r="VYA186" s="91"/>
      <c r="VYD186" s="89"/>
      <c r="VYF186" s="91"/>
      <c r="VYI186" s="89"/>
      <c r="VYK186" s="91"/>
      <c r="VYN186" s="89"/>
      <c r="VYP186" s="91"/>
      <c r="VYS186" s="89"/>
      <c r="VYU186" s="91"/>
      <c r="VYX186" s="89"/>
      <c r="VYZ186" s="91"/>
      <c r="VZC186" s="89"/>
      <c r="VZE186" s="91"/>
      <c r="VZH186" s="89"/>
      <c r="VZJ186" s="91"/>
      <c r="VZM186" s="89"/>
      <c r="VZO186" s="91"/>
      <c r="VZR186" s="89"/>
      <c r="VZT186" s="91"/>
      <c r="VZW186" s="89"/>
      <c r="VZY186" s="91"/>
      <c r="WAB186" s="89"/>
      <c r="WAD186" s="91"/>
      <c r="WAG186" s="89"/>
      <c r="WAI186" s="91"/>
      <c r="WAL186" s="89"/>
      <c r="WAN186" s="91"/>
      <c r="WAQ186" s="89"/>
      <c r="WAS186" s="91"/>
      <c r="WAV186" s="89"/>
      <c r="WAX186" s="91"/>
      <c r="WBA186" s="89"/>
      <c r="WBC186" s="91"/>
      <c r="WBF186" s="89"/>
      <c r="WBH186" s="91"/>
      <c r="WBK186" s="89"/>
      <c r="WBM186" s="91"/>
      <c r="WBP186" s="89"/>
      <c r="WBR186" s="91"/>
      <c r="WBU186" s="89"/>
      <c r="WBW186" s="91"/>
      <c r="WBZ186" s="89"/>
      <c r="WCB186" s="91"/>
      <c r="WCE186" s="89"/>
      <c r="WCG186" s="91"/>
      <c r="WCJ186" s="89"/>
      <c r="WCL186" s="91"/>
      <c r="WCO186" s="89"/>
      <c r="WCQ186" s="91"/>
      <c r="WCT186" s="89"/>
      <c r="WCV186" s="91"/>
      <c r="WCY186" s="89"/>
      <c r="WDA186" s="91"/>
      <c r="WDD186" s="89"/>
      <c r="WDF186" s="91"/>
      <c r="WDI186" s="89"/>
      <c r="WDK186" s="91"/>
      <c r="WDN186" s="89"/>
      <c r="WDP186" s="91"/>
      <c r="WDS186" s="89"/>
      <c r="WDU186" s="91"/>
      <c r="WDX186" s="89"/>
      <c r="WDZ186" s="91"/>
      <c r="WEC186" s="89"/>
      <c r="WEE186" s="91"/>
      <c r="WEH186" s="89"/>
      <c r="WEJ186" s="91"/>
      <c r="WEM186" s="89"/>
      <c r="WEO186" s="91"/>
      <c r="WER186" s="89"/>
      <c r="WET186" s="91"/>
      <c r="WEW186" s="89"/>
      <c r="WEY186" s="91"/>
      <c r="WFB186" s="89"/>
      <c r="WFD186" s="91"/>
      <c r="WFG186" s="89"/>
      <c r="WFI186" s="91"/>
      <c r="WFL186" s="89"/>
      <c r="WFN186" s="91"/>
      <c r="WFQ186" s="89"/>
      <c r="WFS186" s="91"/>
      <c r="WFV186" s="89"/>
      <c r="WFX186" s="91"/>
      <c r="WGA186" s="89"/>
      <c r="WGC186" s="91"/>
      <c r="WGF186" s="89"/>
      <c r="WGH186" s="91"/>
      <c r="WGK186" s="89"/>
      <c r="WGM186" s="91"/>
      <c r="WGP186" s="89"/>
      <c r="WGR186" s="91"/>
      <c r="WGU186" s="89"/>
      <c r="WGW186" s="91"/>
      <c r="WGZ186" s="89"/>
      <c r="WHB186" s="91"/>
      <c r="WHE186" s="89"/>
      <c r="WHG186" s="91"/>
      <c r="WHJ186" s="89"/>
      <c r="WHL186" s="91"/>
      <c r="WHO186" s="89"/>
      <c r="WHQ186" s="91"/>
      <c r="WHT186" s="89"/>
      <c r="WHV186" s="91"/>
      <c r="WHY186" s="89"/>
      <c r="WIA186" s="91"/>
      <c r="WID186" s="89"/>
      <c r="WIF186" s="91"/>
      <c r="WII186" s="89"/>
      <c r="WIK186" s="91"/>
      <c r="WIN186" s="89"/>
      <c r="WIP186" s="91"/>
      <c r="WIS186" s="89"/>
      <c r="WIU186" s="91"/>
      <c r="WIX186" s="89"/>
      <c r="WIZ186" s="91"/>
      <c r="WJC186" s="89"/>
      <c r="WJE186" s="91"/>
      <c r="WJH186" s="89"/>
      <c r="WJJ186" s="91"/>
      <c r="WJM186" s="89"/>
      <c r="WJO186" s="91"/>
      <c r="WJR186" s="89"/>
      <c r="WJT186" s="91"/>
      <c r="WJW186" s="89"/>
      <c r="WJY186" s="91"/>
      <c r="WKB186" s="89"/>
      <c r="WKD186" s="91"/>
      <c r="WKG186" s="89"/>
      <c r="WKI186" s="91"/>
      <c r="WKL186" s="89"/>
      <c r="WKN186" s="91"/>
      <c r="WKQ186" s="89"/>
      <c r="WKS186" s="91"/>
      <c r="WKV186" s="89"/>
      <c r="WKX186" s="91"/>
      <c r="WLA186" s="89"/>
      <c r="WLC186" s="91"/>
      <c r="WLF186" s="89"/>
      <c r="WLH186" s="91"/>
      <c r="WLK186" s="89"/>
      <c r="WLM186" s="91"/>
      <c r="WLP186" s="89"/>
      <c r="WLR186" s="91"/>
      <c r="WLU186" s="89"/>
      <c r="WLW186" s="91"/>
      <c r="WLZ186" s="89"/>
      <c r="WMB186" s="91"/>
      <c r="WME186" s="89"/>
      <c r="WMG186" s="91"/>
      <c r="WMJ186" s="89"/>
      <c r="WML186" s="91"/>
      <c r="WMO186" s="89"/>
      <c r="WMQ186" s="91"/>
      <c r="WMT186" s="89"/>
      <c r="WMV186" s="91"/>
      <c r="WMY186" s="89"/>
      <c r="WNA186" s="91"/>
      <c r="WND186" s="89"/>
      <c r="WNF186" s="91"/>
      <c r="WNI186" s="89"/>
      <c r="WNK186" s="91"/>
      <c r="WNN186" s="89"/>
      <c r="WNP186" s="91"/>
      <c r="WNS186" s="89"/>
      <c r="WNU186" s="91"/>
      <c r="WNX186" s="89"/>
      <c r="WNZ186" s="91"/>
      <c r="WOC186" s="89"/>
      <c r="WOE186" s="91"/>
      <c r="WOH186" s="89"/>
      <c r="WOJ186" s="91"/>
      <c r="WOM186" s="89"/>
      <c r="WOO186" s="91"/>
      <c r="WOR186" s="89"/>
      <c r="WOT186" s="91"/>
      <c r="WOW186" s="89"/>
      <c r="WOY186" s="91"/>
      <c r="WPB186" s="89"/>
      <c r="WPD186" s="91"/>
      <c r="WPG186" s="89"/>
      <c r="WPI186" s="91"/>
      <c r="WPL186" s="89"/>
      <c r="WPN186" s="91"/>
      <c r="WPQ186" s="89"/>
      <c r="WPS186" s="91"/>
      <c r="WPV186" s="89"/>
      <c r="WPX186" s="91"/>
      <c r="WQA186" s="89"/>
      <c r="WQC186" s="91"/>
      <c r="WQF186" s="89"/>
      <c r="WQH186" s="91"/>
      <c r="WQK186" s="89"/>
      <c r="WQM186" s="91"/>
      <c r="WQP186" s="89"/>
      <c r="WQR186" s="91"/>
      <c r="WQU186" s="89"/>
      <c r="WQW186" s="91"/>
      <c r="WQZ186" s="89"/>
      <c r="WRB186" s="91"/>
      <c r="WRE186" s="89"/>
      <c r="WRG186" s="91"/>
      <c r="WRJ186" s="89"/>
      <c r="WRL186" s="91"/>
      <c r="WRO186" s="89"/>
      <c r="WRQ186" s="91"/>
      <c r="WRT186" s="89"/>
      <c r="WRV186" s="91"/>
      <c r="WRY186" s="89"/>
      <c r="WSA186" s="91"/>
      <c r="WSD186" s="89"/>
      <c r="WSF186" s="91"/>
      <c r="WSI186" s="89"/>
      <c r="WSK186" s="91"/>
      <c r="WSN186" s="89"/>
      <c r="WSP186" s="91"/>
      <c r="WSS186" s="89"/>
      <c r="WSU186" s="91"/>
      <c r="WSX186" s="89"/>
      <c r="WSZ186" s="91"/>
      <c r="WTC186" s="89"/>
      <c r="WTE186" s="91"/>
      <c r="WTH186" s="89"/>
      <c r="WTJ186" s="91"/>
      <c r="WTM186" s="89"/>
      <c r="WTO186" s="91"/>
      <c r="WTR186" s="89"/>
      <c r="WTT186" s="91"/>
      <c r="WTW186" s="89"/>
      <c r="WTY186" s="91"/>
      <c r="WUB186" s="89"/>
      <c r="WUD186" s="91"/>
      <c r="WUG186" s="89"/>
      <c r="WUI186" s="91"/>
      <c r="WUL186" s="89"/>
      <c r="WUN186" s="91"/>
      <c r="WUQ186" s="89"/>
      <c r="WUS186" s="91"/>
      <c r="WUV186" s="89"/>
      <c r="WUX186" s="91"/>
      <c r="WVA186" s="89"/>
      <c r="WVC186" s="91"/>
      <c r="WVF186" s="89"/>
      <c r="WVH186" s="91"/>
      <c r="WVK186" s="89"/>
      <c r="WVM186" s="91"/>
      <c r="WVP186" s="89"/>
      <c r="WVR186" s="91"/>
      <c r="WVU186" s="89"/>
      <c r="WVW186" s="91"/>
      <c r="WVZ186" s="89"/>
      <c r="WWB186" s="91"/>
      <c r="WWE186" s="89"/>
      <c r="WWG186" s="91"/>
      <c r="WWJ186" s="89"/>
      <c r="WWL186" s="91"/>
      <c r="WWO186" s="89"/>
      <c r="WWQ186" s="91"/>
      <c r="WWT186" s="89"/>
      <c r="WWV186" s="91"/>
      <c r="WWY186" s="89"/>
      <c r="WXA186" s="91"/>
      <c r="WXD186" s="89"/>
      <c r="WXF186" s="91"/>
      <c r="WXI186" s="89"/>
      <c r="WXK186" s="91"/>
      <c r="WXN186" s="89"/>
      <c r="WXP186" s="91"/>
      <c r="WXS186" s="89"/>
      <c r="WXU186" s="91"/>
      <c r="WXX186" s="89"/>
      <c r="WXZ186" s="91"/>
      <c r="WYC186" s="89"/>
      <c r="WYE186" s="91"/>
      <c r="WYH186" s="89"/>
      <c r="WYJ186" s="91"/>
      <c r="WYM186" s="89"/>
      <c r="WYO186" s="91"/>
      <c r="WYR186" s="89"/>
      <c r="WYT186" s="91"/>
      <c r="WYW186" s="89"/>
      <c r="WYY186" s="91"/>
      <c r="WZB186" s="89"/>
      <c r="WZD186" s="91"/>
      <c r="WZG186" s="89"/>
      <c r="WZI186" s="91"/>
      <c r="WZL186" s="89"/>
      <c r="WZN186" s="91"/>
      <c r="WZQ186" s="89"/>
      <c r="WZS186" s="91"/>
      <c r="WZV186" s="89"/>
      <c r="WZX186" s="91"/>
      <c r="XAA186" s="89"/>
      <c r="XAC186" s="91"/>
      <c r="XAF186" s="89"/>
      <c r="XAH186" s="91"/>
      <c r="XAK186" s="89"/>
      <c r="XAM186" s="91"/>
      <c r="XAP186" s="89"/>
      <c r="XAR186" s="91"/>
      <c r="XAU186" s="89"/>
      <c r="XAW186" s="91"/>
      <c r="XAZ186" s="89"/>
      <c r="XBB186" s="91"/>
      <c r="XBE186" s="89"/>
      <c r="XBG186" s="91"/>
      <c r="XBJ186" s="89"/>
      <c r="XBL186" s="91"/>
      <c r="XBO186" s="89"/>
      <c r="XBQ186" s="91"/>
      <c r="XBT186" s="89"/>
      <c r="XBV186" s="91"/>
      <c r="XBY186" s="89"/>
      <c r="XCA186" s="91"/>
      <c r="XCD186" s="89"/>
      <c r="XCF186" s="91"/>
      <c r="XCI186" s="89"/>
      <c r="XCK186" s="91"/>
      <c r="XCN186" s="89"/>
      <c r="XCP186" s="91"/>
      <c r="XCS186" s="89"/>
      <c r="XCU186" s="91"/>
      <c r="XCX186" s="89"/>
      <c r="XCZ186" s="91"/>
      <c r="XDC186" s="89"/>
      <c r="XDE186" s="91"/>
      <c r="XDH186" s="89"/>
      <c r="XDJ186" s="91"/>
      <c r="XDM186" s="89"/>
      <c r="XDO186" s="91"/>
      <c r="XDR186" s="89"/>
      <c r="XDT186" s="91"/>
      <c r="XDW186" s="89"/>
      <c r="XDY186" s="91"/>
      <c r="XEB186" s="89"/>
      <c r="XED186" s="91"/>
      <c r="XEG186" s="89"/>
      <c r="XEI186" s="91"/>
      <c r="XEL186" s="89"/>
      <c r="XEN186" s="91"/>
      <c r="XEQ186" s="89"/>
      <c r="XES186" s="91"/>
      <c r="XEV186" s="89"/>
      <c r="XEX186" s="91"/>
      <c r="XFA186" s="89"/>
      <c r="XFC186" s="91"/>
    </row>
    <row r="189" spans="1:1023 1026:2048 2051:3071 3073:4096 4098:5118 5121:6143 6146:7168 7171:8191 8193:9216 9218:10238 10241:11263 11266:12288 12291:13311 13313:14336 14338:15358 15361:16383" ht="15" x14ac:dyDescent="0.2">
      <c r="B189" s="37" t="s">
        <v>318</v>
      </c>
      <c r="C189" s="29">
        <v>1046123</v>
      </c>
      <c r="D189" s="37" t="s">
        <v>319</v>
      </c>
    </row>
    <row r="192" spans="1:1023 1026:2048 2051:3071 3073:4096 4098:5118 5121:6143 6146:7168 7171:8191 8193:9216 9218:10238 10241:11263 11266:12288 12291:13311 13313:14336 14338:15358 15361:16383" x14ac:dyDescent="0.2">
      <c r="A192" s="49" t="s">
        <v>273</v>
      </c>
    </row>
    <row r="193" spans="1:5" x14ac:dyDescent="0.2">
      <c r="A193" s="45">
        <v>45716</v>
      </c>
      <c r="B193" s="37" t="s">
        <v>236</v>
      </c>
      <c r="C193" s="46">
        <v>512457</v>
      </c>
      <c r="D193" s="37" t="s">
        <v>126</v>
      </c>
      <c r="E193" s="37" t="s">
        <v>126</v>
      </c>
    </row>
    <row r="194" spans="1:5" x14ac:dyDescent="0.2">
      <c r="A194" s="45">
        <v>45716</v>
      </c>
      <c r="B194" s="37" t="s">
        <v>237</v>
      </c>
      <c r="C194" s="46">
        <v>512457</v>
      </c>
      <c r="D194" s="37" t="s">
        <v>126</v>
      </c>
      <c r="E194" s="37" t="s">
        <v>126</v>
      </c>
    </row>
    <row r="195" spans="1:5" x14ac:dyDescent="0.2">
      <c r="A195" s="45">
        <v>45716</v>
      </c>
      <c r="B195" s="37" t="s">
        <v>238</v>
      </c>
      <c r="C195" s="46">
        <v>2341663</v>
      </c>
      <c r="D195" s="37" t="s">
        <v>126</v>
      </c>
      <c r="E195" s="37" t="s">
        <v>126</v>
      </c>
    </row>
  </sheetData>
  <autoFilter ref="A1:F1" xr:uid="{7D39FC09-67B1-4389-93ED-E9AE970AAC6E}"/>
  <sortState xmlns:xlrd2="http://schemas.microsoft.com/office/spreadsheetml/2017/richdata2" ref="A2:E181">
    <sortCondition ref="D2:D18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AB1013"/>
  <sheetViews>
    <sheetView zoomScale="90" zoomScaleNormal="90" workbookViewId="0">
      <selection activeCell="Y22" sqref="Y22"/>
    </sheetView>
  </sheetViews>
  <sheetFormatPr baseColWidth="10" defaultRowHeight="15" x14ac:dyDescent="0.25"/>
  <cols>
    <col min="3" max="3" width="25.140625" customWidth="1"/>
    <col min="4" max="4" width="31.5703125" customWidth="1"/>
    <col min="8" max="8" width="12.5703125" bestFit="1" customWidth="1"/>
    <col min="9" max="9" width="13.5703125" bestFit="1" customWidth="1"/>
    <col min="10" max="10" width="12.5703125" bestFit="1" customWidth="1"/>
    <col min="11" max="11" width="13.5703125" bestFit="1" customWidth="1"/>
    <col min="12" max="24" width="0" hidden="1" customWidth="1"/>
    <col min="25" max="25" width="14.42578125" customWidth="1"/>
  </cols>
  <sheetData>
    <row r="1" spans="1:28" ht="39" thickBot="1" x14ac:dyDescent="0.3">
      <c r="A1" s="59" t="s">
        <v>180</v>
      </c>
      <c r="B1" s="59" t="s">
        <v>158</v>
      </c>
      <c r="C1" s="59" t="s">
        <v>181</v>
      </c>
      <c r="D1" s="59" t="s">
        <v>182</v>
      </c>
      <c r="E1" s="59" t="s">
        <v>138</v>
      </c>
      <c r="F1" s="59" t="s">
        <v>139</v>
      </c>
      <c r="G1" s="59" t="s">
        <v>140</v>
      </c>
      <c r="H1" s="59" t="s">
        <v>183</v>
      </c>
      <c r="I1" s="59" t="s">
        <v>184</v>
      </c>
      <c r="J1" s="59" t="s">
        <v>185</v>
      </c>
      <c r="K1" s="59" t="s">
        <v>186</v>
      </c>
      <c r="L1" s="59" t="s">
        <v>187</v>
      </c>
      <c r="M1" s="59" t="s">
        <v>141</v>
      </c>
      <c r="N1" s="59" t="s">
        <v>120</v>
      </c>
      <c r="O1" s="59" t="s">
        <v>188</v>
      </c>
      <c r="P1" s="59" t="s">
        <v>142</v>
      </c>
      <c r="Q1" s="59" t="s">
        <v>189</v>
      </c>
      <c r="R1" s="59" t="s">
        <v>190</v>
      </c>
      <c r="S1" s="59" t="s">
        <v>191</v>
      </c>
      <c r="T1" s="59" t="s">
        <v>192</v>
      </c>
      <c r="U1" s="59" t="s">
        <v>193</v>
      </c>
      <c r="V1" s="59" t="s">
        <v>194</v>
      </c>
      <c r="W1" s="59" t="s">
        <v>143</v>
      </c>
      <c r="X1" s="59" t="s">
        <v>144</v>
      </c>
      <c r="Y1" s="59" t="s">
        <v>145</v>
      </c>
      <c r="Z1" s="55"/>
      <c r="AA1" s="12"/>
      <c r="AB1" s="12"/>
    </row>
    <row r="2" spans="1:28" ht="26.25" thickBot="1" x14ac:dyDescent="0.3">
      <c r="A2" s="60" t="s">
        <v>146</v>
      </c>
      <c r="B2" s="61">
        <v>45693</v>
      </c>
      <c r="C2" s="62" t="s">
        <v>275</v>
      </c>
      <c r="D2" s="63" t="s">
        <v>276</v>
      </c>
      <c r="E2" s="63">
        <v>202403591</v>
      </c>
      <c r="F2" s="63" t="s">
        <v>147</v>
      </c>
      <c r="G2" s="64">
        <v>1</v>
      </c>
      <c r="H2" s="65">
        <v>3125000</v>
      </c>
      <c r="I2" s="65">
        <v>3125000</v>
      </c>
      <c r="J2" s="66">
        <v>0</v>
      </c>
      <c r="K2" s="74">
        <v>3125000</v>
      </c>
      <c r="L2" s="74">
        <v>1562500</v>
      </c>
      <c r="M2" s="75">
        <v>0.21</v>
      </c>
      <c r="N2" s="74">
        <v>328125</v>
      </c>
      <c r="O2" s="74">
        <v>1890625</v>
      </c>
      <c r="P2" s="74">
        <v>3453125</v>
      </c>
      <c r="Q2" s="76">
        <v>1890625</v>
      </c>
      <c r="R2" s="77"/>
      <c r="S2" s="76">
        <v>1672500</v>
      </c>
      <c r="T2" s="78">
        <v>3563125</v>
      </c>
      <c r="U2" s="79">
        <v>110</v>
      </c>
      <c r="V2" s="77" t="s">
        <v>277</v>
      </c>
      <c r="W2" s="80" t="s">
        <v>278</v>
      </c>
      <c r="X2" s="77" t="s">
        <v>279</v>
      </c>
      <c r="Y2" s="81">
        <v>766152</v>
      </c>
      <c r="Z2" s="55"/>
      <c r="AA2" s="12"/>
      <c r="AB2" s="12"/>
    </row>
    <row r="3" spans="1:28" ht="15.75" thickBot="1" x14ac:dyDescent="0.3">
      <c r="A3" s="60"/>
      <c r="B3" s="61"/>
      <c r="C3" s="62"/>
      <c r="D3" s="63" t="s">
        <v>148</v>
      </c>
      <c r="E3" s="63" t="s">
        <v>149</v>
      </c>
      <c r="F3" s="63" t="s">
        <v>149</v>
      </c>
      <c r="G3" s="64">
        <v>1</v>
      </c>
      <c r="H3" s="65">
        <v>91000</v>
      </c>
      <c r="I3" s="65">
        <v>91000</v>
      </c>
      <c r="J3" s="66">
        <v>0</v>
      </c>
      <c r="K3" s="74">
        <v>91000</v>
      </c>
      <c r="L3" s="74">
        <v>91000</v>
      </c>
      <c r="M3" s="75">
        <v>0.21</v>
      </c>
      <c r="N3" s="74">
        <v>19110</v>
      </c>
      <c r="O3" s="74">
        <v>110110</v>
      </c>
      <c r="P3" s="74">
        <v>110110</v>
      </c>
      <c r="Q3" s="76"/>
      <c r="R3" s="77"/>
      <c r="S3" s="76"/>
      <c r="T3" s="78"/>
      <c r="U3" s="79"/>
      <c r="V3" s="77"/>
      <c r="W3" s="80"/>
      <c r="X3" s="77"/>
      <c r="Y3" s="81">
        <v>31715</v>
      </c>
      <c r="Z3" s="55"/>
      <c r="AA3" s="12"/>
      <c r="AB3" s="12"/>
    </row>
    <row r="4" spans="1:28" ht="26.25" thickBot="1" x14ac:dyDescent="0.3">
      <c r="A4" s="64" t="s">
        <v>146</v>
      </c>
      <c r="B4" s="67">
        <v>45695</v>
      </c>
      <c r="C4" s="63" t="s">
        <v>280</v>
      </c>
      <c r="D4" s="63" t="s">
        <v>281</v>
      </c>
      <c r="E4" s="63" t="s">
        <v>149</v>
      </c>
      <c r="F4" s="63" t="s">
        <v>149</v>
      </c>
      <c r="G4" s="64">
        <v>1</v>
      </c>
      <c r="H4" s="65">
        <v>35000</v>
      </c>
      <c r="I4" s="65">
        <v>28925.62</v>
      </c>
      <c r="J4" s="66">
        <v>0</v>
      </c>
      <c r="K4" s="74">
        <v>28925.62</v>
      </c>
      <c r="L4" s="74">
        <v>28925.62</v>
      </c>
      <c r="M4" s="75">
        <v>0.21</v>
      </c>
      <c r="N4" s="74">
        <v>6074.38</v>
      </c>
      <c r="O4" s="74">
        <v>35000</v>
      </c>
      <c r="P4" s="74">
        <v>35000</v>
      </c>
      <c r="Q4" s="81">
        <v>35000</v>
      </c>
      <c r="R4" s="82"/>
      <c r="S4" s="82"/>
      <c r="T4" s="74">
        <v>35000</v>
      </c>
      <c r="U4" s="83">
        <v>0</v>
      </c>
      <c r="V4" s="82" t="s">
        <v>282</v>
      </c>
      <c r="W4" s="84" t="s">
        <v>283</v>
      </c>
      <c r="X4" s="82" t="s">
        <v>196</v>
      </c>
      <c r="Y4" s="81">
        <v>25188</v>
      </c>
      <c r="Z4" s="55"/>
      <c r="AA4" s="12"/>
      <c r="AB4" s="12"/>
    </row>
    <row r="5" spans="1:28" ht="26.25" thickBot="1" x14ac:dyDescent="0.3">
      <c r="A5" s="64" t="s">
        <v>146</v>
      </c>
      <c r="B5" s="67">
        <v>45698</v>
      </c>
      <c r="C5" s="63" t="s">
        <v>284</v>
      </c>
      <c r="D5" s="63" t="s">
        <v>118</v>
      </c>
      <c r="E5" s="63">
        <v>202410328</v>
      </c>
      <c r="F5" s="63" t="s">
        <v>147</v>
      </c>
      <c r="G5" s="64">
        <v>1</v>
      </c>
      <c r="H5" s="65">
        <v>2010000</v>
      </c>
      <c r="I5" s="65">
        <v>2010000</v>
      </c>
      <c r="J5" s="66">
        <v>0.15</v>
      </c>
      <c r="K5" s="74">
        <v>1708500</v>
      </c>
      <c r="L5" s="74">
        <v>1708500</v>
      </c>
      <c r="M5" s="75">
        <v>0.21</v>
      </c>
      <c r="N5" s="74">
        <v>358785</v>
      </c>
      <c r="O5" s="74">
        <v>2067285</v>
      </c>
      <c r="P5" s="74">
        <v>2067285</v>
      </c>
      <c r="Q5" s="82"/>
      <c r="R5" s="82"/>
      <c r="S5" s="81">
        <v>2067000</v>
      </c>
      <c r="T5" s="74">
        <v>2067000</v>
      </c>
      <c r="U5" s="83">
        <v>285</v>
      </c>
      <c r="V5" s="82" t="s">
        <v>285</v>
      </c>
      <c r="W5" s="84">
        <v>20200091168</v>
      </c>
      <c r="X5" s="82" t="s">
        <v>197</v>
      </c>
      <c r="Y5" s="81">
        <v>492296</v>
      </c>
      <c r="Z5" s="55"/>
      <c r="AA5" s="12"/>
      <c r="AB5" s="12"/>
    </row>
    <row r="6" spans="1:28" ht="26.25" thickBot="1" x14ac:dyDescent="0.3">
      <c r="A6" s="64" t="s">
        <v>146</v>
      </c>
      <c r="B6" s="67">
        <v>45699</v>
      </c>
      <c r="C6" s="63" t="s">
        <v>286</v>
      </c>
      <c r="D6" s="63" t="s">
        <v>150</v>
      </c>
      <c r="E6" s="63" t="s">
        <v>287</v>
      </c>
      <c r="F6" s="63" t="s">
        <v>147</v>
      </c>
      <c r="G6" s="64">
        <v>2</v>
      </c>
      <c r="H6" s="65">
        <v>4350000</v>
      </c>
      <c r="I6" s="65">
        <v>8700000</v>
      </c>
      <c r="J6" s="66">
        <v>0</v>
      </c>
      <c r="K6" s="74">
        <v>8700000</v>
      </c>
      <c r="L6" s="74">
        <v>4350000</v>
      </c>
      <c r="M6" s="75">
        <v>0.105</v>
      </c>
      <c r="N6" s="74">
        <v>456750</v>
      </c>
      <c r="O6" s="74">
        <v>4806750</v>
      </c>
      <c r="P6" s="74">
        <v>9156750</v>
      </c>
      <c r="Q6" s="81">
        <v>6806750</v>
      </c>
      <c r="R6" s="82"/>
      <c r="S6" s="81">
        <v>2350000</v>
      </c>
      <c r="T6" s="74">
        <v>9156750</v>
      </c>
      <c r="U6" s="83">
        <v>0</v>
      </c>
      <c r="V6" s="82" t="s">
        <v>288</v>
      </c>
      <c r="W6" s="84" t="s">
        <v>289</v>
      </c>
      <c r="X6" s="82" t="s">
        <v>196</v>
      </c>
      <c r="Y6" s="81">
        <v>2143317</v>
      </c>
      <c r="Z6" s="55"/>
      <c r="AA6" s="12"/>
      <c r="AB6" s="12"/>
    </row>
    <row r="7" spans="1:28" ht="26.25" thickBot="1" x14ac:dyDescent="0.3">
      <c r="A7" s="64" t="s">
        <v>146</v>
      </c>
      <c r="B7" s="67">
        <v>45700</v>
      </c>
      <c r="C7" s="63" t="s">
        <v>290</v>
      </c>
      <c r="D7" s="63" t="s">
        <v>291</v>
      </c>
      <c r="E7" s="63">
        <v>202410347</v>
      </c>
      <c r="F7" s="63" t="s">
        <v>147</v>
      </c>
      <c r="G7" s="64">
        <v>1</v>
      </c>
      <c r="H7" s="65">
        <v>2865000</v>
      </c>
      <c r="I7" s="65">
        <v>2865000</v>
      </c>
      <c r="J7" s="66">
        <v>0</v>
      </c>
      <c r="K7" s="74">
        <v>2865000</v>
      </c>
      <c r="L7" s="74">
        <v>2865000</v>
      </c>
      <c r="M7" s="75">
        <v>0.105</v>
      </c>
      <c r="N7" s="74">
        <v>300825</v>
      </c>
      <c r="O7" s="74">
        <v>3165825</v>
      </c>
      <c r="P7" s="74">
        <v>3165825</v>
      </c>
      <c r="Q7" s="81">
        <v>3165825</v>
      </c>
      <c r="R7" s="82"/>
      <c r="S7" s="82"/>
      <c r="T7" s="74">
        <v>3165825</v>
      </c>
      <c r="U7" s="83">
        <v>0</v>
      </c>
      <c r="V7" s="82" t="s">
        <v>292</v>
      </c>
      <c r="W7" s="84">
        <v>20281664868</v>
      </c>
      <c r="X7" s="82" t="s">
        <v>196</v>
      </c>
      <c r="Y7" s="81">
        <v>748743</v>
      </c>
      <c r="Z7" s="55"/>
      <c r="AA7" s="12"/>
      <c r="AB7" s="12"/>
    </row>
    <row r="8" spans="1:28" ht="26.25" thickBot="1" x14ac:dyDescent="0.3">
      <c r="A8" s="64" t="s">
        <v>146</v>
      </c>
      <c r="B8" s="67">
        <v>45701</v>
      </c>
      <c r="C8" s="63" t="s">
        <v>293</v>
      </c>
      <c r="D8" s="63" t="s">
        <v>148</v>
      </c>
      <c r="E8" s="63" t="s">
        <v>149</v>
      </c>
      <c r="F8" s="63" t="s">
        <v>149</v>
      </c>
      <c r="G8" s="64">
        <v>1</v>
      </c>
      <c r="H8" s="65">
        <v>91000</v>
      </c>
      <c r="I8" s="65">
        <v>91000</v>
      </c>
      <c r="J8" s="66">
        <v>0</v>
      </c>
      <c r="K8" s="74">
        <v>91000</v>
      </c>
      <c r="L8" s="74">
        <v>45500</v>
      </c>
      <c r="M8" s="75">
        <v>0.21</v>
      </c>
      <c r="N8" s="74">
        <v>9555</v>
      </c>
      <c r="O8" s="74">
        <v>55055</v>
      </c>
      <c r="P8" s="74">
        <v>100555</v>
      </c>
      <c r="Q8" s="81">
        <v>55055</v>
      </c>
      <c r="R8" s="82"/>
      <c r="S8" s="81">
        <v>45500</v>
      </c>
      <c r="T8" s="74">
        <v>100555</v>
      </c>
      <c r="U8" s="83">
        <v>0</v>
      </c>
      <c r="V8" s="82" t="s">
        <v>294</v>
      </c>
      <c r="W8" s="84" t="s">
        <v>295</v>
      </c>
      <c r="X8" s="82" t="s">
        <v>296</v>
      </c>
      <c r="Y8" s="81">
        <v>31715</v>
      </c>
      <c r="Z8" s="55"/>
      <c r="AA8" s="12"/>
      <c r="AB8" s="12"/>
    </row>
    <row r="9" spans="1:28" ht="26.25" thickBot="1" x14ac:dyDescent="0.3">
      <c r="A9" s="64" t="s">
        <v>146</v>
      </c>
      <c r="B9" s="67">
        <v>45712</v>
      </c>
      <c r="C9" s="63" t="s">
        <v>297</v>
      </c>
      <c r="D9" s="63" t="s">
        <v>151</v>
      </c>
      <c r="E9" s="63">
        <v>24038032009</v>
      </c>
      <c r="F9" s="63" t="s">
        <v>147</v>
      </c>
      <c r="G9" s="64">
        <v>1</v>
      </c>
      <c r="H9" s="65">
        <v>3210000</v>
      </c>
      <c r="I9" s="65">
        <v>3210000</v>
      </c>
      <c r="J9" s="66">
        <v>0</v>
      </c>
      <c r="K9" s="74">
        <v>3210000</v>
      </c>
      <c r="L9" s="74">
        <v>3210000</v>
      </c>
      <c r="M9" s="75">
        <v>0.105</v>
      </c>
      <c r="N9" s="74">
        <v>337050</v>
      </c>
      <c r="O9" s="74">
        <v>3547050</v>
      </c>
      <c r="P9" s="74">
        <v>3547050</v>
      </c>
      <c r="Q9" s="82"/>
      <c r="R9" s="81">
        <v>3547050</v>
      </c>
      <c r="S9" s="82"/>
      <c r="T9" s="74">
        <v>3547050</v>
      </c>
      <c r="U9" s="83">
        <v>0</v>
      </c>
      <c r="V9" s="82" t="s">
        <v>298</v>
      </c>
      <c r="W9" s="84">
        <v>20230418692</v>
      </c>
      <c r="X9" s="82" t="s">
        <v>299</v>
      </c>
      <c r="Y9" s="81">
        <v>1130091</v>
      </c>
      <c r="Z9" s="55"/>
      <c r="AA9" s="12"/>
      <c r="AB9" s="12"/>
    </row>
    <row r="10" spans="1:28" ht="51.75" thickBot="1" x14ac:dyDescent="0.3">
      <c r="A10" s="64" t="s">
        <v>146</v>
      </c>
      <c r="B10" s="67">
        <v>45715</v>
      </c>
      <c r="C10" s="63" t="s">
        <v>300</v>
      </c>
      <c r="D10" s="63" t="s">
        <v>151</v>
      </c>
      <c r="E10" s="63">
        <v>24038032005</v>
      </c>
      <c r="F10" s="63" t="s">
        <v>147</v>
      </c>
      <c r="G10" s="64">
        <v>1</v>
      </c>
      <c r="H10" s="65">
        <v>3210000</v>
      </c>
      <c r="I10" s="65">
        <v>3210000</v>
      </c>
      <c r="J10" s="66">
        <v>0</v>
      </c>
      <c r="K10" s="74">
        <v>3210000</v>
      </c>
      <c r="L10" s="74">
        <v>1605000</v>
      </c>
      <c r="M10" s="75">
        <v>0.105</v>
      </c>
      <c r="N10" s="74">
        <v>168525</v>
      </c>
      <c r="O10" s="74">
        <v>1773525</v>
      </c>
      <c r="P10" s="74">
        <v>3378525</v>
      </c>
      <c r="Q10" s="81">
        <v>1773525</v>
      </c>
      <c r="R10" s="82"/>
      <c r="S10" s="81">
        <v>1605000</v>
      </c>
      <c r="T10" s="74">
        <v>3378525</v>
      </c>
      <c r="U10" s="83">
        <v>0</v>
      </c>
      <c r="V10" s="82" t="s">
        <v>301</v>
      </c>
      <c r="W10" s="84">
        <v>27366439930</v>
      </c>
      <c r="X10" s="82" t="s">
        <v>296</v>
      </c>
      <c r="Y10" s="81">
        <v>269105</v>
      </c>
      <c r="Z10" s="55"/>
      <c r="AA10" s="12"/>
      <c r="AB10" s="12"/>
    </row>
    <row r="11" spans="1:28" ht="51.75" thickBot="1" x14ac:dyDescent="0.3">
      <c r="A11" s="64" t="s">
        <v>119</v>
      </c>
      <c r="B11" s="68">
        <v>45685</v>
      </c>
      <c r="C11" s="63" t="s">
        <v>302</v>
      </c>
      <c r="D11" s="63" t="s">
        <v>276</v>
      </c>
      <c r="E11" s="63" t="s">
        <v>303</v>
      </c>
      <c r="F11" s="63" t="s">
        <v>152</v>
      </c>
      <c r="G11" s="64">
        <v>1</v>
      </c>
      <c r="H11" s="65">
        <v>3125000</v>
      </c>
      <c r="I11" s="65">
        <v>3125000</v>
      </c>
      <c r="J11" s="66">
        <v>0.1</v>
      </c>
      <c r="K11" s="74">
        <v>2812500</v>
      </c>
      <c r="L11" s="74">
        <v>2812500.2</v>
      </c>
      <c r="M11" s="75">
        <v>0.21</v>
      </c>
      <c r="N11" s="74">
        <v>590625.04</v>
      </c>
      <c r="O11" s="74">
        <v>3403125.24</v>
      </c>
      <c r="P11" s="81">
        <v>3403125</v>
      </c>
      <c r="Q11" s="74">
        <v>3403125</v>
      </c>
      <c r="R11" s="82"/>
      <c r="S11" s="82"/>
      <c r="T11" s="74">
        <v>3403125</v>
      </c>
      <c r="U11" s="83">
        <v>0.04</v>
      </c>
      <c r="V11" s="82" t="s">
        <v>304</v>
      </c>
      <c r="W11" s="84" t="s">
        <v>305</v>
      </c>
      <c r="X11" s="82" t="s">
        <v>196</v>
      </c>
      <c r="Y11" s="81">
        <v>766152</v>
      </c>
      <c r="Z11" s="55"/>
      <c r="AA11" s="12"/>
      <c r="AB11" s="12"/>
    </row>
    <row r="12" spans="1:28" ht="26.25" thickBot="1" x14ac:dyDescent="0.3">
      <c r="A12" s="60" t="s">
        <v>119</v>
      </c>
      <c r="B12" s="67">
        <v>45695</v>
      </c>
      <c r="C12" s="62" t="s">
        <v>306</v>
      </c>
      <c r="D12" s="63" t="s">
        <v>150</v>
      </c>
      <c r="E12" s="63">
        <v>24146010</v>
      </c>
      <c r="F12" s="63" t="s">
        <v>147</v>
      </c>
      <c r="G12" s="64">
        <v>1</v>
      </c>
      <c r="H12" s="65">
        <v>4350000</v>
      </c>
      <c r="I12" s="65">
        <v>4350000</v>
      </c>
      <c r="J12" s="66">
        <v>0.1</v>
      </c>
      <c r="K12" s="74">
        <v>3915000</v>
      </c>
      <c r="L12" s="74">
        <v>3915000</v>
      </c>
      <c r="M12" s="75">
        <v>0.105</v>
      </c>
      <c r="N12" s="74">
        <v>411075</v>
      </c>
      <c r="O12" s="74">
        <v>4326075</v>
      </c>
      <c r="P12" s="74">
        <v>4326075</v>
      </c>
      <c r="Q12" s="81">
        <v>4326075</v>
      </c>
      <c r="R12" s="82"/>
      <c r="S12" s="82"/>
      <c r="T12" s="74">
        <v>4326075</v>
      </c>
      <c r="U12" s="83">
        <v>0</v>
      </c>
      <c r="V12" s="82" t="s">
        <v>307</v>
      </c>
      <c r="W12" s="80">
        <v>20360034624</v>
      </c>
      <c r="X12" s="77" t="s">
        <v>196</v>
      </c>
      <c r="Y12" s="81">
        <v>1071659</v>
      </c>
      <c r="Z12" s="55"/>
      <c r="AA12" s="12"/>
      <c r="AB12" s="12"/>
    </row>
    <row r="13" spans="1:28" ht="15.75" thickBot="1" x14ac:dyDescent="0.3">
      <c r="A13" s="60"/>
      <c r="B13" s="67">
        <v>45700</v>
      </c>
      <c r="C13" s="62"/>
      <c r="D13" s="63" t="s">
        <v>148</v>
      </c>
      <c r="E13" s="63" t="s">
        <v>149</v>
      </c>
      <c r="F13" s="63" t="s">
        <v>149</v>
      </c>
      <c r="G13" s="64">
        <v>1</v>
      </c>
      <c r="H13" s="65">
        <v>91000</v>
      </c>
      <c r="I13" s="65">
        <v>91000</v>
      </c>
      <c r="J13" s="66">
        <v>0</v>
      </c>
      <c r="K13" s="74">
        <v>91000</v>
      </c>
      <c r="L13" s="74">
        <v>91000</v>
      </c>
      <c r="M13" s="75">
        <v>0.21</v>
      </c>
      <c r="N13" s="74">
        <v>19110</v>
      </c>
      <c r="O13" s="74">
        <v>110110</v>
      </c>
      <c r="P13" s="74">
        <v>110110</v>
      </c>
      <c r="Q13" s="81">
        <v>110110</v>
      </c>
      <c r="R13" s="82"/>
      <c r="S13" s="82"/>
      <c r="T13" s="74">
        <v>110110</v>
      </c>
      <c r="U13" s="83">
        <v>0</v>
      </c>
      <c r="V13" s="82" t="s">
        <v>308</v>
      </c>
      <c r="W13" s="80"/>
      <c r="X13" s="77"/>
      <c r="Y13" s="81">
        <v>30645</v>
      </c>
      <c r="Z13" s="55"/>
      <c r="AA13" s="12"/>
      <c r="AB13" s="12"/>
    </row>
    <row r="14" spans="1:28" ht="26.25" thickBot="1" x14ac:dyDescent="0.3">
      <c r="A14" s="64" t="s">
        <v>119</v>
      </c>
      <c r="B14" s="67">
        <v>45698</v>
      </c>
      <c r="C14" s="63" t="s">
        <v>309</v>
      </c>
      <c r="D14" s="63" t="s">
        <v>150</v>
      </c>
      <c r="E14" s="63">
        <v>24146002</v>
      </c>
      <c r="F14" s="63" t="s">
        <v>147</v>
      </c>
      <c r="G14" s="64">
        <v>1</v>
      </c>
      <c r="H14" s="65">
        <v>4350000</v>
      </c>
      <c r="I14" s="65">
        <v>4350000</v>
      </c>
      <c r="J14" s="66">
        <v>0</v>
      </c>
      <c r="K14" s="74">
        <v>4350000</v>
      </c>
      <c r="L14" s="74">
        <v>4350000</v>
      </c>
      <c r="M14" s="75">
        <v>0.105</v>
      </c>
      <c r="N14" s="74">
        <v>456750</v>
      </c>
      <c r="O14" s="74">
        <v>4806750</v>
      </c>
      <c r="P14" s="74">
        <v>4806750</v>
      </c>
      <c r="Q14" s="82"/>
      <c r="R14" s="81">
        <v>4806750</v>
      </c>
      <c r="S14" s="82"/>
      <c r="T14" s="74">
        <v>4806750</v>
      </c>
      <c r="U14" s="83">
        <v>0</v>
      </c>
      <c r="V14" s="82" t="s">
        <v>310</v>
      </c>
      <c r="W14" s="84">
        <v>20225762148</v>
      </c>
      <c r="X14" s="82" t="s">
        <v>299</v>
      </c>
      <c r="Y14" s="81">
        <v>1071659</v>
      </c>
      <c r="Z14" s="55"/>
      <c r="AA14" s="12"/>
      <c r="AB14" s="12"/>
    </row>
    <row r="15" spans="1:28" ht="15.75" thickBot="1" x14ac:dyDescent="0.3">
      <c r="A15" s="60" t="s">
        <v>119</v>
      </c>
      <c r="B15" s="61">
        <v>45708</v>
      </c>
      <c r="C15" s="62" t="s">
        <v>309</v>
      </c>
      <c r="D15" s="63" t="s">
        <v>221</v>
      </c>
      <c r="E15" s="63" t="s">
        <v>149</v>
      </c>
      <c r="F15" s="63" t="s">
        <v>149</v>
      </c>
      <c r="G15" s="64">
        <v>1</v>
      </c>
      <c r="H15" s="65">
        <v>106000</v>
      </c>
      <c r="I15" s="65">
        <v>106000</v>
      </c>
      <c r="J15" s="66">
        <v>0</v>
      </c>
      <c r="K15" s="78">
        <v>198000</v>
      </c>
      <c r="L15" s="78">
        <v>198000</v>
      </c>
      <c r="M15" s="85">
        <v>0.21</v>
      </c>
      <c r="N15" s="78">
        <v>41580</v>
      </c>
      <c r="O15" s="78">
        <v>239580</v>
      </c>
      <c r="P15" s="78">
        <v>239580</v>
      </c>
      <c r="Q15" s="77"/>
      <c r="R15" s="76">
        <v>239580</v>
      </c>
      <c r="S15" s="77"/>
      <c r="T15" s="78">
        <v>239580</v>
      </c>
      <c r="U15" s="79">
        <v>0</v>
      </c>
      <c r="V15" s="77" t="s">
        <v>311</v>
      </c>
      <c r="W15" s="80">
        <v>20225762148</v>
      </c>
      <c r="X15" s="77" t="s">
        <v>299</v>
      </c>
      <c r="Y15" s="83">
        <v>106524</v>
      </c>
      <c r="Z15" s="55"/>
      <c r="AA15" s="12"/>
      <c r="AB15" s="12"/>
    </row>
    <row r="16" spans="1:28" ht="15.75" thickBot="1" x14ac:dyDescent="0.3">
      <c r="A16" s="60"/>
      <c r="B16" s="61"/>
      <c r="C16" s="62"/>
      <c r="D16" s="63" t="s">
        <v>211</v>
      </c>
      <c r="E16" s="63" t="s">
        <v>149</v>
      </c>
      <c r="F16" s="63" t="s">
        <v>149</v>
      </c>
      <c r="G16" s="64">
        <v>1</v>
      </c>
      <c r="H16" s="65">
        <v>80000</v>
      </c>
      <c r="I16" s="65">
        <v>80000</v>
      </c>
      <c r="J16" s="66">
        <v>0</v>
      </c>
      <c r="K16" s="78"/>
      <c r="L16" s="78"/>
      <c r="M16" s="85"/>
      <c r="N16" s="78"/>
      <c r="O16" s="78"/>
      <c r="P16" s="78"/>
      <c r="Q16" s="77"/>
      <c r="R16" s="76"/>
      <c r="S16" s="77"/>
      <c r="T16" s="78"/>
      <c r="U16" s="79"/>
      <c r="V16" s="77"/>
      <c r="W16" s="80"/>
      <c r="X16" s="77"/>
      <c r="Y16" s="81">
        <v>45666.25</v>
      </c>
      <c r="Z16" s="55"/>
      <c r="AA16" s="12"/>
      <c r="AB16" s="12"/>
    </row>
    <row r="17" spans="1:28" ht="15.75" thickBot="1" x14ac:dyDescent="0.3">
      <c r="A17" s="60"/>
      <c r="B17" s="61"/>
      <c r="C17" s="62"/>
      <c r="D17" s="63" t="s">
        <v>312</v>
      </c>
      <c r="E17" s="63" t="s">
        <v>149</v>
      </c>
      <c r="F17" s="63" t="s">
        <v>149</v>
      </c>
      <c r="G17" s="64">
        <v>1</v>
      </c>
      <c r="H17" s="65">
        <v>12000</v>
      </c>
      <c r="I17" s="65">
        <v>12000</v>
      </c>
      <c r="J17" s="66">
        <v>0</v>
      </c>
      <c r="K17" s="78"/>
      <c r="L17" s="78"/>
      <c r="M17" s="85"/>
      <c r="N17" s="78"/>
      <c r="O17" s="78"/>
      <c r="P17" s="78"/>
      <c r="Q17" s="77"/>
      <c r="R17" s="76"/>
      <c r="S17" s="77"/>
      <c r="T17" s="78"/>
      <c r="U17" s="79"/>
      <c r="V17" s="77"/>
      <c r="W17" s="80"/>
      <c r="X17" s="77"/>
      <c r="Y17" s="81">
        <v>9917.36</v>
      </c>
      <c r="Z17" s="55"/>
      <c r="AA17" s="12"/>
      <c r="AB17" s="12"/>
    </row>
    <row r="18" spans="1:28" ht="26.25" thickBot="1" x14ac:dyDescent="0.3">
      <c r="A18" s="60" t="s">
        <v>119</v>
      </c>
      <c r="B18" s="61">
        <v>45713</v>
      </c>
      <c r="C18" s="62" t="s">
        <v>313</v>
      </c>
      <c r="D18" s="63" t="s">
        <v>314</v>
      </c>
      <c r="E18" s="63">
        <v>202410324</v>
      </c>
      <c r="F18" s="63" t="s">
        <v>147</v>
      </c>
      <c r="G18" s="64">
        <v>1</v>
      </c>
      <c r="H18" s="65">
        <v>1080000</v>
      </c>
      <c r="I18" s="65">
        <v>1080000</v>
      </c>
      <c r="J18" s="66">
        <v>0.05</v>
      </c>
      <c r="K18" s="74">
        <v>1026000</v>
      </c>
      <c r="L18" s="78">
        <v>1117000</v>
      </c>
      <c r="M18" s="85">
        <v>0.21</v>
      </c>
      <c r="N18" s="78">
        <v>234570</v>
      </c>
      <c r="O18" s="78">
        <v>1351570</v>
      </c>
      <c r="P18" s="78">
        <v>1351570</v>
      </c>
      <c r="Q18" s="76">
        <v>211570</v>
      </c>
      <c r="R18" s="77"/>
      <c r="S18" s="76">
        <v>1140000</v>
      </c>
      <c r="T18" s="78">
        <v>1351570</v>
      </c>
      <c r="U18" s="79">
        <v>0</v>
      </c>
      <c r="V18" s="77" t="s">
        <v>195</v>
      </c>
      <c r="W18" s="80" t="s">
        <v>315</v>
      </c>
      <c r="X18" s="77" t="s">
        <v>279</v>
      </c>
      <c r="Y18" s="81">
        <v>1070</v>
      </c>
      <c r="Z18" s="55"/>
      <c r="AA18" s="12"/>
      <c r="AB18" s="12"/>
    </row>
    <row r="19" spans="1:28" ht="15.75" thickBot="1" x14ac:dyDescent="0.3">
      <c r="A19" s="60"/>
      <c r="B19" s="61"/>
      <c r="C19" s="62"/>
      <c r="D19" s="63" t="s">
        <v>148</v>
      </c>
      <c r="E19" s="63" t="s">
        <v>149</v>
      </c>
      <c r="F19" s="63" t="s">
        <v>149</v>
      </c>
      <c r="G19" s="64">
        <v>1</v>
      </c>
      <c r="H19" s="65">
        <v>91000</v>
      </c>
      <c r="I19" s="65">
        <v>91000</v>
      </c>
      <c r="J19" s="66">
        <v>0</v>
      </c>
      <c r="K19" s="74">
        <v>91000</v>
      </c>
      <c r="L19" s="78"/>
      <c r="M19" s="85"/>
      <c r="N19" s="78"/>
      <c r="O19" s="78"/>
      <c r="P19" s="78"/>
      <c r="Q19" s="76"/>
      <c r="R19" s="77"/>
      <c r="S19" s="76"/>
      <c r="T19" s="78"/>
      <c r="U19" s="79"/>
      <c r="V19" s="77"/>
      <c r="W19" s="80"/>
      <c r="X19" s="77"/>
      <c r="Y19" s="81">
        <v>1070</v>
      </c>
      <c r="Z19" s="55"/>
      <c r="AA19" s="12"/>
      <c r="AB19" s="12"/>
    </row>
    <row r="20" spans="1:28" ht="26.25" thickBot="1" x14ac:dyDescent="0.3">
      <c r="A20" s="64" t="s">
        <v>117</v>
      </c>
      <c r="B20" s="67">
        <v>45714</v>
      </c>
      <c r="C20" s="63" t="s">
        <v>316</v>
      </c>
      <c r="D20" s="63" t="s">
        <v>150</v>
      </c>
      <c r="E20" s="63">
        <v>24146003</v>
      </c>
      <c r="F20" s="63" t="s">
        <v>147</v>
      </c>
      <c r="G20" s="64">
        <v>1</v>
      </c>
      <c r="H20" s="65">
        <v>4350000</v>
      </c>
      <c r="I20" s="65">
        <v>4350000</v>
      </c>
      <c r="J20" s="66">
        <v>0</v>
      </c>
      <c r="K20" s="74">
        <v>4350000</v>
      </c>
      <c r="L20" s="86">
        <v>2609236.2000000002</v>
      </c>
      <c r="M20" s="75">
        <v>0.105</v>
      </c>
      <c r="N20" s="74">
        <v>273969.8</v>
      </c>
      <c r="O20" s="74">
        <v>2883206</v>
      </c>
      <c r="P20" s="74">
        <v>4623969.8</v>
      </c>
      <c r="Q20" s="74">
        <v>2883206</v>
      </c>
      <c r="R20" s="82"/>
      <c r="S20" s="81">
        <v>1740764</v>
      </c>
      <c r="T20" s="74">
        <v>4623969.8</v>
      </c>
      <c r="U20" s="83">
        <v>0</v>
      </c>
      <c r="V20" s="82" t="s">
        <v>317</v>
      </c>
      <c r="W20" s="84">
        <v>20273786512</v>
      </c>
      <c r="X20" s="82" t="s">
        <v>196</v>
      </c>
      <c r="Y20" s="81">
        <v>1071659</v>
      </c>
      <c r="Z20" s="55"/>
      <c r="AA20" s="12"/>
      <c r="AB20" s="12"/>
    </row>
    <row r="21" spans="1:28" ht="15.75" thickBot="1" x14ac:dyDescent="0.3">
      <c r="A21" s="69"/>
      <c r="B21" s="69"/>
      <c r="C21" s="69"/>
      <c r="D21" s="69"/>
      <c r="E21" s="69"/>
      <c r="F21" s="69"/>
      <c r="G21" s="69"/>
      <c r="H21" s="69"/>
      <c r="I21" s="70">
        <f>SUM(I2:I20)</f>
        <v>40965925.620000005</v>
      </c>
      <c r="J21" s="73">
        <f>+I21-K21</f>
        <v>1103000</v>
      </c>
      <c r="K21" s="70">
        <f>SUM(K2:K20)</f>
        <v>39862925.620000005</v>
      </c>
      <c r="L21" s="70">
        <v>30559162.02</v>
      </c>
      <c r="M21" s="69"/>
      <c r="N21" s="70">
        <v>4012479.22</v>
      </c>
      <c r="O21" s="70">
        <v>34571641.240000002</v>
      </c>
      <c r="P21" s="70">
        <v>43875404.840000004</v>
      </c>
      <c r="Q21" s="69"/>
      <c r="R21" s="69"/>
      <c r="S21" s="69"/>
      <c r="T21" s="70">
        <v>43875009.799999997</v>
      </c>
      <c r="U21" s="71">
        <v>395.04</v>
      </c>
      <c r="V21" s="69"/>
      <c r="W21" s="69"/>
      <c r="X21" s="69"/>
      <c r="Y21" s="72">
        <f>SUM(Y2:Y20)</f>
        <v>9814343.6099999994</v>
      </c>
      <c r="Z21" s="55"/>
      <c r="AA21" s="12"/>
      <c r="AB21" s="12"/>
    </row>
    <row r="22" spans="1:28" ht="15.75" thickBot="1" x14ac:dyDescent="0.3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7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8"/>
      <c r="Z22" s="12"/>
      <c r="AA22" s="12"/>
      <c r="AB22" s="12"/>
    </row>
    <row r="23" spans="1:28" ht="15.75" thickBo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40" t="s">
        <v>198</v>
      </c>
      <c r="V23" s="12"/>
      <c r="W23" s="39">
        <v>1070</v>
      </c>
      <c r="X23" s="12"/>
      <c r="Y23" s="12"/>
      <c r="Z23" s="12"/>
      <c r="AA23" s="12"/>
      <c r="AB23" s="12"/>
    </row>
    <row r="24" spans="1:28" ht="15.75" thickBo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54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5.75" thickBo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5.75" thickBo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15.75" thickBo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5.75" thickBo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5.75" thickBo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5.75" thickBo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5.75" thickBo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5.75" thickBo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5.75" thickBo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5.75" thickBo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5.75" thickBo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5.75" thickBo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5.75" thickBo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5.75" thickBo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5.75" thickBo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5.75" thickBo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5.75" thickBo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5.75" thickBo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5.75" thickBo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5.75" thickBo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5.75" thickBo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5.75" thickBo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5.75" thickBo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5.75" thickBo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5.75" thickBo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5.75" thickBo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5.75" thickBo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5.75" thickBo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5.75" thickBo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15.75" thickBo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5.75" thickBo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5.75" thickBo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5.75" thickBo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5.75" thickBo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5.75" thickBo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5.75" thickBo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5.75" thickBo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5.75" thickBo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5.75" thickBo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5.75" thickBo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5.75" thickBo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5.75" thickBo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5.75" thickBo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5.75" thickBo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5.75" thickBo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5.75" thickBo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5.75" thickBo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5.75" thickBo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5.75" thickBo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5.75" thickBo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5.75" thickBo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5.75" thickBo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5.75" thickBo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5.75" thickBo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5.75" thickBo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5.75" thickBo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5.75" thickBo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5.75" thickBo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5.75" thickBo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5.75" thickBo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5.75" thickBo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5.75" thickBo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5.75" thickBo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5.75" thickBo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spans="1:28" ht="15.75" thickBo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spans="1:28" ht="15.75" thickBo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spans="1:28" ht="15.75" thickBo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spans="1:28" ht="15.75" thickBo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spans="1:28" ht="15.75" thickBo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spans="1:28" ht="15.75" thickBo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spans="1:28" ht="15.75" thickBo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spans="1:28" ht="15.75" thickBo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spans="1:28" ht="15.75" thickBo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spans="1:28" ht="15.75" thickBo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spans="1:28" ht="15.75" thickBo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spans="1:28" ht="15.75" thickBo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spans="1:28" ht="15.75" thickBo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spans="1:28" ht="15.75" thickBo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spans="1:28" ht="15.75" thickBo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spans="1:28" ht="15.75" thickBo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spans="1:28" ht="15.75" thickBo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spans="1:28" ht="15.75" thickBo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spans="1:28" ht="15.75" thickBo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spans="1:28" ht="15.75" thickBo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spans="1:28" ht="15.75" thickBo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spans="1:28" ht="15.75" thickBo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spans="1:28" ht="15.75" thickBo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spans="1:28" ht="15.75" thickBo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spans="1:28" ht="15.75" thickBo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spans="1:28" ht="15.75" thickBo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spans="1:28" ht="15.75" thickBo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spans="1:28" ht="15.75" thickBo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spans="1:28" ht="15.75" thickBo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spans="1:28" ht="15.75" thickBo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spans="1:28" ht="15.75" thickBo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spans="1:28" ht="15.75" thickBo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spans="1:28" ht="15.75" thickBo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spans="1:28" ht="15.75" thickBo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spans="1:28" ht="15.75" thickBo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spans="1:28" ht="15.75" thickBo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 ht="15.75" thickBo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 ht="15.75" thickBo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 ht="15.75" thickBo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 ht="15.75" thickBo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.75" thickBo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15.75" thickBo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15.75" thickBo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 ht="15.75" thickBo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 ht="15.75" thickBo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 ht="15.75" thickBo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 ht="15.75" thickBo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 ht="15.75" thickBo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 ht="15.75" thickBo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 ht="15.75" thickBo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 ht="15.75" thickBo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 ht="15.75" thickBo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 ht="15.75" thickBo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 ht="15.75" thickBo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 ht="15.75" thickBo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 ht="15.75" thickBo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 ht="15.75" thickBo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 ht="15.75" thickBo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 ht="15.75" thickBo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 ht="15.75" thickBo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 ht="15.75" thickBo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 ht="15.75" thickBo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 ht="15.75" thickBo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 ht="15.75" thickBo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 ht="15.75" thickBo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 ht="15.75" thickBo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 ht="15.75" thickBo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 ht="15.75" thickBo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 ht="15.75" thickBo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 ht="15.75" thickBo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 ht="15.75" thickBo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 ht="15.75" thickBo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 ht="15.75" thickBo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 ht="15.75" thickBo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ht="15.75" thickBo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 ht="15.75" thickBo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 ht="15.75" thickBo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 ht="15.75" thickBo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 ht="15.75" thickBo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 ht="15.75" thickBo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 ht="15.75" thickBo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 ht="15.75" thickBo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 ht="15.75" thickBo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 ht="15.75" thickBo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 ht="15.75" thickBo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 ht="15.75" thickBo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 ht="15.75" thickBo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 ht="15.75" thickBo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 ht="15.75" thickBo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 ht="15.75" thickBo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 ht="15.75" thickBo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 ht="15.75" thickBo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 ht="15.75" thickBo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 ht="15.75" thickBo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 ht="15.75" thickBo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 ht="15.75" thickBo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 ht="15.75" thickBo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 ht="15.75" thickBo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 ht="15.75" thickBo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 ht="15.75" thickBo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 ht="15.75" thickBo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 ht="15.75" thickBo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 ht="15.75" thickBo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 ht="15.75" thickBo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 ht="15.75" thickBo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 ht="15.75" thickBo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 ht="15.75" thickBo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 ht="15.75" thickBo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 ht="15.75" thickBo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 ht="15.75" thickBo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 ht="15.75" thickBo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 ht="15.75" thickBo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 ht="15.75" thickBo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 ht="15.75" thickBo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 ht="15.75" thickBo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 ht="15.75" thickBo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 ht="15.75" thickBo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ht="15.75" thickBo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spans="1:28" ht="15.75" thickBo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spans="1:28" ht="15.75" thickBo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spans="1:28" ht="15.75" thickBo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spans="1:28" ht="15.75" thickBo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spans="1:28" ht="15.75" thickBo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spans="1:28" ht="15.75" thickBo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spans="1:28" ht="15.75" thickBo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spans="1:28" ht="15.75" thickBo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spans="1:28" ht="15.75" thickBo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spans="1:28" ht="15.75" thickBo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spans="1:28" ht="15.75" thickBo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spans="1:28" ht="15.75" thickBo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spans="1:28" ht="15.75" thickBo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spans="1:28" ht="15.75" thickBo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spans="1:28" ht="15.75" thickBo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spans="1:28" ht="15.75" thickBo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spans="1:28" ht="15.75" thickBo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spans="1:28" ht="15.75" thickBo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 ht="15.75" thickBo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 ht="15.75" thickBo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 ht="15.75" thickBo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 ht="15.75" thickBo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spans="1:28" ht="15.75" thickBo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spans="1:28" ht="15.75" thickBo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spans="1:28" ht="15.75" thickBo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spans="1:28" ht="15.75" thickBo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spans="1:28" ht="15.75" thickBo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spans="1:28" ht="15.75" thickBo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spans="1:28" ht="15.75" thickBo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spans="1:28" ht="15.75" thickBo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spans="1:28" ht="15.75" thickBo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spans="1:28" ht="15.75" thickBo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spans="1:28" ht="15.75" thickBo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spans="1:28" ht="15.75" thickBo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spans="1:28" ht="15.75" thickBo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spans="1:28" ht="15.75" thickBo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spans="1:28" ht="15.75" thickBo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spans="1:28" ht="15.75" thickBo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spans="1:28" ht="15.75" thickBo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spans="1:28" ht="15.75" thickBo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spans="1:28" ht="15.75" thickBo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spans="1:28" ht="15.75" thickBo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spans="1:28" ht="15.75" thickBo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spans="1:28" ht="15.75" thickBo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spans="1:28" ht="15.75" thickBo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spans="1:28" ht="15.75" thickBo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spans="1:28" ht="15.75" thickBo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spans="1:28" ht="15.75" thickBo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spans="1:28" ht="15.75" thickBo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spans="1:28" ht="15.75" thickBo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 ht="15.75" thickBo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 ht="15.75" thickBo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 ht="15.75" thickBo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 ht="15.75" thickBo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 ht="15.75" thickBo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 ht="15.75" thickBo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 ht="15.75" thickBo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 ht="15.75" thickBo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 ht="15.75" thickBo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 ht="15.75" thickBo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 ht="15.75" thickBo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 ht="15.75" thickBo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 ht="15.75" thickBo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 ht="15.75" thickBo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 ht="15.75" thickBo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 ht="15.75" thickBo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spans="1:28" ht="15.75" thickBo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spans="1:28" ht="15.75" thickBo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spans="1:28" ht="15.75" thickBo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spans="1:28" ht="15.75" thickBo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spans="1:28" ht="15.75" thickBo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spans="1:28" ht="15.75" thickBo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spans="1:28" ht="15.75" thickBo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spans="1:28" ht="15.75" thickBo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spans="1:28" ht="15.75" thickBo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spans="1:28" ht="15.75" thickBo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spans="1:28" ht="15.75" thickBo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spans="1:28" ht="15.75" thickBo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5.75" thickBo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5.75" thickBo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5.75" thickBo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5.75" thickBo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5.75" thickBo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5.75" thickBo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5.75" thickBo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5.75" thickBo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5.75" thickBo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5.75" thickBo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5.75" thickBo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5.75" thickBo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5.75" thickBo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5.75" thickBo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5.75" thickBo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5.75" thickBo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5.75" thickBo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5.75" thickBo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15.75" thickBo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15.75" thickBo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5.75" thickBo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5.75" thickBo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5.75" thickBo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5.75" thickBo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5.75" thickBo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5.75" thickBo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5.75" thickBo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15.75" thickBo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5.75" thickBo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5.75" thickBo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5.75" thickBo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5.75" thickBo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5.75" thickBo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5.75" thickBo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5.75" thickBo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5.75" thickBo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15.75" thickBo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15.75" thickBo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15.75" thickBo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5.75" thickBo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5.75" thickBo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5.75" thickBo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5.75" thickBo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5.75" thickBo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5.75" thickBo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5.75" thickBo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5.75" thickBo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5.75" thickBo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5.75" thickBo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5.75" thickBo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5.75" thickBo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5.75" thickBo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5.75" thickBo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5.75" thickBo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5.75" thickBo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5.75" thickBo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5.75" thickBo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5.75" thickBo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5.75" thickBo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5.75" thickBo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5.75" thickBo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5.75" thickBo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5.75" thickBo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5.75" thickBo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5.75" thickBo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5.75" thickBo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5.75" thickBo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5.75" thickBo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15.75" thickBo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5.75" thickBo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5.75" thickBo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5.75" thickBo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5.75" thickBo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5.75" thickBo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5.75" thickBo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5.75" thickBo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5.75" thickBo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5.75" thickBo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5.75" thickBo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5.75" thickBo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5.75" thickBo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5.75" thickBo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5.75" thickBo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5.75" thickBo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5.75" thickBo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5.75" thickBo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5.75" thickBo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15.75" thickBo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5.75" thickBo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5.75" thickBo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5.75" thickBo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5.75" thickBo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5.75" thickBo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15.75" thickBo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5.75" thickBo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5.75" thickBo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5.75" thickBo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5.75" thickBo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5.75" thickBo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5.75" thickBo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5.75" thickBo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5.75" thickBo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5.75" thickBo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5.75" thickBo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5.75" thickBo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5.75" thickBo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5.75" thickBo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5.75" thickBo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5.75" thickBo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5.75" thickBo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5.75" thickBo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5.75" thickBo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5.75" thickBo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5.75" thickBo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5.75" thickBo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5.75" thickBo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15.75" thickBo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5.75" thickBo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5.75" thickBo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5.75" thickBo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5.75" thickBo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5.75" thickBo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15.75" thickBo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5.75" thickBo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5.75" thickBo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15.75" thickBo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5.75" thickBo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5.75" thickBo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15.75" thickBo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15.75" thickBo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5.75" thickBo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5.75" thickBo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5.75" thickBo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5.75" thickBo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5.75" thickBo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5.75" thickBo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5.75" thickBo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5.75" thickBo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5.75" thickBo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5.75" thickBo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5.75" thickBo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5.75" thickBo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5.75" thickBo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5.75" thickBo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5.75" thickBo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5.75" thickBo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5.75" thickBo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5.75" thickBo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5.75" thickBo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5.75" thickBo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5.75" thickBo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5.75" thickBo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5.75" thickBo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5.75" thickBo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5.75" thickBo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5.75" thickBo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5.75" thickBo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5.75" thickBo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5.75" thickBo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5.75" thickBo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5.75" thickBo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5.75" thickBo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5.75" thickBo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5.75" thickBo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5.75" thickBo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5.75" thickBo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5.75" thickBo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5.75" thickBo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5.75" thickBo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5.75" thickBo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5.75" thickBo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5.75" thickBo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5.75" thickBo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5.75" thickBo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5.75" thickBo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5.75" thickBo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5.75" thickBo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5.75" thickBo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5.75" thickBo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5.75" thickBo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5.75" thickBo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5.75" thickBo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5.75" thickBo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5.75" thickBo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5.75" thickBo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5.75" thickBo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5.75" thickBo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5.75" thickBo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5.75" thickBo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5.75" thickBo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5.75" thickBo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5.75" thickBo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5.75" thickBo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5.75" thickBo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5.75" thickBo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5.75" thickBo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5.75" thickBo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5.75" thickBo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5.75" thickBo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5.75" thickBo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5.75" thickBo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5.75" thickBo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5.75" thickBo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5.75" thickBo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5.75" thickBo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5.75" thickBo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5.75" thickBo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5.75" thickBo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5.75" thickBo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5.75" thickBo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5.75" thickBo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5.75" thickBo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5.75" thickBo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5.75" thickBo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5.75" thickBo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5.75" thickBo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5.75" thickBo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5.75" thickBo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5.75" thickBo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5.75" thickBo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5.75" thickBo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5.75" thickBo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5.75" thickBo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5.75" thickBo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5.75" thickBo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5.75" thickBo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5.75" thickBo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5.75" thickBo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5.75" thickBo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5.75" thickBo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5.75" thickBo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5.75" thickBo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5.75" thickBo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5.75" thickBo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5.75" thickBo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5.75" thickBo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5.75" thickBo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5.75" thickBo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5.75" thickBo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5.75" thickBo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5.75" thickBo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5.75" thickBo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5.75" thickBo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5.75" thickBo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5.75" thickBo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5.75" thickBo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5.75" thickBo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5.75" thickBo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5.75" thickBo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5.75" thickBo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5.75" thickBo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5.75" thickBo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5.75" thickBo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5.75" thickBo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5.75" thickBo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5.75" thickBo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5.75" thickBo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5.75" thickBo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5.75" thickBo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5.75" thickBo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5.75" thickBo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5.75" thickBo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5.75" thickBo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5.75" thickBo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5.75" thickBo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5.75" thickBo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5.75" thickBo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5.75" thickBo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5.75" thickBo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5.75" thickBo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5.75" thickBo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5.75" thickBo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5.75" thickBo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5.75" thickBo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5.75" thickBo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5.75" thickBo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5.75" thickBo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5.75" thickBo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5.75" thickBo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5.75" thickBo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5.75" thickBo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5.75" thickBo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5.75" thickBo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5.75" thickBo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5.75" thickBo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5.75" thickBo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5.75" thickBo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5.75" thickBo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5.75" thickBo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5.75" thickBo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5.75" thickBo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5.75" thickBo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5.75" thickBo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5.75" thickBo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5.75" thickBo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5.75" thickBo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5.75" thickBo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5.75" thickBo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5.75" thickBo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5.75" thickBo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5.75" thickBo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5.75" thickBo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5.75" thickBo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5.75" thickBo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5.75" thickBo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5.75" thickBo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5.75" thickBo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5.75" thickBo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5.75" thickBo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5.75" thickBo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5.75" thickBo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5.75" thickBo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5.75" thickBo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5.75" thickBo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5.75" thickBo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5.75" thickBo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5.75" thickBo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5.75" thickBo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5.75" thickBo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5.75" thickBo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5.75" thickBo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5.75" thickBo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5.75" thickBo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5.75" thickBo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5.75" thickBo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5.75" thickBo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5.75" thickBo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5.75" thickBo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5.75" thickBo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5.75" thickBo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5.75" thickBo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5.75" thickBo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5.75" thickBo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5.75" thickBo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5.75" thickBo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5.75" thickBo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5.75" thickBo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5.75" thickBo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5.75" thickBo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5.75" thickBo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5.75" thickBo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5.75" thickBo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5.75" thickBo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5.75" thickBo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5.75" thickBo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5.75" thickBo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5.75" thickBo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5.75" thickBo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5.75" thickBo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5.75" thickBo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5.75" thickBo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5.75" thickBo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5.75" thickBo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5.75" thickBo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5.75" thickBo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5.75" thickBo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5.75" thickBo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5.75" thickBo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5.75" thickBo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5.75" thickBo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5.75" thickBo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5.75" thickBo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5.75" thickBo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5.75" thickBo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5.75" thickBo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5.75" thickBo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5.75" thickBo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5.75" thickBo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5.75" thickBo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5.75" thickBo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5.75" thickBo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5.75" thickBo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5.75" thickBo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5.75" thickBo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5.75" thickBo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5.75" thickBo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5.75" thickBo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5.75" thickBo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5.75" thickBo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5.75" thickBo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5.75" thickBo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5.75" thickBo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5.75" thickBo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5.75" thickBo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5.75" thickBo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5.75" thickBo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5.75" thickBo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5.75" thickBo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5.75" thickBo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5.75" thickBo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5.75" thickBo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5.75" thickBo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5.75" thickBo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5.75" thickBo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5.75" thickBo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5.75" thickBo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5.75" thickBo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5.75" thickBo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5.75" thickBo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5.75" thickBo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5.75" thickBo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5.75" thickBo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5.75" thickBo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5.75" thickBo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5.75" thickBo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5.75" thickBo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5.75" thickBo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5.75" thickBo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5.75" thickBo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5.75" thickBo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5.75" thickBo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5.75" thickBo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5.75" thickBo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5.75" thickBo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5.75" thickBo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5.75" thickBo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5.75" thickBo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5.75" thickBo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5.75" thickBo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5.75" thickBo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5.75" thickBo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5.75" thickBo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5.75" thickBo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5.75" thickBo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5.75" thickBo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5.75" thickBo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5.75" thickBo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5.75" thickBo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5.75" thickBo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5.75" thickBo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5.75" thickBo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5.75" thickBo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5.75" thickBo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5.75" thickBo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5.75" thickBo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5.75" thickBo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5.75" thickBo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5.75" thickBo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5.75" thickBo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5.75" thickBo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5.75" thickBo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5.75" thickBo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5.75" thickBo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5.75" thickBo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5.75" thickBo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5.75" thickBo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5.75" thickBo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5.75" thickBo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5.75" thickBo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5.75" thickBo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5.75" thickBo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5.75" thickBo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5.75" thickBo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5.75" thickBo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5.75" thickBo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5.75" thickBo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5.75" thickBo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5.75" thickBo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5.75" thickBot="1" x14ac:dyDescent="0.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5.75" thickBot="1" x14ac:dyDescent="0.3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5.75" thickBot="1" x14ac:dyDescent="0.3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5.75" thickBot="1" x14ac:dyDescent="0.3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5.75" thickBot="1" x14ac:dyDescent="0.3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5.75" thickBot="1" x14ac:dyDescent="0.3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5.75" thickBot="1" x14ac:dyDescent="0.3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5.75" thickBot="1" x14ac:dyDescent="0.3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5.75" thickBot="1" x14ac:dyDescent="0.3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5.75" thickBot="1" x14ac:dyDescent="0.3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5.75" thickBot="1" x14ac:dyDescent="0.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5.75" thickBot="1" x14ac:dyDescent="0.3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5.75" thickBot="1" x14ac:dyDescent="0.3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5.75" thickBot="1" x14ac:dyDescent="0.3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5.75" thickBot="1" x14ac:dyDescent="0.3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5.75" thickBot="1" x14ac:dyDescent="0.3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5.75" thickBot="1" x14ac:dyDescent="0.3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5.75" thickBot="1" x14ac:dyDescent="0.3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5.75" thickBot="1" x14ac:dyDescent="0.3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5.75" thickBot="1" x14ac:dyDescent="0.3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5.75" thickBot="1" x14ac:dyDescent="0.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5.75" thickBot="1" x14ac:dyDescent="0.3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5.75" thickBot="1" x14ac:dyDescent="0.3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5.75" thickBot="1" x14ac:dyDescent="0.3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5.75" thickBot="1" x14ac:dyDescent="0.3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5.75" thickBot="1" x14ac:dyDescent="0.3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5.75" thickBot="1" x14ac:dyDescent="0.3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5.75" thickBot="1" x14ac:dyDescent="0.3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5.75" thickBot="1" x14ac:dyDescent="0.3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5.75" thickBot="1" x14ac:dyDescent="0.3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5.75" thickBot="1" x14ac:dyDescent="0.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5.75" thickBot="1" x14ac:dyDescent="0.3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5.75" thickBot="1" x14ac:dyDescent="0.3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5.75" thickBot="1" x14ac:dyDescent="0.3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5.75" thickBot="1" x14ac:dyDescent="0.3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5.75" thickBot="1" x14ac:dyDescent="0.3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5.75" thickBot="1" x14ac:dyDescent="0.3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5.75" thickBot="1" x14ac:dyDescent="0.3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5.75" thickBot="1" x14ac:dyDescent="0.3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5.75" thickBot="1" x14ac:dyDescent="0.3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5.75" thickBot="1" x14ac:dyDescent="0.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5.75" thickBot="1" x14ac:dyDescent="0.3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5.75" thickBot="1" x14ac:dyDescent="0.3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5.75" thickBot="1" x14ac:dyDescent="0.3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5.75" thickBot="1" x14ac:dyDescent="0.3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5.75" thickBot="1" x14ac:dyDescent="0.3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5.75" thickBot="1" x14ac:dyDescent="0.3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5.75" thickBot="1" x14ac:dyDescent="0.3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5.75" thickBot="1" x14ac:dyDescent="0.3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5.75" thickBot="1" x14ac:dyDescent="0.3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5.75" thickBot="1" x14ac:dyDescent="0.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5.75" thickBot="1" x14ac:dyDescent="0.3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5.75" thickBot="1" x14ac:dyDescent="0.3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5.75" thickBot="1" x14ac:dyDescent="0.3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5.75" thickBot="1" x14ac:dyDescent="0.3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5.75" thickBot="1" x14ac:dyDescent="0.3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5.75" thickBot="1" x14ac:dyDescent="0.3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5.75" thickBot="1" x14ac:dyDescent="0.3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5.75" thickBot="1" x14ac:dyDescent="0.3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5.75" thickBot="1" x14ac:dyDescent="0.3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5.75" thickBot="1" x14ac:dyDescent="0.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5.75" thickBot="1" x14ac:dyDescent="0.3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5.75" thickBot="1" x14ac:dyDescent="0.3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5.75" thickBot="1" x14ac:dyDescent="0.3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5.75" thickBot="1" x14ac:dyDescent="0.3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5.75" thickBot="1" x14ac:dyDescent="0.3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5.75" thickBot="1" x14ac:dyDescent="0.3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5.75" thickBot="1" x14ac:dyDescent="0.3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5.75" thickBot="1" x14ac:dyDescent="0.3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5.75" thickBot="1" x14ac:dyDescent="0.3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5.75" thickBot="1" x14ac:dyDescent="0.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5.75" thickBot="1" x14ac:dyDescent="0.3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5.75" thickBot="1" x14ac:dyDescent="0.3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5.75" thickBot="1" x14ac:dyDescent="0.3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5.75" thickBot="1" x14ac:dyDescent="0.3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5.75" thickBot="1" x14ac:dyDescent="0.3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5.75" thickBot="1" x14ac:dyDescent="0.3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5.75" thickBot="1" x14ac:dyDescent="0.3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5.75" thickBot="1" x14ac:dyDescent="0.3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5.75" thickBot="1" x14ac:dyDescent="0.3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5.75" thickBot="1" x14ac:dyDescent="0.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5.75" thickBot="1" x14ac:dyDescent="0.3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5.75" thickBot="1" x14ac:dyDescent="0.3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5.75" thickBot="1" x14ac:dyDescent="0.3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5.75" thickBot="1" x14ac:dyDescent="0.3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5.75" thickBot="1" x14ac:dyDescent="0.3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5.75" thickBot="1" x14ac:dyDescent="0.3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5.75" thickBot="1" x14ac:dyDescent="0.3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5.75" thickBot="1" x14ac:dyDescent="0.3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5.75" thickBot="1" x14ac:dyDescent="0.3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5.75" thickBot="1" x14ac:dyDescent="0.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5.75" thickBot="1" x14ac:dyDescent="0.3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5.75" thickBot="1" x14ac:dyDescent="0.3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5.75" thickBot="1" x14ac:dyDescent="0.3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5.75" thickBot="1" x14ac:dyDescent="0.3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5.75" thickBot="1" x14ac:dyDescent="0.3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5.75" thickBot="1" x14ac:dyDescent="0.3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5.75" thickBot="1" x14ac:dyDescent="0.3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5.75" thickBot="1" x14ac:dyDescent="0.3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5.75" thickBot="1" x14ac:dyDescent="0.3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5.75" thickBot="1" x14ac:dyDescent="0.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5.75" thickBot="1" x14ac:dyDescent="0.3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5.75" thickBot="1" x14ac:dyDescent="0.3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5.75" thickBot="1" x14ac:dyDescent="0.3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5.75" thickBot="1" x14ac:dyDescent="0.3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5.75" thickBot="1" x14ac:dyDescent="0.3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5.75" thickBot="1" x14ac:dyDescent="0.3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5.75" thickBot="1" x14ac:dyDescent="0.3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5.75" thickBot="1" x14ac:dyDescent="0.3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5.75" thickBot="1" x14ac:dyDescent="0.3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5.75" thickBot="1" x14ac:dyDescent="0.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5.75" thickBot="1" x14ac:dyDescent="0.3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5.75" thickBot="1" x14ac:dyDescent="0.3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5.75" thickBot="1" x14ac:dyDescent="0.3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5.75" thickBot="1" x14ac:dyDescent="0.3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5.75" thickBot="1" x14ac:dyDescent="0.3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5.75" thickBot="1" x14ac:dyDescent="0.3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5.75" thickBot="1" x14ac:dyDescent="0.3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5.75" thickBot="1" x14ac:dyDescent="0.3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5.75" thickBot="1" x14ac:dyDescent="0.3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5.75" thickBot="1" x14ac:dyDescent="0.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5.75" thickBot="1" x14ac:dyDescent="0.3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5.75" thickBot="1" x14ac:dyDescent="0.3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5.75" thickBot="1" x14ac:dyDescent="0.3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5.75" thickBot="1" x14ac:dyDescent="0.3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5.75" thickBot="1" x14ac:dyDescent="0.3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5.75" thickBot="1" x14ac:dyDescent="0.3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5.75" thickBot="1" x14ac:dyDescent="0.3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5.75" thickBot="1" x14ac:dyDescent="0.3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5.75" thickBot="1" x14ac:dyDescent="0.3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5.75" thickBot="1" x14ac:dyDescent="0.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5.75" thickBot="1" x14ac:dyDescent="0.3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5.75" thickBot="1" x14ac:dyDescent="0.3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5.75" thickBot="1" x14ac:dyDescent="0.3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5.75" thickBot="1" x14ac:dyDescent="0.3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5.75" thickBot="1" x14ac:dyDescent="0.3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5.75" thickBot="1" x14ac:dyDescent="0.3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5.75" thickBot="1" x14ac:dyDescent="0.3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15.75" thickBot="1" x14ac:dyDescent="0.3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5.75" thickBot="1" x14ac:dyDescent="0.3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5.75" thickBot="1" x14ac:dyDescent="0.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15.75" thickBot="1" x14ac:dyDescent="0.3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15.75" thickBot="1" x14ac:dyDescent="0.3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15.75" thickBot="1" x14ac:dyDescent="0.3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5.75" thickBot="1" x14ac:dyDescent="0.3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5.75" thickBot="1" x14ac:dyDescent="0.3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5.75" thickBot="1" x14ac:dyDescent="0.3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5.75" thickBot="1" x14ac:dyDescent="0.3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5.75" thickBot="1" x14ac:dyDescent="0.3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5.75" thickBot="1" x14ac:dyDescent="0.3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5.75" thickBot="1" x14ac:dyDescent="0.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5.75" thickBot="1" x14ac:dyDescent="0.3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5.75" thickBot="1" x14ac:dyDescent="0.3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5.75" thickBot="1" x14ac:dyDescent="0.3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5.75" thickBot="1" x14ac:dyDescent="0.3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5.75" thickBot="1" x14ac:dyDescent="0.3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5.75" thickBot="1" x14ac:dyDescent="0.3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5.75" thickBot="1" x14ac:dyDescent="0.3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5.75" thickBot="1" x14ac:dyDescent="0.3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15.75" thickBot="1" x14ac:dyDescent="0.3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5.75" thickBot="1" x14ac:dyDescent="0.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5.75" thickBot="1" x14ac:dyDescent="0.3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5.75" thickBot="1" x14ac:dyDescent="0.3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5.75" thickBot="1" x14ac:dyDescent="0.3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5.75" thickBot="1" x14ac:dyDescent="0.3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5.75" thickBot="1" x14ac:dyDescent="0.3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5.75" thickBot="1" x14ac:dyDescent="0.3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5.75" thickBot="1" x14ac:dyDescent="0.3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15.75" thickBot="1" x14ac:dyDescent="0.3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5.75" thickBot="1" x14ac:dyDescent="0.3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5.75" thickBot="1" x14ac:dyDescent="0.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5.75" thickBot="1" x14ac:dyDescent="0.3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5.75" thickBot="1" x14ac:dyDescent="0.3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5.75" thickBot="1" x14ac:dyDescent="0.3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5.75" thickBot="1" x14ac:dyDescent="0.3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5.75" thickBot="1" x14ac:dyDescent="0.3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5.75" thickBot="1" x14ac:dyDescent="0.3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5.75" thickBot="1" x14ac:dyDescent="0.3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5.75" thickBot="1" x14ac:dyDescent="0.3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5.75" thickBot="1" x14ac:dyDescent="0.3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5.75" thickBot="1" x14ac:dyDescent="0.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15.75" thickBot="1" x14ac:dyDescent="0.3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5.75" thickBot="1" x14ac:dyDescent="0.3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5.75" thickBot="1" x14ac:dyDescent="0.3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5.75" thickBot="1" x14ac:dyDescent="0.3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15.75" thickBot="1" x14ac:dyDescent="0.3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5.75" thickBot="1" x14ac:dyDescent="0.3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5.75" thickBot="1" x14ac:dyDescent="0.3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15.75" thickBot="1" x14ac:dyDescent="0.3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5.75" thickBot="1" x14ac:dyDescent="0.3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5.75" thickBot="1" x14ac:dyDescent="0.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5.75" thickBot="1" x14ac:dyDescent="0.3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5.75" thickBot="1" x14ac:dyDescent="0.3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5.75" thickBot="1" x14ac:dyDescent="0.3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15.75" thickBot="1" x14ac:dyDescent="0.3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5.75" thickBot="1" x14ac:dyDescent="0.3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5.75" thickBot="1" x14ac:dyDescent="0.3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5.75" thickBot="1" x14ac:dyDescent="0.3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15.75" thickBot="1" x14ac:dyDescent="0.3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15.75" thickBot="1" x14ac:dyDescent="0.3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15.75" thickBot="1" x14ac:dyDescent="0.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5.75" thickBot="1" x14ac:dyDescent="0.3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5.75" thickBot="1" x14ac:dyDescent="0.3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5.75" thickBot="1" x14ac:dyDescent="0.3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5.75" thickBot="1" x14ac:dyDescent="0.3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15.75" thickBot="1" x14ac:dyDescent="0.3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5.75" thickBot="1" x14ac:dyDescent="0.3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5.75" thickBot="1" x14ac:dyDescent="0.3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5.75" thickBot="1" x14ac:dyDescent="0.3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5.75" thickBot="1" x14ac:dyDescent="0.3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5.75" thickBot="1" x14ac:dyDescent="0.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15.75" thickBot="1" x14ac:dyDescent="0.3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5.75" thickBot="1" x14ac:dyDescent="0.3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5.75" thickBot="1" x14ac:dyDescent="0.3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5.75" thickBot="1" x14ac:dyDescent="0.3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5.75" thickBot="1" x14ac:dyDescent="0.3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5.75" thickBot="1" x14ac:dyDescent="0.3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5.75" thickBot="1" x14ac:dyDescent="0.3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5.75" thickBot="1" x14ac:dyDescent="0.3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5.75" thickBot="1" x14ac:dyDescent="0.3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5.75" thickBot="1" x14ac:dyDescent="0.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15.75" thickBot="1" x14ac:dyDescent="0.3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15.75" thickBot="1" x14ac:dyDescent="0.3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5.75" thickBot="1" x14ac:dyDescent="0.3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5.75" thickBot="1" x14ac:dyDescent="0.3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5.75" thickBot="1" x14ac:dyDescent="0.3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5.75" thickBot="1" x14ac:dyDescent="0.3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15.75" thickBot="1" x14ac:dyDescent="0.3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15.75" thickBot="1" x14ac:dyDescent="0.3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15.75" thickBot="1" x14ac:dyDescent="0.3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5.75" thickBot="1" x14ac:dyDescent="0.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5.75" thickBot="1" x14ac:dyDescent="0.3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5.75" thickBot="1" x14ac:dyDescent="0.3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15.75" thickBot="1" x14ac:dyDescent="0.3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15.75" thickBot="1" x14ac:dyDescent="0.3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15.75" thickBot="1" x14ac:dyDescent="0.3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5.75" thickBot="1" x14ac:dyDescent="0.3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15.75" thickBot="1" x14ac:dyDescent="0.3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5.75" thickBot="1" x14ac:dyDescent="0.3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5.75" thickBot="1" x14ac:dyDescent="0.3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5.75" thickBot="1" x14ac:dyDescent="0.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5.75" thickBot="1" x14ac:dyDescent="0.3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5.75" thickBot="1" x14ac:dyDescent="0.3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5.75" thickBot="1" x14ac:dyDescent="0.3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5.75" thickBot="1" x14ac:dyDescent="0.3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5.75" thickBot="1" x14ac:dyDescent="0.3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5.75" thickBot="1" x14ac:dyDescent="0.3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5.75" thickBot="1" x14ac:dyDescent="0.3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spans="1:28" ht="15.75" thickBot="1" x14ac:dyDescent="0.3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spans="1:28" ht="15.75" thickBot="1" x14ac:dyDescent="0.3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spans="1:28" ht="15.75" thickBot="1" x14ac:dyDescent="0.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spans="1:28" ht="15.75" thickBot="1" x14ac:dyDescent="0.3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spans="1:28" ht="15.75" thickBot="1" x14ac:dyDescent="0.3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spans="1:28" ht="15.75" thickBot="1" x14ac:dyDescent="0.3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spans="1:28" ht="15.75" thickBot="1" x14ac:dyDescent="0.3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spans="1:28" ht="15.75" thickBot="1" x14ac:dyDescent="0.3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spans="1:28" ht="15.75" thickBot="1" x14ac:dyDescent="0.3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spans="1:28" ht="15.75" thickBot="1" x14ac:dyDescent="0.3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spans="1:28" ht="15.75" thickBot="1" x14ac:dyDescent="0.3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  <row r="1002" spans="1:28" ht="15.75" thickBot="1" x14ac:dyDescent="0.3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</row>
    <row r="1003" spans="1:28" ht="15.75" thickBot="1" x14ac:dyDescent="0.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</row>
    <row r="1004" spans="1:28" ht="15.75" thickBot="1" x14ac:dyDescent="0.3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</row>
    <row r="1005" spans="1:28" ht="15.75" thickBot="1" x14ac:dyDescent="0.3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</row>
    <row r="1006" spans="1:28" ht="15.75" thickBot="1" x14ac:dyDescent="0.3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</row>
    <row r="1007" spans="1:28" ht="15.75" thickBot="1" x14ac:dyDescent="0.3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</row>
    <row r="1008" spans="1:28" ht="15.75" thickBot="1" x14ac:dyDescent="0.3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</row>
    <row r="1009" spans="1:28" ht="15.75" thickBot="1" x14ac:dyDescent="0.3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</row>
    <row r="1010" spans="1:28" ht="15.75" thickBot="1" x14ac:dyDescent="0.3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</row>
    <row r="1011" spans="1:28" ht="15.75" thickBot="1" x14ac:dyDescent="0.3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</row>
    <row r="1012" spans="1:28" ht="15.75" thickBot="1" x14ac:dyDescent="0.3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</row>
    <row r="1013" spans="1:28" ht="15.75" thickBot="1" x14ac:dyDescent="0.3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</row>
  </sheetData>
  <mergeCells count="48">
    <mergeCell ref="W18:W19"/>
    <mergeCell ref="X18:X19"/>
    <mergeCell ref="A18:A19"/>
    <mergeCell ref="B18:B19"/>
    <mergeCell ref="C18:C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T15:T17"/>
    <mergeCell ref="U15:U17"/>
    <mergeCell ref="V15:V17"/>
    <mergeCell ref="W15:W17"/>
    <mergeCell ref="X15:X17"/>
    <mergeCell ref="A12:A13"/>
    <mergeCell ref="C12:C13"/>
    <mergeCell ref="W12:W13"/>
    <mergeCell ref="X12:X13"/>
    <mergeCell ref="A15:A17"/>
    <mergeCell ref="B15:B17"/>
    <mergeCell ref="C15:C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2:T3"/>
    <mergeCell ref="U2:U3"/>
    <mergeCell ref="V2:V3"/>
    <mergeCell ref="W2:W3"/>
    <mergeCell ref="X2:X3"/>
    <mergeCell ref="Q2:Q3"/>
    <mergeCell ref="R2:R3"/>
    <mergeCell ref="S2:S3"/>
    <mergeCell ref="A2:A3"/>
    <mergeCell ref="B2:B3"/>
    <mergeCell ref="C2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Feb´25</vt:lpstr>
      <vt:lpstr>Gastos</vt:lpstr>
      <vt:lpstr>Ventas Feb'24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2025-03-11T14:41:57Z</dcterms:modified>
</cp:coreProperties>
</file>