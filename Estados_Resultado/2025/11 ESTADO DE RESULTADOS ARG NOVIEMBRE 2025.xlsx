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15F7DEAE-275F-4DC9-A87A-0FE2F7E1D865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Nov'25" sheetId="23" r:id="rId1"/>
    <sheet name="Gastos" sheetId="24" r:id="rId2"/>
    <sheet name="Ventas Nov 2025" sheetId="18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8" l="1"/>
  <c r="K22" i="18"/>
  <c r="K14" i="18"/>
  <c r="K7" i="18"/>
  <c r="K26" i="18"/>
  <c r="K15" i="18"/>
  <c r="K25" i="18"/>
  <c r="K27" i="18"/>
  <c r="K12" i="18"/>
  <c r="K21" i="18"/>
  <c r="K4" i="18"/>
  <c r="K2" i="18"/>
  <c r="K6" i="18"/>
  <c r="J28" i="18"/>
  <c r="I28" i="18"/>
  <c r="B6" i="23" s="1"/>
  <c r="K28" i="18" l="1"/>
  <c r="B4" i="23" s="1"/>
  <c r="C139" i="24" l="1"/>
  <c r="B22" i="23" s="1"/>
  <c r="C13" i="24"/>
  <c r="B13" i="23" s="1"/>
  <c r="C33" i="24"/>
  <c r="B14" i="23" s="1"/>
  <c r="C35" i="24"/>
  <c r="B15" i="23" s="1"/>
  <c r="C130" i="24"/>
  <c r="B21" i="23" s="1"/>
  <c r="C119" i="24"/>
  <c r="B16" i="23" s="1"/>
  <c r="C15" i="24"/>
  <c r="B12" i="23" s="1"/>
  <c r="C10" i="24"/>
  <c r="B11" i="23" s="1"/>
  <c r="B10" i="23" l="1"/>
  <c r="B20" i="23" l="1"/>
  <c r="B24" i="23" l="1"/>
  <c r="L28" i="18" l="1"/>
  <c r="B3" i="23" s="1"/>
  <c r="B5" i="23" s="1"/>
  <c r="C4" i="23" l="1"/>
  <c r="C16" i="23"/>
  <c r="C15" i="23"/>
  <c r="C10" i="23"/>
  <c r="C11" i="23"/>
  <c r="B7" i="23"/>
  <c r="C18" i="23"/>
  <c r="C17" i="23"/>
  <c r="C21" i="23"/>
  <c r="C12" i="23"/>
  <c r="C14" i="23"/>
  <c r="C13" i="23"/>
  <c r="C20" i="23"/>
  <c r="C22" i="23"/>
  <c r="C7" i="23" l="1"/>
  <c r="B26" i="23"/>
  <c r="C26" i="23" s="1"/>
</calcChain>
</file>

<file path=xl/sharedStrings.xml><?xml version="1.0" encoding="utf-8"?>
<sst xmlns="http://schemas.openxmlformats.org/spreadsheetml/2006/main" count="666" uniqueCount="298">
  <si>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</si>
  <si>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</si>
  <si>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</si>
  <si>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</si>
  <si>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</si>
  <si>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</si>
  <si>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</si>
  <si>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</si>
  <si>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</si>
  <si>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</si>
  <si>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</si>
  <si>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</si>
  <si>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</si>
  <si>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</si>
  <si>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</si>
  <si>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</si>
  <si>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</si>
  <si>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</si>
  <si>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</si>
  <si>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</si>
  <si>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</si>
  <si>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</si>
  <si>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</si>
  <si>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</si>
  <si>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</si>
  <si>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</si>
  <si>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</si>
  <si>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</si>
  <si>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</si>
  <si>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</si>
  <si>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</si>
  <si>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</si>
  <si>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</si>
  <si>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</si>
  <si>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</si>
  <si>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</si>
  <si>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</si>
  <si>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</si>
  <si>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</si>
  <si>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</si>
  <si>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</si>
  <si>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</si>
  <si>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</si>
  <si>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</si>
  <si>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</si>
  <si>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</si>
  <si>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</si>
  <si>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</si>
  <si>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</si>
  <si>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</si>
  <si>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</si>
  <si>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</si>
  <si>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</si>
  <si>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</si>
  <si>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</si>
  <si>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</si>
  <si>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</si>
  <si>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</si>
  <si>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</si>
  <si>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</si>
  <si>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</si>
  <si>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</si>
  <si>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</si>
  <si>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</si>
  <si>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</si>
  <si>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</si>
  <si>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</si>
  <si>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</si>
  <si>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</si>
  <si>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</si>
  <si>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</si>
  <si>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</si>
  <si>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</si>
  <si>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</si>
  <si>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</si>
  <si>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</si>
  <si>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</si>
  <si>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</si>
  <si>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</si>
  <si>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</si>
  <si>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</si>
  <si>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</si>
  <si>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</si>
  <si>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</si>
  <si>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</si>
  <si>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</si>
  <si>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</si>
  <si>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</si>
  <si>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</si>
  <si>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</si>
  <si>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</si>
  <si>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</si>
  <si>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</si>
  <si>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</si>
  <si>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</si>
  <si>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</si>
  <si>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</si>
  <si>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</si>
  <si>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</si>
  <si>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</si>
  <si>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</si>
  <si>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</si>
  <si>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</si>
  <si>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</si>
  <si>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</si>
  <si>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</si>
  <si>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</si>
  <si>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</si>
  <si>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</si>
  <si>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</si>
  <si>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</si>
  <si>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</si>
  <si>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</si>
  <si>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</si>
  <si>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</si>
  <si>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</si>
  <si>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</si>
  <si>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Cynthia</t>
  </si>
  <si>
    <t>IVA</t>
  </si>
  <si>
    <t>Ingresos Brutos</t>
  </si>
  <si>
    <t>Local</t>
  </si>
  <si>
    <t>Sueldos</t>
  </si>
  <si>
    <t>Impuestos</t>
  </si>
  <si>
    <t>Ley 25.413</t>
  </si>
  <si>
    <t>Sircreb</t>
  </si>
  <si>
    <t>Alquiler</t>
  </si>
  <si>
    <t>Internet</t>
  </si>
  <si>
    <t>Honorarios Contables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</si>
  <si>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</si>
  <si>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</si>
  <si>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</si>
  <si>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</si>
  <si>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</si>
  <si>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</si>
  <si>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</si>
  <si>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</si>
  <si>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</si>
  <si>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</si>
  <si>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</si>
  <si>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</si>
  <si>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</si>
  <si>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</si>
  <si>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</si>
  <si>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</si>
  <si>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</si>
  <si>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</si>
  <si>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Categoría</t>
  </si>
  <si>
    <t>SubCategoría</t>
  </si>
  <si>
    <t>PUESTA EN MARCHA</t>
  </si>
  <si>
    <t>Cliente</t>
  </si>
  <si>
    <t>%</t>
  </si>
  <si>
    <t xml:space="preserve">INVERSIONES </t>
  </si>
  <si>
    <t>MARKETING</t>
  </si>
  <si>
    <t>FAECYS</t>
  </si>
  <si>
    <t>La Estrella</t>
  </si>
  <si>
    <t>Fletes</t>
  </si>
  <si>
    <t>Comisiones Ventas</t>
  </si>
  <si>
    <t>App Sumar</t>
  </si>
  <si>
    <t>Extraordinarios</t>
  </si>
  <si>
    <t>Importe</t>
  </si>
  <si>
    <t>Tipo de Operacion</t>
  </si>
  <si>
    <t>ID Operacion</t>
  </si>
  <si>
    <t>Status</t>
  </si>
  <si>
    <t>Vendedor</t>
  </si>
  <si>
    <t>Referido</t>
  </si>
  <si>
    <t>Correo</t>
  </si>
  <si>
    <t>Venta</t>
  </si>
  <si>
    <t>Pago Realizado</t>
  </si>
  <si>
    <t>Oscar Waldemar  Flaumer</t>
  </si>
  <si>
    <t>juanberticje9@gmail.com</t>
  </si>
  <si>
    <t>Stefania</t>
  </si>
  <si>
    <t>Seguridad</t>
  </si>
  <si>
    <t>Percep IVA</t>
  </si>
  <si>
    <t>Imp. Ing. Brutos Capital Federal</t>
  </si>
  <si>
    <t>Imp. Ing. Brutos Sircreb</t>
  </si>
  <si>
    <t>Impuesto Deb. Ley 25.413</t>
  </si>
  <si>
    <t>Impuesto Cre. Ley 25.413</t>
  </si>
  <si>
    <t xml:space="preserve">Pago | Servicios Imp Afip </t>
  </si>
  <si>
    <t>Iva</t>
  </si>
  <si>
    <t>AFIP</t>
  </si>
  <si>
    <t xml:space="preserve">Pago | Pay Per Tic | Deb Autom </t>
  </si>
  <si>
    <t xml:space="preserve">Pago | Personal Flow | Deb Autom </t>
  </si>
  <si>
    <t>Marketing</t>
  </si>
  <si>
    <t>Pago | Autoelevadores y Gruas | Oct 2025 | Fact 7537</t>
  </si>
  <si>
    <t>Otros Servicios</t>
  </si>
  <si>
    <t>Publicidad</t>
  </si>
  <si>
    <t>Selección de Personal</t>
  </si>
  <si>
    <t xml:space="preserve">Activos </t>
  </si>
  <si>
    <t>Accesorios</t>
  </si>
  <si>
    <t>Debito Com. Varias | Transf. al Ext.</t>
  </si>
  <si>
    <t>Pago | Edenor | Energia Electrica</t>
  </si>
  <si>
    <t>Gastos Administrativos</t>
  </si>
  <si>
    <t>Comisiones de Ventas</t>
  </si>
  <si>
    <t>Comisiones Distribuidores</t>
  </si>
  <si>
    <t>Equipo</t>
  </si>
  <si>
    <t>Descuento</t>
  </si>
  <si>
    <t>Unitario</t>
  </si>
  <si>
    <t>Regulador</t>
  </si>
  <si>
    <t>Costo</t>
  </si>
  <si>
    <t>Servicio de Selección de Personal</t>
  </si>
  <si>
    <t>Pago de 1 Entrada a Cena Apyce Aniversario</t>
  </si>
  <si>
    <t>Pago | Prosegur Noviembre 2025 Deb Autom.</t>
  </si>
  <si>
    <t>Pago | Sueldo Lelia Bertoni | Oct'25</t>
  </si>
  <si>
    <t>Pago | Sueldo Cynthia Fernández | Oct'25</t>
  </si>
  <si>
    <t>Pago | Sueldo Diego Argiró | Oct'25</t>
  </si>
  <si>
    <t>Pago | Desarrollo de Soluciones Digitales | Fact 00002-00000012</t>
  </si>
  <si>
    <t>Desarrollo Custom Pack 2</t>
  </si>
  <si>
    <t>Transf | Cuentas Propias</t>
  </si>
  <si>
    <t>Movimiento Cuenta 0002410-3 363-5</t>
  </si>
  <si>
    <t>Pago | Francisco Ricardo Jose | Fact 00002-00001091</t>
  </si>
  <si>
    <t>Regulador EQA de GAS 6.4mm 0.03bar (3 piezas)</t>
  </si>
  <si>
    <t>Pago | Veronica Valeria Rigante | Fact 00002-00000970</t>
  </si>
  <si>
    <t>Pago | Viviana Fuertes | Alquiler | Fact 00002-00000265</t>
  </si>
  <si>
    <t>Servicio APP Noviembre 2025</t>
  </si>
  <si>
    <t>Pago | Desarrollo de Soluciones Digitales | Fact 00002-00000019</t>
  </si>
  <si>
    <t>Pago | Alba Posse Patricia Maria | Fact 00001-00000020</t>
  </si>
  <si>
    <t>Pago | Reynoso Agustina | Fact 00001-00000006</t>
  </si>
  <si>
    <t>Creacion de Contenido</t>
  </si>
  <si>
    <t>Pago | Apyce | Fact 00010-00000028</t>
  </si>
  <si>
    <t>Pago | Mol &amp; Band | Fact 00003-00003384</t>
  </si>
  <si>
    <t>Base con ruedas para Horno</t>
  </si>
  <si>
    <t>Comision Gestion Tranaferancia de Fondos</t>
  </si>
  <si>
    <t>Pago | Soluciones Online | Nov 2025 | Deb. Autom. | Fact 000002-00481188</t>
  </si>
  <si>
    <t>Impresión de vinilo en PVC con soporte</t>
  </si>
  <si>
    <t>Pago | Bustos Alexis Emiliano | Fact 00002-00000772</t>
  </si>
  <si>
    <t>Pago | Cia de Seguros La Mercantil Andina</t>
  </si>
  <si>
    <t>Poliza de Accidentes Personales</t>
  </si>
  <si>
    <t>Pago | Cargas Sociales | La Estrella | Oct'25</t>
  </si>
  <si>
    <t>Pago | Nicolas Manuel Torres | Fact 00002-00000103</t>
  </si>
  <si>
    <t>Pago | Nicolas Manuel Torres | Fact 00002-00000114</t>
  </si>
  <si>
    <t>Bidones de agua (8 piezas) Sep - Oct  2025</t>
  </si>
  <si>
    <t>Bidones de agua (8 piezas) Oct - Nov 2025</t>
  </si>
  <si>
    <t>Pago | Autoelevadores y Gruas | Nov 2025 | Fact 7537</t>
  </si>
  <si>
    <t>Sueldo Liquidacion Axel Fernando Oct´25</t>
  </si>
  <si>
    <t>Comision Gestion de Fondos</t>
  </si>
  <si>
    <t>Comisiones Javier Oct´25</t>
  </si>
  <si>
    <t>Pago | Cargas Sociales | FAECYS | Oct'25</t>
  </si>
  <si>
    <t>Pago | Cargas Sociales | SEC | Oct'25</t>
  </si>
  <si>
    <t>Pago | Battaglia Daniel Damian | Fact 00002-00001013</t>
  </si>
  <si>
    <t>Transporte a Cena Apyce</t>
  </si>
  <si>
    <t>Pago | Cavalieri Fausto</t>
  </si>
  <si>
    <t>Devolucion de compra de Horno (Ya no quizo el equipo y se hizo devolucion menos el 10%</t>
  </si>
  <si>
    <t>Pago | Muñoz Ciro Tiziano | Fact 00010-00000001</t>
  </si>
  <si>
    <t>Puesta en Marcha</t>
  </si>
  <si>
    <t>Instalacion de Mesa Fria</t>
  </si>
  <si>
    <t xml:space="preserve">Pago | Corp All Comercio Exterior | Fact </t>
  </si>
  <si>
    <t>Logistica</t>
  </si>
  <si>
    <t>Fletes y Transportes</t>
  </si>
  <si>
    <t>Anticipo OP 08 (Importacion)</t>
  </si>
  <si>
    <t>Pago | Leonardo Agustin Pascual | Fact 00002-00000078</t>
  </si>
  <si>
    <t>Avisos publicitarios y film maker en RRSS y MIMA</t>
  </si>
  <si>
    <t>Comisiones Cynthia | Oct´25</t>
  </si>
  <si>
    <t>Comisiones Lelia | Oct´25</t>
  </si>
  <si>
    <t>Sueldo Cynthia | Oct´25</t>
  </si>
  <si>
    <t>Sueldo Lelia| Oct´25</t>
  </si>
  <si>
    <t>Sueldo Diego| Oct´25</t>
  </si>
  <si>
    <t>Sueldo Stefania  Oct´25</t>
  </si>
  <si>
    <t>Precio con Descuento</t>
  </si>
  <si>
    <t>Janet Arcos</t>
  </si>
  <si>
    <t>Horno FN1 Pro</t>
  </si>
  <si>
    <t>Diego Armando   Coronel</t>
  </si>
  <si>
    <t>Horno FN2 Pro</t>
  </si>
  <si>
    <t>Nicolas La Mala</t>
  </si>
  <si>
    <t>Horno Pro Gas 24-3</t>
  </si>
  <si>
    <t>Jonathan Silvestri</t>
  </si>
  <si>
    <t>Horno Pro Gas 6-1</t>
  </si>
  <si>
    <t>Gaston Martinez</t>
  </si>
  <si>
    <t>gastonfermartinez@gmail.com</t>
  </si>
  <si>
    <t>Techo Pro Gas 6 y 12</t>
  </si>
  <si>
    <t>Emanuel Facundo   Salva</t>
  </si>
  <si>
    <t>salvaemanuelfacundo@gmail.com</t>
  </si>
  <si>
    <t xml:space="preserve">Horno Pro Gas 6-1 </t>
  </si>
  <si>
    <t>Manguito</t>
  </si>
  <si>
    <t>Facundo   Reyero</t>
  </si>
  <si>
    <t>Pala rectangular 35</t>
  </si>
  <si>
    <t>Cepillo para piedra</t>
  </si>
  <si>
    <t>Box Kit 3</t>
  </si>
  <si>
    <t xml:space="preserve"> Matias   Martino</t>
  </si>
  <si>
    <t xml:space="preserve">Lucas Gastón Ayala </t>
  </si>
  <si>
    <t>Nicolas Martin</t>
  </si>
  <si>
    <t>Roald Alejandro  Gonzalez Lascano</t>
  </si>
  <si>
    <t>emprenoa@gmail.com</t>
  </si>
  <si>
    <t>Matias Ariel Perez</t>
  </si>
  <si>
    <t>matiasarperez@gmail.com</t>
  </si>
  <si>
    <t xml:space="preserve">Esteban Laporte </t>
  </si>
  <si>
    <t>Esteban_laporte@hotmail.com</t>
  </si>
  <si>
    <t>Perchero para palas</t>
  </si>
  <si>
    <t>Lucas Villalva</t>
  </si>
  <si>
    <t>Quimey Verturelli</t>
  </si>
  <si>
    <t>Cecilia Fuse</t>
  </si>
  <si>
    <t>Amasadora AM15</t>
  </si>
  <si>
    <t>Juan Carlos Caccaviello</t>
  </si>
  <si>
    <t>Horno Pro Gas 12-2</t>
  </si>
  <si>
    <t>Alexis Nahuel Aguirre</t>
  </si>
  <si>
    <t>Matias Figueroa</t>
  </si>
  <si>
    <t>Nestor Romero Deza</t>
  </si>
  <si>
    <t>Horno Pro gas 12-2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</si>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</sst>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65" fontId="0" fillId="0" borderId="0" xfId="6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/>
    <xf numFmtId="0" fontId="0" fillId="0" borderId="0" xfId="0" applyAlignment="1">
      <alignment horizontal="center" vertical="center" wrapText="1"/>
    </xf>
    <xf numFmtId="44" fontId="0" fillId="0" borderId="0" xfId="2" applyFont="1"/>
    <xf numFmtId="44" fontId="0" fillId="0" borderId="0" xfId="2" applyFont="1" applyFill="1"/>
    <xf numFmtId="44" fontId="0" fillId="0" borderId="0" xfId="0" applyNumberFormat="1"/>
    <xf numFmtId="44" fontId="0" fillId="3" borderId="0" xfId="0" applyNumberFormat="1" applyFill="1"/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11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  <fill>
        <patternFill patternType="solid">
          <fgColor indexed="64"/>
          <bgColor rgb="FFFFFF00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  <fill>
        <patternFill patternType="solid">
          <fgColor indexed="64"/>
          <bgColor rgb="FFFFFF00"/>
        </patternFill>
      </fill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69CD7-0C7D-4374-AE09-A0EAB7072817}" name="ExportFacturacion" displayName="ExportFacturacion" ref="A1:M28" totalsRowCount="1" headerRowDxfId="10">
  <autoFilter ref="A1:M27" xr:uid="{34169CD7-0C7D-4374-AE09-A0EAB7072817}"/>
  <tableColumns count="13">
    <tableColumn id="1" xr3:uid="{94809F59-9725-49A8-B24E-3F78F66D5405}" name="Tipo de Operacion"/>
    <tableColumn id="2" xr3:uid="{6DA1C5E2-4FD9-4A98-9368-FF26FDAC480C}" name="ID Operacion"/>
    <tableColumn id="3" xr3:uid="{497203F7-7258-4F2E-B7CF-6F4B53F76894}" name="Status"/>
    <tableColumn id="4" xr3:uid="{8770E8A7-FD04-4C14-A0C9-52845DDA4294}" name="Cliente"/>
    <tableColumn id="5" xr3:uid="{C59C0BB6-29E9-47A0-86B3-9AAC9651819A}" name="Vendedor"/>
    <tableColumn id="6" xr3:uid="{A9F2571F-3A72-43B8-A2CA-CCAB44104EC5}" name="Referido"/>
    <tableColumn id="7" xr3:uid="{C99141E0-0C36-4CF7-8E54-CCD790DD1699}" name="Correo"/>
    <tableColumn id="16" xr3:uid="{EE2850BC-44FA-4927-B5A7-B5CD5B2AA40E}" name="Equipo"/>
    <tableColumn id="17" xr3:uid="{00D34AA8-E654-443B-B42E-52FEA05E60C9}" name="Costo" totalsRowFunction="custom" dataDxfId="9" totalsRowDxfId="4" dataCellStyle="Moneda 2">
      <totalsRowFormula>SUM(I2:I27)</totalsRowFormula>
    </tableColumn>
    <tableColumn id="18" xr3:uid="{87EBC046-CB4D-4AD2-B86F-7FBE84B78BCE}" name="Unitario" totalsRowFunction="custom" dataDxfId="8" totalsRowDxfId="3" dataCellStyle="Moneda 2">
      <totalsRowFormula>SUM(J2:J27)</totalsRowFormula>
    </tableColumn>
    <tableColumn id="19" xr3:uid="{20753347-72FD-46A5-A78E-ECBCEFA8529C}" name="Descuento" totalsRowFunction="custom" dataDxfId="7" totalsRowDxfId="2" dataCellStyle="Moneda 2">
      <totalsRowFormula>SUM(K2:K27)</totalsRowFormula>
    </tableColumn>
    <tableColumn id="20" xr3:uid="{94C92C00-8C72-4A50-B6B4-189BE7D0B639}" name="Precio con Descuento" totalsRowFunction="custom" dataDxfId="6" totalsRowDxfId="1" dataCellStyle="Moneda 2">
      <totalsRowFormula>SUM(L2:L27)</totalsRowFormula>
    </tableColumn>
    <tableColumn id="22" xr3:uid="{EE5DB133-C15D-49E0-8C61-2B2B5B2965FF}" name="Columna1" dataDxfId="5" totalsRow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zoomScaleNormal="100" workbookViewId="0">
      <selection activeCell="A2" sqref="A2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143</v>
      </c>
      <c r="B1" s="11"/>
      <c r="C1" s="2"/>
    </row>
    <row r="2" spans="1:5" ht="20.399999999999999" x14ac:dyDescent="0.3">
      <c r="A2" s="37" t="s">
        <v>24</v>
      </c>
      <c r="B2" s="38">
        <v>45962</v>
      </c>
      <c r="C2" s="39" t="s">
        <v>150</v>
      </c>
    </row>
    <row r="3" spans="1:5" x14ac:dyDescent="0.3">
      <c r="A3" s="13" t="s">
        <v>25</v>
      </c>
      <c r="B3" s="58">
        <f>ExportFacturacion[[#Totals],[Precio con Descuento]]</f>
        <v>65841301.68</v>
      </c>
      <c r="C3" s="16">
        <v>1</v>
      </c>
    </row>
    <row r="4" spans="1:5" x14ac:dyDescent="0.3">
      <c r="A4" s="13" t="s">
        <v>138</v>
      </c>
      <c r="B4" s="36">
        <f>ExportFacturacion[[#Totals],[Descuento]]</f>
        <v>3236891.88</v>
      </c>
      <c r="C4" s="18">
        <f>(B4*C3)/B3</f>
        <v>4.9162027441860864E-2</v>
      </c>
    </row>
    <row r="5" spans="1:5" x14ac:dyDescent="0.3">
      <c r="A5" s="19" t="s">
        <v>26</v>
      </c>
      <c r="B5" s="17">
        <f>B3-B4</f>
        <v>62604409.799999997</v>
      </c>
      <c r="C5" s="16">
        <v>1</v>
      </c>
    </row>
    <row r="6" spans="1:5" x14ac:dyDescent="0.3">
      <c r="A6" s="20" t="s">
        <v>27</v>
      </c>
      <c r="B6" s="15">
        <f>ExportFacturacion[[#Totals],[Costo]]</f>
        <v>9465758.9000000004</v>
      </c>
      <c r="C6" s="18">
        <v>0.33</v>
      </c>
    </row>
    <row r="7" spans="1:5" x14ac:dyDescent="0.3">
      <c r="A7" s="20" t="s">
        <v>28</v>
      </c>
      <c r="B7" s="17">
        <f>B5-B6</f>
        <v>53138650.899999999</v>
      </c>
      <c r="C7" s="18">
        <f>(B7*C5)/B5</f>
        <v>0.84880044504468755</v>
      </c>
    </row>
    <row r="10" spans="1:5" s="26" customFormat="1" x14ac:dyDescent="0.3">
      <c r="A10" s="21" t="s">
        <v>140</v>
      </c>
      <c r="B10" s="35">
        <f>SUM(B11:B18)</f>
        <v>26297220.409999996</v>
      </c>
      <c r="C10" s="23">
        <f>(B10*$C$5)/$B$5</f>
        <v>0.4200538028233276</v>
      </c>
      <c r="D10" s="24"/>
      <c r="E10" s="25"/>
    </row>
    <row r="11" spans="1:5" x14ac:dyDescent="0.3">
      <c r="A11" s="27" t="s">
        <v>17</v>
      </c>
      <c r="B11" s="47">
        <f>+Gastos!C10</f>
        <v>49496</v>
      </c>
      <c r="C11" s="18">
        <f>(B11*$C$5)/$B$5</f>
        <v>7.9061523234741848E-4</v>
      </c>
    </row>
    <row r="12" spans="1:5" x14ac:dyDescent="0.3">
      <c r="A12" s="27" t="s">
        <v>139</v>
      </c>
      <c r="B12" s="47">
        <f>+Gastos!C15</f>
        <v>838302.3</v>
      </c>
      <c r="C12" s="18">
        <f>(B12*$C$5)/$B$5</f>
        <v>1.3390467263857187E-2</v>
      </c>
    </row>
    <row r="13" spans="1:5" x14ac:dyDescent="0.3">
      <c r="A13" s="27" t="s">
        <v>133</v>
      </c>
      <c r="B13" s="47">
        <f>+Gastos!C13</f>
        <v>4288669.0599999996</v>
      </c>
      <c r="C13" s="18">
        <f t="shared" ref="C13:C18" si="0">(B13*$C$5)/$B$5</f>
        <v>6.8504264694785127E-2</v>
      </c>
    </row>
    <row r="14" spans="1:5" x14ac:dyDescent="0.3">
      <c r="A14" s="27" t="s">
        <v>132</v>
      </c>
      <c r="B14" s="47">
        <f>+Gastos!C33</f>
        <v>19486330.52</v>
      </c>
      <c r="C14" s="18">
        <f>(B14*$C$5)/$B$5</f>
        <v>0.31126130862430079</v>
      </c>
    </row>
    <row r="15" spans="1:5" x14ac:dyDescent="0.3">
      <c r="A15" s="27" t="s">
        <v>136</v>
      </c>
      <c r="B15" s="47">
        <f>+Gastos!C35</f>
        <v>0</v>
      </c>
      <c r="C15" s="18">
        <f t="shared" si="0"/>
        <v>0</v>
      </c>
    </row>
    <row r="16" spans="1:5" x14ac:dyDescent="0.3">
      <c r="A16" s="27" t="s">
        <v>131</v>
      </c>
      <c r="B16" s="47">
        <f>+Gastos!C119</f>
        <v>1634422.5299999993</v>
      </c>
      <c r="C16" s="18">
        <f t="shared" si="0"/>
        <v>2.6107147008037113E-2</v>
      </c>
    </row>
    <row r="17" spans="1:3" x14ac:dyDescent="0.3">
      <c r="A17" s="27" t="s">
        <v>152</v>
      </c>
      <c r="B17" s="47">
        <v>0</v>
      </c>
      <c r="C17" s="18">
        <f t="shared" si="0"/>
        <v>0</v>
      </c>
    </row>
    <row r="18" spans="1:3" x14ac:dyDescent="0.3">
      <c r="A18" s="27" t="s">
        <v>148</v>
      </c>
      <c r="B18" s="47">
        <v>0</v>
      </c>
      <c r="C18" s="18">
        <f t="shared" si="0"/>
        <v>0</v>
      </c>
    </row>
    <row r="20" spans="1:3" x14ac:dyDescent="0.3">
      <c r="A20" s="21" t="s">
        <v>141</v>
      </c>
      <c r="B20" s="35">
        <f>SUM(B21:B22)</f>
        <v>11386503.199999999</v>
      </c>
      <c r="C20" s="23">
        <f>(B20*$C$5)/$B$5</f>
        <v>0.1818802099784351</v>
      </c>
    </row>
    <row r="21" spans="1:3" x14ac:dyDescent="0.3">
      <c r="A21" s="27" t="s">
        <v>130</v>
      </c>
      <c r="B21" s="47">
        <f>+Gastos!C130</f>
        <v>3898583.1999999997</v>
      </c>
      <c r="C21" s="18">
        <f>(B21*$C$5)/$B$5</f>
        <v>6.2273300115034388E-2</v>
      </c>
    </row>
    <row r="22" spans="1:3" x14ac:dyDescent="0.3">
      <c r="A22" s="27" t="s">
        <v>129</v>
      </c>
      <c r="B22" s="47">
        <f>+Gastos!C139</f>
        <v>7487920</v>
      </c>
      <c r="C22" s="18">
        <f>(B22*$C$5)/$B$5</f>
        <v>0.11960690986340071</v>
      </c>
    </row>
    <row r="23" spans="1:3" x14ac:dyDescent="0.3">
      <c r="A23" s="27"/>
      <c r="C23" s="18"/>
    </row>
    <row r="24" spans="1:3" x14ac:dyDescent="0.3">
      <c r="A24" s="21" t="s">
        <v>142</v>
      </c>
      <c r="B24" s="22">
        <f>+B10+B20</f>
        <v>37683723.609999999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15454927.290000003</v>
      </c>
      <c r="C26" s="31">
        <f>(B26*C5)/B5</f>
        <v>0.2468664322429249</v>
      </c>
    </row>
    <row r="29" spans="1:3" hidden="1" x14ac:dyDescent="0.3">
      <c r="A29" s="32" t="s">
        <v>151</v>
      </c>
      <c r="B29" s="33"/>
      <c r="C29" s="34"/>
    </row>
    <row r="30" spans="1:3" x14ac:dyDescent="0.3">
      <c r="A30" s="32" t="s">
        <v>151</v>
      </c>
      <c r="B30" s="48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ignoredErrors>
    <ignoredError sqref="B6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41"/>
  <sheetViews>
    <sheetView zoomScale="90" zoomScaleNormal="90" workbookViewId="0">
      <selection activeCell="B133" sqref="B133"/>
    </sheetView>
  </sheetViews>
  <sheetFormatPr baseColWidth="10" defaultColWidth="11.44140625" defaultRowHeight="13.8" x14ac:dyDescent="0.3"/>
  <cols>
    <col min="1" max="1" width="12.88671875" style="42" bestFit="1" customWidth="1"/>
    <col min="2" max="2" width="78.88671875" style="42" customWidth="1"/>
    <col min="3" max="3" width="27.44140625" style="53" bestFit="1" customWidth="1"/>
    <col min="4" max="4" width="23.6640625" style="42" customWidth="1"/>
    <col min="5" max="5" width="24.77734375" style="42" bestFit="1" customWidth="1"/>
    <col min="6" max="6" width="61.88671875" style="61" customWidth="1"/>
    <col min="7" max="16384" width="11.44140625" style="42"/>
  </cols>
  <sheetData>
    <row r="1" spans="1:6" ht="19.5" customHeight="1" thickBot="1" x14ac:dyDescent="0.35">
      <c r="A1" s="44" t="s">
        <v>134</v>
      </c>
      <c r="B1" s="44" t="s">
        <v>135</v>
      </c>
      <c r="C1" s="51" t="s">
        <v>159</v>
      </c>
      <c r="D1" s="44" t="s">
        <v>146</v>
      </c>
      <c r="E1" s="44" t="s">
        <v>147</v>
      </c>
    </row>
    <row r="2" spans="1:6" ht="19.5" customHeight="1" thickBot="1" x14ac:dyDescent="0.35">
      <c r="A2" s="43">
        <v>45971</v>
      </c>
      <c r="B2" s="40" t="s">
        <v>221</v>
      </c>
      <c r="C2" s="52">
        <v>1000</v>
      </c>
      <c r="D2" s="40" t="s">
        <v>137</v>
      </c>
      <c r="E2" s="40" t="s">
        <v>137</v>
      </c>
    </row>
    <row r="3" spans="1:6" ht="15" thickBot="1" x14ac:dyDescent="0.35">
      <c r="A3" s="43">
        <v>45972</v>
      </c>
      <c r="B3" s="40" t="s">
        <v>189</v>
      </c>
      <c r="C3" s="52">
        <v>14832</v>
      </c>
      <c r="D3" s="40" t="s">
        <v>122</v>
      </c>
      <c r="E3" s="40" t="s">
        <v>137</v>
      </c>
    </row>
    <row r="4" spans="1:6" ht="15" thickBot="1" x14ac:dyDescent="0.35">
      <c r="A4" s="43">
        <v>45972</v>
      </c>
      <c r="B4" s="40" t="s">
        <v>189</v>
      </c>
      <c r="C4" s="52">
        <v>29664</v>
      </c>
      <c r="D4" s="40" t="s">
        <v>122</v>
      </c>
      <c r="E4" s="40" t="s">
        <v>137</v>
      </c>
    </row>
    <row r="5" spans="1:6" ht="15" thickBot="1" x14ac:dyDescent="0.35">
      <c r="A5" s="43">
        <v>45974</v>
      </c>
      <c r="B5" s="40" t="s">
        <v>234</v>
      </c>
      <c r="C5" s="52">
        <v>1000</v>
      </c>
      <c r="D5" s="40" t="s">
        <v>137</v>
      </c>
      <c r="E5" s="40" t="s">
        <v>137</v>
      </c>
    </row>
    <row r="6" spans="1:6" ht="15" thickBot="1" x14ac:dyDescent="0.35">
      <c r="A6" s="43">
        <v>45974</v>
      </c>
      <c r="B6" s="40" t="s">
        <v>234</v>
      </c>
      <c r="C6" s="52">
        <v>1000</v>
      </c>
      <c r="D6" s="40" t="s">
        <v>137</v>
      </c>
      <c r="E6" s="40" t="s">
        <v>137</v>
      </c>
    </row>
    <row r="7" spans="1:6" ht="15" thickBot="1" x14ac:dyDescent="0.35">
      <c r="A7" s="43">
        <v>45975</v>
      </c>
      <c r="B7" s="40" t="s">
        <v>234</v>
      </c>
      <c r="C7" s="52">
        <v>1000</v>
      </c>
      <c r="D7" s="40" t="s">
        <v>137</v>
      </c>
      <c r="E7" s="40" t="s">
        <v>137</v>
      </c>
    </row>
    <row r="8" spans="1:6" ht="15" thickBot="1" x14ac:dyDescent="0.35">
      <c r="A8" s="43">
        <v>45986</v>
      </c>
      <c r="B8" s="40" t="s">
        <v>234</v>
      </c>
      <c r="C8" s="52">
        <v>1000</v>
      </c>
      <c r="D8" s="40" t="s">
        <v>137</v>
      </c>
      <c r="E8" s="40" t="s">
        <v>137</v>
      </c>
    </row>
    <row r="9" spans="1:6" ht="15" thickBot="1" x14ac:dyDescent="0.35">
      <c r="A9" s="43">
        <v>45986</v>
      </c>
      <c r="B9" s="40" t="s">
        <v>234</v>
      </c>
      <c r="C9" s="52">
        <v>1000</v>
      </c>
      <c r="D9" s="40" t="s">
        <v>137</v>
      </c>
      <c r="E9" s="40" t="s">
        <v>137</v>
      </c>
    </row>
    <row r="10" spans="1:6" ht="14.4" thickBot="1" x14ac:dyDescent="0.35">
      <c r="A10" s="44"/>
      <c r="B10" s="45" t="s">
        <v>137</v>
      </c>
      <c r="C10" s="46">
        <f>SUM(C3:C9)</f>
        <v>49496</v>
      </c>
      <c r="D10" s="44"/>
      <c r="E10" s="44"/>
    </row>
    <row r="11" spans="1:6" ht="15" thickBot="1" x14ac:dyDescent="0.35">
      <c r="A11" s="43"/>
      <c r="B11" s="40" t="s">
        <v>251</v>
      </c>
      <c r="C11" s="52">
        <v>1697335.26</v>
      </c>
      <c r="D11" s="40" t="s">
        <v>156</v>
      </c>
      <c r="E11" s="40" t="s">
        <v>156</v>
      </c>
    </row>
    <row r="12" spans="1:6" ht="15" thickBot="1" x14ac:dyDescent="0.35">
      <c r="A12" s="43"/>
      <c r="B12" s="40" t="s">
        <v>252</v>
      </c>
      <c r="C12" s="52">
        <v>2591333.7999999998</v>
      </c>
      <c r="D12" s="40" t="s">
        <v>156</v>
      </c>
      <c r="E12" s="40" t="s">
        <v>156</v>
      </c>
    </row>
    <row r="13" spans="1:6" ht="14.4" thickBot="1" x14ac:dyDescent="0.35">
      <c r="A13" s="44"/>
      <c r="B13" s="45" t="s">
        <v>192</v>
      </c>
      <c r="C13" s="46">
        <f>SUM(C11:C12)</f>
        <v>4288669.0599999996</v>
      </c>
      <c r="D13" s="44"/>
      <c r="E13" s="44"/>
    </row>
    <row r="14" spans="1:6" ht="16.5" customHeight="1" thickBot="1" x14ac:dyDescent="0.35">
      <c r="A14" s="54">
        <v>45974</v>
      </c>
      <c r="B14" s="56" t="s">
        <v>235</v>
      </c>
      <c r="C14" s="57">
        <v>838302.3</v>
      </c>
      <c r="D14" s="40" t="s">
        <v>156</v>
      </c>
      <c r="E14" s="40" t="s">
        <v>156</v>
      </c>
    </row>
    <row r="15" spans="1:6" ht="14.4" thickBot="1" x14ac:dyDescent="0.35">
      <c r="A15" s="44"/>
      <c r="B15" s="45" t="s">
        <v>193</v>
      </c>
      <c r="C15" s="46">
        <f>SUM(C14)</f>
        <v>838302.3</v>
      </c>
      <c r="D15" s="44"/>
      <c r="E15" s="44"/>
    </row>
    <row r="16" spans="1:6" ht="15" thickBot="1" x14ac:dyDescent="0.35">
      <c r="A16" s="43">
        <v>45964</v>
      </c>
      <c r="B16" s="41" t="s">
        <v>205</v>
      </c>
      <c r="C16" s="52">
        <v>4116696.6</v>
      </c>
      <c r="D16" s="40" t="s">
        <v>184</v>
      </c>
      <c r="E16" s="40" t="s">
        <v>157</v>
      </c>
      <c r="F16" s="61" t="s">
        <v>206</v>
      </c>
    </row>
    <row r="17" spans="1:6" ht="15" thickBot="1" x14ac:dyDescent="0.35">
      <c r="A17" s="43">
        <v>45966</v>
      </c>
      <c r="B17" s="41" t="s">
        <v>207</v>
      </c>
      <c r="C17" s="52">
        <v>100000</v>
      </c>
      <c r="D17" s="40" t="s">
        <v>184</v>
      </c>
      <c r="E17" s="40" t="s">
        <v>191</v>
      </c>
      <c r="F17" s="61" t="s">
        <v>208</v>
      </c>
    </row>
    <row r="18" spans="1:6" ht="15" thickBot="1" x14ac:dyDescent="0.35">
      <c r="A18" s="43">
        <v>45968</v>
      </c>
      <c r="B18" s="41" t="s">
        <v>209</v>
      </c>
      <c r="C18" s="52">
        <v>526133.4</v>
      </c>
      <c r="D18" s="40" t="s">
        <v>187</v>
      </c>
      <c r="E18" s="40" t="s">
        <v>188</v>
      </c>
      <c r="F18" s="61" t="s">
        <v>210</v>
      </c>
    </row>
    <row r="19" spans="1:6" ht="16.5" customHeight="1" thickBot="1" x14ac:dyDescent="0.35">
      <c r="A19" s="43">
        <v>45968</v>
      </c>
      <c r="B19" s="41" t="s">
        <v>214</v>
      </c>
      <c r="C19" s="52">
        <v>512540.8</v>
      </c>
      <c r="D19" s="40" t="s">
        <v>184</v>
      </c>
      <c r="E19" s="40" t="s">
        <v>157</v>
      </c>
      <c r="F19" s="61" t="s">
        <v>213</v>
      </c>
    </row>
    <row r="20" spans="1:6" ht="15" thickBot="1" x14ac:dyDescent="0.35">
      <c r="A20" s="43">
        <v>45968</v>
      </c>
      <c r="B20" s="41" t="s">
        <v>215</v>
      </c>
      <c r="C20" s="52">
        <v>1262000</v>
      </c>
      <c r="D20" s="40" t="s">
        <v>184</v>
      </c>
      <c r="E20" s="40" t="s">
        <v>186</v>
      </c>
      <c r="F20" s="61" t="s">
        <v>199</v>
      </c>
    </row>
    <row r="21" spans="1:6" ht="15" thickBot="1" x14ac:dyDescent="0.35">
      <c r="A21" s="43">
        <v>45971</v>
      </c>
      <c r="B21" s="41" t="s">
        <v>218</v>
      </c>
      <c r="C21" s="52">
        <v>200000</v>
      </c>
      <c r="D21" s="40" t="s">
        <v>184</v>
      </c>
      <c r="E21" s="40" t="s">
        <v>191</v>
      </c>
      <c r="F21" s="61" t="s">
        <v>200</v>
      </c>
    </row>
    <row r="22" spans="1:6" ht="15" thickBot="1" x14ac:dyDescent="0.35">
      <c r="A22" s="43">
        <v>45971</v>
      </c>
      <c r="B22" s="41" t="s">
        <v>219</v>
      </c>
      <c r="C22" s="52">
        <v>257193.4</v>
      </c>
      <c r="D22" s="40" t="s">
        <v>187</v>
      </c>
      <c r="E22" s="40" t="s">
        <v>188</v>
      </c>
      <c r="F22" s="61" t="s">
        <v>220</v>
      </c>
    </row>
    <row r="23" spans="1:6" ht="15" thickBot="1" x14ac:dyDescent="0.35">
      <c r="A23" s="43">
        <v>45972</v>
      </c>
      <c r="B23" s="41" t="s">
        <v>224</v>
      </c>
      <c r="C23" s="52">
        <v>47800</v>
      </c>
      <c r="D23" s="40" t="s">
        <v>182</v>
      </c>
      <c r="E23" s="40" t="s">
        <v>185</v>
      </c>
      <c r="F23" s="61" t="s">
        <v>223</v>
      </c>
    </row>
    <row r="24" spans="1:6" ht="15" thickBot="1" x14ac:dyDescent="0.35">
      <c r="A24" s="43">
        <v>45973</v>
      </c>
      <c r="B24" s="41" t="s">
        <v>225</v>
      </c>
      <c r="C24" s="52">
        <v>17075.919999999998</v>
      </c>
      <c r="D24" s="40" t="s">
        <v>184</v>
      </c>
      <c r="E24" s="40" t="s">
        <v>191</v>
      </c>
      <c r="F24" s="61" t="s">
        <v>226</v>
      </c>
    </row>
    <row r="25" spans="1:6" ht="15" thickBot="1" x14ac:dyDescent="0.35">
      <c r="A25" s="43">
        <v>45974</v>
      </c>
      <c r="B25" s="41" t="s">
        <v>228</v>
      </c>
      <c r="C25" s="52">
        <v>67760</v>
      </c>
      <c r="D25" s="40" t="s">
        <v>184</v>
      </c>
      <c r="E25" s="40" t="s">
        <v>191</v>
      </c>
      <c r="F25" s="61" t="s">
        <v>230</v>
      </c>
    </row>
    <row r="26" spans="1:6" ht="15" thickBot="1" x14ac:dyDescent="0.35">
      <c r="A26" s="43">
        <v>45974</v>
      </c>
      <c r="B26" s="41" t="s">
        <v>229</v>
      </c>
      <c r="C26" s="52">
        <v>67760</v>
      </c>
      <c r="D26" s="40" t="s">
        <v>184</v>
      </c>
      <c r="E26" s="40" t="s">
        <v>191</v>
      </c>
      <c r="F26" s="61" t="s">
        <v>231</v>
      </c>
    </row>
    <row r="27" spans="1:6" ht="15" thickBot="1" x14ac:dyDescent="0.35">
      <c r="A27" s="43">
        <v>45975</v>
      </c>
      <c r="B27" s="41" t="s">
        <v>238</v>
      </c>
      <c r="C27" s="52">
        <v>762743.4</v>
      </c>
      <c r="D27" s="40" t="s">
        <v>182</v>
      </c>
      <c r="E27" s="40" t="s">
        <v>185</v>
      </c>
      <c r="F27" s="61" t="s">
        <v>239</v>
      </c>
    </row>
    <row r="28" spans="1:6" ht="15" thickBot="1" x14ac:dyDescent="0.35">
      <c r="A28" s="43">
        <v>45975</v>
      </c>
      <c r="B28" s="41" t="s">
        <v>240</v>
      </c>
      <c r="C28" s="52">
        <v>1010547</v>
      </c>
      <c r="D28" s="40" t="s">
        <v>184</v>
      </c>
      <c r="E28" s="40" t="s">
        <v>191</v>
      </c>
      <c r="F28" s="61" t="s">
        <v>241</v>
      </c>
    </row>
    <row r="29" spans="1:6" ht="16.5" customHeight="1" thickBot="1" x14ac:dyDescent="0.35">
      <c r="A29" s="43">
        <v>45981</v>
      </c>
      <c r="B29" s="41" t="s">
        <v>242</v>
      </c>
      <c r="C29" s="52">
        <v>300000</v>
      </c>
      <c r="D29" s="40" t="s">
        <v>184</v>
      </c>
      <c r="E29" s="40" t="s">
        <v>243</v>
      </c>
      <c r="F29" s="61" t="s">
        <v>244</v>
      </c>
    </row>
    <row r="30" spans="1:6" ht="15" thickBot="1" x14ac:dyDescent="0.35">
      <c r="A30" s="43">
        <v>45986</v>
      </c>
      <c r="B30" s="41" t="s">
        <v>215</v>
      </c>
      <c r="C30" s="52">
        <v>962000</v>
      </c>
      <c r="D30" s="40" t="s">
        <v>184</v>
      </c>
      <c r="E30" s="40" t="s">
        <v>186</v>
      </c>
      <c r="F30" s="61" t="s">
        <v>199</v>
      </c>
    </row>
    <row r="31" spans="1:6" ht="15" thickBot="1" x14ac:dyDescent="0.35">
      <c r="A31" s="43">
        <v>45986</v>
      </c>
      <c r="B31" s="41" t="s">
        <v>245</v>
      </c>
      <c r="C31" s="52">
        <v>7076080</v>
      </c>
      <c r="D31" s="40" t="s">
        <v>246</v>
      </c>
      <c r="E31" s="40" t="s">
        <v>247</v>
      </c>
      <c r="F31" s="61" t="s">
        <v>248</v>
      </c>
    </row>
    <row r="32" spans="1:6" ht="15" thickBot="1" x14ac:dyDescent="0.35">
      <c r="A32" s="43">
        <v>45988</v>
      </c>
      <c r="B32" s="41" t="s">
        <v>249</v>
      </c>
      <c r="C32" s="52">
        <v>2200000</v>
      </c>
      <c r="D32" s="40" t="s">
        <v>182</v>
      </c>
      <c r="E32" s="40" t="s">
        <v>185</v>
      </c>
      <c r="F32" s="61" t="s">
        <v>250</v>
      </c>
    </row>
    <row r="33" spans="1:5" ht="14.4" thickBot="1" x14ac:dyDescent="0.35">
      <c r="A33" s="44"/>
      <c r="B33" s="45" t="s">
        <v>158</v>
      </c>
      <c r="C33" s="46">
        <f>SUM(C16:C32)</f>
        <v>19486330.52</v>
      </c>
      <c r="D33" s="44"/>
      <c r="E33" s="44"/>
    </row>
    <row r="34" spans="1:5" ht="16.5" customHeight="1" thickBot="1" x14ac:dyDescent="0.35">
      <c r="A34" s="43">
        <v>45954</v>
      </c>
      <c r="B34" s="41" t="s">
        <v>183</v>
      </c>
      <c r="C34" s="52"/>
      <c r="D34" s="40" t="s">
        <v>155</v>
      </c>
      <c r="E34" s="40" t="s">
        <v>155</v>
      </c>
    </row>
    <row r="35" spans="1:5" ht="14.4" thickBot="1" x14ac:dyDescent="0.35">
      <c r="A35" s="44"/>
      <c r="B35" s="45" t="s">
        <v>155</v>
      </c>
      <c r="C35" s="46">
        <f>C34</f>
        <v>0</v>
      </c>
      <c r="D35" s="44"/>
      <c r="E35" s="44"/>
    </row>
    <row r="36" spans="1:5" ht="15" thickBot="1" x14ac:dyDescent="0.35">
      <c r="A36" s="43">
        <v>45964</v>
      </c>
      <c r="B36" s="40" t="s">
        <v>175</v>
      </c>
      <c r="C36" s="52">
        <v>45803.92</v>
      </c>
      <c r="D36" s="40" t="s">
        <v>122</v>
      </c>
      <c r="E36" s="40" t="s">
        <v>123</v>
      </c>
    </row>
    <row r="37" spans="1:5" ht="15" thickBot="1" x14ac:dyDescent="0.35">
      <c r="A37" s="43">
        <v>45965</v>
      </c>
      <c r="B37" s="40" t="s">
        <v>174</v>
      </c>
      <c r="C37" s="52">
        <v>67.63</v>
      </c>
      <c r="D37" s="40" t="s">
        <v>122</v>
      </c>
      <c r="E37" s="40" t="s">
        <v>124</v>
      </c>
    </row>
    <row r="38" spans="1:5" ht="15" thickBot="1" x14ac:dyDescent="0.35">
      <c r="A38" s="43">
        <v>45965</v>
      </c>
      <c r="B38" s="40" t="s">
        <v>175</v>
      </c>
      <c r="C38" s="52">
        <v>1083.55</v>
      </c>
      <c r="D38" s="40" t="s">
        <v>122</v>
      </c>
      <c r="E38" s="40" t="s">
        <v>123</v>
      </c>
    </row>
    <row r="39" spans="1:5" ht="15" thickBot="1" x14ac:dyDescent="0.35">
      <c r="A39" s="43">
        <v>45965</v>
      </c>
      <c r="B39" s="40" t="s">
        <v>176</v>
      </c>
      <c r="C39" s="52">
        <v>4057.56</v>
      </c>
      <c r="D39" s="40" t="s">
        <v>122</v>
      </c>
      <c r="E39" s="40" t="s">
        <v>123</v>
      </c>
    </row>
    <row r="40" spans="1:5" ht="15" thickBot="1" x14ac:dyDescent="0.35">
      <c r="A40" s="43">
        <v>45965</v>
      </c>
      <c r="B40" s="40" t="s">
        <v>175</v>
      </c>
      <c r="C40" s="52">
        <v>0.41</v>
      </c>
      <c r="D40" s="40" t="s">
        <v>122</v>
      </c>
      <c r="E40" s="40" t="s">
        <v>123</v>
      </c>
    </row>
    <row r="41" spans="1:5" ht="15" thickBot="1" x14ac:dyDescent="0.35">
      <c r="A41" s="43">
        <v>45966</v>
      </c>
      <c r="B41" s="40" t="s">
        <v>174</v>
      </c>
      <c r="C41" s="52">
        <v>169.47</v>
      </c>
      <c r="D41" s="40" t="s">
        <v>122</v>
      </c>
      <c r="E41" s="40" t="s">
        <v>124</v>
      </c>
    </row>
    <row r="42" spans="1:5" ht="15" thickBot="1" x14ac:dyDescent="0.35">
      <c r="A42" s="43">
        <v>45966</v>
      </c>
      <c r="B42" s="40" t="s">
        <v>176</v>
      </c>
      <c r="C42" s="52">
        <v>10168.41</v>
      </c>
      <c r="D42" s="40" t="s">
        <v>122</v>
      </c>
      <c r="E42" s="40" t="s">
        <v>123</v>
      </c>
    </row>
    <row r="43" spans="1:5" ht="15" thickBot="1" x14ac:dyDescent="0.35">
      <c r="A43" s="43">
        <v>45966</v>
      </c>
      <c r="B43" s="40" t="s">
        <v>175</v>
      </c>
      <c r="C43" s="52">
        <v>1.02</v>
      </c>
      <c r="D43" s="40" t="s">
        <v>122</v>
      </c>
      <c r="E43" s="40" t="s">
        <v>123</v>
      </c>
    </row>
    <row r="44" spans="1:5" ht="15" thickBot="1" x14ac:dyDescent="0.35">
      <c r="A44" s="43">
        <v>45968</v>
      </c>
      <c r="B44" s="40" t="s">
        <v>174</v>
      </c>
      <c r="C44" s="52">
        <v>64.930000000000007</v>
      </c>
      <c r="D44" s="40" t="s">
        <v>122</v>
      </c>
      <c r="E44" s="40" t="s">
        <v>124</v>
      </c>
    </row>
    <row r="45" spans="1:5" ht="15" thickBot="1" x14ac:dyDescent="0.35">
      <c r="A45" s="43">
        <v>45968</v>
      </c>
      <c r="B45" s="40" t="s">
        <v>174</v>
      </c>
      <c r="C45" s="52">
        <v>373.43</v>
      </c>
      <c r="D45" s="40" t="s">
        <v>122</v>
      </c>
      <c r="E45" s="40" t="s">
        <v>124</v>
      </c>
    </row>
    <row r="46" spans="1:5" ht="15" thickBot="1" x14ac:dyDescent="0.35">
      <c r="A46" s="43">
        <v>45968</v>
      </c>
      <c r="B46" s="40" t="s">
        <v>175</v>
      </c>
      <c r="C46" s="52">
        <v>31250.799999999999</v>
      </c>
      <c r="D46" s="40" t="s">
        <v>122</v>
      </c>
      <c r="E46" s="40" t="s">
        <v>123</v>
      </c>
    </row>
    <row r="47" spans="1:5" ht="15" thickBot="1" x14ac:dyDescent="0.35">
      <c r="A47" s="43">
        <v>45968</v>
      </c>
      <c r="B47" s="40" t="s">
        <v>176</v>
      </c>
      <c r="C47" s="52">
        <v>26301.54</v>
      </c>
      <c r="D47" s="40" t="s">
        <v>122</v>
      </c>
      <c r="E47" s="40" t="s">
        <v>123</v>
      </c>
    </row>
    <row r="48" spans="1:5" ht="15" thickBot="1" x14ac:dyDescent="0.35">
      <c r="A48" s="43">
        <v>45968</v>
      </c>
      <c r="B48" s="40" t="s">
        <v>175</v>
      </c>
      <c r="C48" s="52">
        <v>2.63</v>
      </c>
      <c r="D48" s="40" t="s">
        <v>122</v>
      </c>
      <c r="E48" s="40" t="s">
        <v>123</v>
      </c>
    </row>
    <row r="49" spans="1:5" ht="15" thickBot="1" x14ac:dyDescent="0.35">
      <c r="A49" s="43">
        <v>45971</v>
      </c>
      <c r="B49" s="40" t="s">
        <v>174</v>
      </c>
      <c r="C49" s="52">
        <v>50</v>
      </c>
      <c r="D49" s="40" t="s">
        <v>122</v>
      </c>
      <c r="E49" s="40" t="s">
        <v>124</v>
      </c>
    </row>
    <row r="50" spans="1:5" ht="15" thickBot="1" x14ac:dyDescent="0.35">
      <c r="A50" s="43">
        <v>45971</v>
      </c>
      <c r="B50" s="40" t="s">
        <v>118</v>
      </c>
      <c r="C50" s="52">
        <v>210</v>
      </c>
      <c r="D50" s="40" t="s">
        <v>122</v>
      </c>
      <c r="E50" s="40" t="s">
        <v>178</v>
      </c>
    </row>
    <row r="51" spans="1:5" ht="15" thickBot="1" x14ac:dyDescent="0.35">
      <c r="A51" s="43">
        <v>45971</v>
      </c>
      <c r="B51" s="40" t="s">
        <v>174</v>
      </c>
      <c r="C51" s="52">
        <v>47</v>
      </c>
      <c r="D51" s="40" t="s">
        <v>122</v>
      </c>
      <c r="E51" s="40" t="s">
        <v>124</v>
      </c>
    </row>
    <row r="52" spans="1:5" ht="15" thickBot="1" x14ac:dyDescent="0.35">
      <c r="A52" s="43">
        <v>45971</v>
      </c>
      <c r="B52" s="40" t="s">
        <v>175</v>
      </c>
      <c r="C52" s="52">
        <v>2750.42</v>
      </c>
      <c r="D52" s="40" t="s">
        <v>122</v>
      </c>
      <c r="E52" s="40" t="s">
        <v>123</v>
      </c>
    </row>
    <row r="53" spans="1:5" ht="15" thickBot="1" x14ac:dyDescent="0.35">
      <c r="A53" s="43">
        <v>45971</v>
      </c>
      <c r="B53" s="40" t="s">
        <v>176</v>
      </c>
      <c r="C53" s="52">
        <v>5820</v>
      </c>
      <c r="D53" s="40" t="s">
        <v>122</v>
      </c>
      <c r="E53" s="40" t="s">
        <v>123</v>
      </c>
    </row>
    <row r="54" spans="1:5" ht="15" thickBot="1" x14ac:dyDescent="0.35">
      <c r="A54" s="43">
        <v>45971</v>
      </c>
      <c r="B54" s="40" t="s">
        <v>175</v>
      </c>
      <c r="C54" s="52">
        <v>0.57999999999999996</v>
      </c>
      <c r="D54" s="40" t="s">
        <v>122</v>
      </c>
      <c r="E54" s="40" t="s">
        <v>123</v>
      </c>
    </row>
    <row r="55" spans="1:5" ht="15" thickBot="1" x14ac:dyDescent="0.35">
      <c r="A55" s="43">
        <v>45972</v>
      </c>
      <c r="B55" s="40" t="s">
        <v>118</v>
      </c>
      <c r="C55" s="52">
        <v>3114.72</v>
      </c>
      <c r="D55" s="40" t="s">
        <v>122</v>
      </c>
      <c r="E55" s="40" t="s">
        <v>178</v>
      </c>
    </row>
    <row r="56" spans="1:5" ht="15" thickBot="1" x14ac:dyDescent="0.35">
      <c r="A56" s="43">
        <v>45972</v>
      </c>
      <c r="B56" s="40" t="s">
        <v>172</v>
      </c>
      <c r="C56" s="52">
        <v>444.96</v>
      </c>
      <c r="D56" s="40" t="s">
        <v>122</v>
      </c>
      <c r="E56" s="40" t="s">
        <v>178</v>
      </c>
    </row>
    <row r="57" spans="1:5" ht="15" thickBot="1" x14ac:dyDescent="0.35">
      <c r="A57" s="43">
        <v>45972</v>
      </c>
      <c r="B57" s="40" t="s">
        <v>173</v>
      </c>
      <c r="C57" s="52">
        <v>444.96</v>
      </c>
      <c r="D57" s="40" t="s">
        <v>122</v>
      </c>
      <c r="E57" s="40" t="s">
        <v>119</v>
      </c>
    </row>
    <row r="58" spans="1:5" ht="15" thickBot="1" x14ac:dyDescent="0.35">
      <c r="A58" s="43">
        <v>45972</v>
      </c>
      <c r="B58" s="40" t="s">
        <v>118</v>
      </c>
      <c r="C58" s="52">
        <v>6229.44</v>
      </c>
      <c r="D58" s="40" t="s">
        <v>122</v>
      </c>
      <c r="E58" s="40" t="s">
        <v>178</v>
      </c>
    </row>
    <row r="59" spans="1:5" ht="15" thickBot="1" x14ac:dyDescent="0.35">
      <c r="A59" s="43">
        <v>45972</v>
      </c>
      <c r="B59" s="40" t="s">
        <v>172</v>
      </c>
      <c r="C59" s="52">
        <v>889.92</v>
      </c>
      <c r="D59" s="40" t="s">
        <v>122</v>
      </c>
      <c r="E59" s="40" t="s">
        <v>178</v>
      </c>
    </row>
    <row r="60" spans="1:5" ht="15" thickBot="1" x14ac:dyDescent="0.35">
      <c r="A60" s="43">
        <v>45972</v>
      </c>
      <c r="B60" s="40" t="s">
        <v>173</v>
      </c>
      <c r="C60" s="52">
        <v>889.92</v>
      </c>
      <c r="D60" s="40" t="s">
        <v>122</v>
      </c>
      <c r="E60" s="40" t="s">
        <v>119</v>
      </c>
    </row>
    <row r="61" spans="1:5" ht="15" thickBot="1" x14ac:dyDescent="0.35">
      <c r="A61" s="43">
        <v>45972</v>
      </c>
      <c r="B61" s="40" t="s">
        <v>175</v>
      </c>
      <c r="C61" s="52">
        <v>1550.06</v>
      </c>
      <c r="D61" s="40" t="s">
        <v>122</v>
      </c>
      <c r="E61" s="40" t="s">
        <v>123</v>
      </c>
    </row>
    <row r="62" spans="1:5" ht="15" thickBot="1" x14ac:dyDescent="0.35">
      <c r="A62" s="43">
        <v>45973</v>
      </c>
      <c r="B62" s="40" t="s">
        <v>174</v>
      </c>
      <c r="C62" s="52">
        <v>169.47</v>
      </c>
      <c r="D62" s="40" t="s">
        <v>122</v>
      </c>
      <c r="E62" s="40" t="s">
        <v>124</v>
      </c>
    </row>
    <row r="63" spans="1:5" ht="15" thickBot="1" x14ac:dyDescent="0.35">
      <c r="A63" s="43">
        <v>45973</v>
      </c>
      <c r="B63" s="40" t="s">
        <v>175</v>
      </c>
      <c r="C63" s="52">
        <v>226.76</v>
      </c>
      <c r="D63" s="40" t="s">
        <v>122</v>
      </c>
      <c r="E63" s="40" t="s">
        <v>123</v>
      </c>
    </row>
    <row r="64" spans="1:5" ht="15" thickBot="1" x14ac:dyDescent="0.35">
      <c r="A64" s="43">
        <v>45973</v>
      </c>
      <c r="B64" s="40" t="s">
        <v>176</v>
      </c>
      <c r="C64" s="52">
        <v>20336.82</v>
      </c>
      <c r="D64" s="40" t="s">
        <v>122</v>
      </c>
      <c r="E64" s="40" t="s">
        <v>123</v>
      </c>
    </row>
    <row r="65" spans="1:5" ht="15" thickBot="1" x14ac:dyDescent="0.35">
      <c r="A65" s="43">
        <v>45973</v>
      </c>
      <c r="B65" s="40" t="s">
        <v>175</v>
      </c>
      <c r="C65" s="52">
        <v>2.0299999999999998</v>
      </c>
      <c r="D65" s="40" t="s">
        <v>122</v>
      </c>
      <c r="E65" s="40" t="s">
        <v>123</v>
      </c>
    </row>
    <row r="66" spans="1:5" ht="15" thickBot="1" x14ac:dyDescent="0.35">
      <c r="A66" s="43">
        <v>45974</v>
      </c>
      <c r="B66" s="40" t="s">
        <v>174</v>
      </c>
      <c r="C66" s="52">
        <v>1195.6099999999999</v>
      </c>
      <c r="D66" s="40" t="s">
        <v>122</v>
      </c>
      <c r="E66" s="40" t="s">
        <v>124</v>
      </c>
    </row>
    <row r="67" spans="1:5" ht="15" thickBot="1" x14ac:dyDescent="0.35">
      <c r="A67" s="43">
        <v>45974</v>
      </c>
      <c r="B67" s="40" t="s">
        <v>227</v>
      </c>
      <c r="C67" s="52">
        <v>27475.53</v>
      </c>
      <c r="D67" s="40" t="s">
        <v>122</v>
      </c>
      <c r="E67" s="40" t="s">
        <v>154</v>
      </c>
    </row>
    <row r="68" spans="1:5" ht="15" thickBot="1" x14ac:dyDescent="0.35">
      <c r="A68" s="43">
        <v>45974</v>
      </c>
      <c r="B68" s="40" t="s">
        <v>118</v>
      </c>
      <c r="C68" s="52">
        <v>210</v>
      </c>
      <c r="D68" s="40" t="s">
        <v>122</v>
      </c>
      <c r="E68" s="40" t="s">
        <v>178</v>
      </c>
    </row>
    <row r="69" spans="1:5" ht="15" thickBot="1" x14ac:dyDescent="0.35">
      <c r="A69" s="43">
        <v>45974</v>
      </c>
      <c r="B69" s="40" t="s">
        <v>118</v>
      </c>
      <c r="C69" s="52">
        <v>210</v>
      </c>
      <c r="D69" s="40" t="s">
        <v>122</v>
      </c>
      <c r="E69" s="40" t="s">
        <v>178</v>
      </c>
    </row>
    <row r="70" spans="1:5" ht="15" thickBot="1" x14ac:dyDescent="0.35">
      <c r="A70" s="43">
        <v>45974</v>
      </c>
      <c r="B70" s="40" t="s">
        <v>236</v>
      </c>
      <c r="C70" s="52">
        <v>9002.17</v>
      </c>
      <c r="D70" s="40" t="s">
        <v>122</v>
      </c>
      <c r="E70" s="40" t="s">
        <v>153</v>
      </c>
    </row>
    <row r="71" spans="1:5" ht="15" thickBot="1" x14ac:dyDescent="0.35">
      <c r="A71" s="43">
        <v>45974</v>
      </c>
      <c r="B71" s="40" t="s">
        <v>237</v>
      </c>
      <c r="C71" s="52">
        <v>35424.14</v>
      </c>
      <c r="D71" s="40" t="s">
        <v>122</v>
      </c>
      <c r="E71" s="40" t="s">
        <v>145</v>
      </c>
    </row>
    <row r="72" spans="1:5" ht="15" thickBot="1" x14ac:dyDescent="0.35">
      <c r="A72" s="43">
        <v>45974</v>
      </c>
      <c r="B72" s="40" t="s">
        <v>177</v>
      </c>
      <c r="C72" s="52">
        <v>916482.02</v>
      </c>
      <c r="D72" s="40" t="s">
        <v>122</v>
      </c>
      <c r="E72" s="40" t="s">
        <v>179</v>
      </c>
    </row>
    <row r="73" spans="1:5" ht="15" thickBot="1" x14ac:dyDescent="0.35">
      <c r="A73" s="43">
        <v>45974</v>
      </c>
      <c r="B73" s="40" t="s">
        <v>175</v>
      </c>
      <c r="C73" s="52">
        <v>13523.02</v>
      </c>
      <c r="D73" s="40" t="s">
        <v>122</v>
      </c>
      <c r="E73" s="40" t="s">
        <v>123</v>
      </c>
    </row>
    <row r="74" spans="1:5" ht="15" thickBot="1" x14ac:dyDescent="0.35">
      <c r="A74" s="43">
        <v>45974</v>
      </c>
      <c r="B74" s="40" t="s">
        <v>176</v>
      </c>
      <c r="C74" s="52">
        <v>71736.600000000006</v>
      </c>
      <c r="D74" s="40" t="s">
        <v>122</v>
      </c>
      <c r="E74" s="40" t="s">
        <v>123</v>
      </c>
    </row>
    <row r="75" spans="1:5" ht="15" thickBot="1" x14ac:dyDescent="0.35">
      <c r="A75" s="43">
        <v>45974</v>
      </c>
      <c r="B75" s="40" t="s">
        <v>175</v>
      </c>
      <c r="C75" s="52">
        <v>7.17</v>
      </c>
      <c r="D75" s="40" t="s">
        <v>122</v>
      </c>
      <c r="E75" s="40" t="s">
        <v>123</v>
      </c>
    </row>
    <row r="76" spans="1:5" ht="15" thickBot="1" x14ac:dyDescent="0.35">
      <c r="A76" s="43">
        <v>45975</v>
      </c>
      <c r="B76" s="40" t="s">
        <v>174</v>
      </c>
      <c r="C76" s="52">
        <v>299.95999999999998</v>
      </c>
      <c r="D76" s="40" t="s">
        <v>122</v>
      </c>
      <c r="E76" s="40" t="s">
        <v>124</v>
      </c>
    </row>
    <row r="77" spans="1:5" ht="15" thickBot="1" x14ac:dyDescent="0.35">
      <c r="A77" s="43">
        <v>45975</v>
      </c>
      <c r="B77" s="40" t="s">
        <v>118</v>
      </c>
      <c r="C77" s="52">
        <v>210</v>
      </c>
      <c r="D77" s="40" t="s">
        <v>122</v>
      </c>
      <c r="E77" s="40" t="s">
        <v>178</v>
      </c>
    </row>
    <row r="78" spans="1:5" ht="15" thickBot="1" x14ac:dyDescent="0.35">
      <c r="A78" s="43">
        <v>45975</v>
      </c>
      <c r="B78" s="40" t="s">
        <v>175</v>
      </c>
      <c r="C78" s="52">
        <v>10647</v>
      </c>
      <c r="D78" s="40" t="s">
        <v>122</v>
      </c>
      <c r="E78" s="40" t="s">
        <v>123</v>
      </c>
    </row>
    <row r="79" spans="1:5" ht="15" thickBot="1" x14ac:dyDescent="0.35">
      <c r="A79" s="43">
        <v>45975</v>
      </c>
      <c r="B79" s="40" t="s">
        <v>176</v>
      </c>
      <c r="C79" s="52">
        <v>17997.75</v>
      </c>
      <c r="D79" s="40" t="s">
        <v>122</v>
      </c>
      <c r="E79" s="40" t="s">
        <v>123</v>
      </c>
    </row>
    <row r="80" spans="1:5" ht="15" thickBot="1" x14ac:dyDescent="0.35">
      <c r="A80" s="43">
        <v>45975</v>
      </c>
      <c r="B80" s="40" t="s">
        <v>175</v>
      </c>
      <c r="C80" s="52">
        <v>1.8</v>
      </c>
      <c r="D80" s="40" t="s">
        <v>122</v>
      </c>
      <c r="E80" s="40" t="s">
        <v>123</v>
      </c>
    </row>
    <row r="81" spans="1:5" ht="15" thickBot="1" x14ac:dyDescent="0.35">
      <c r="A81" s="43">
        <v>45978</v>
      </c>
      <c r="B81" s="40" t="s">
        <v>174</v>
      </c>
      <c r="C81" s="52">
        <v>100</v>
      </c>
      <c r="D81" s="40" t="s">
        <v>122</v>
      </c>
      <c r="E81" s="40" t="s">
        <v>124</v>
      </c>
    </row>
    <row r="82" spans="1:5" ht="15" thickBot="1" x14ac:dyDescent="0.35">
      <c r="A82" s="43">
        <v>45978</v>
      </c>
      <c r="B82" s="40" t="s">
        <v>176</v>
      </c>
      <c r="C82" s="52">
        <v>6000</v>
      </c>
      <c r="D82" s="40" t="s">
        <v>122</v>
      </c>
      <c r="E82" s="40" t="s">
        <v>123</v>
      </c>
    </row>
    <row r="83" spans="1:5" ht="15" thickBot="1" x14ac:dyDescent="0.35">
      <c r="A83" s="43">
        <v>45978</v>
      </c>
      <c r="B83" s="40" t="s">
        <v>175</v>
      </c>
      <c r="C83" s="52">
        <v>0.6</v>
      </c>
      <c r="D83" s="40" t="s">
        <v>122</v>
      </c>
      <c r="E83" s="40" t="s">
        <v>123</v>
      </c>
    </row>
    <row r="84" spans="1:5" ht="15" thickBot="1" x14ac:dyDescent="0.35">
      <c r="A84" s="43">
        <v>45979</v>
      </c>
      <c r="B84" s="40" t="s">
        <v>174</v>
      </c>
      <c r="C84" s="52">
        <v>314.93</v>
      </c>
      <c r="D84" s="40" t="s">
        <v>122</v>
      </c>
      <c r="E84" s="40" t="s">
        <v>124</v>
      </c>
    </row>
    <row r="85" spans="1:5" ht="15" thickBot="1" x14ac:dyDescent="0.35">
      <c r="A85" s="43">
        <v>45979</v>
      </c>
      <c r="B85" s="40" t="s">
        <v>174</v>
      </c>
      <c r="C85" s="52">
        <v>169.45</v>
      </c>
      <c r="D85" s="40" t="s">
        <v>122</v>
      </c>
      <c r="E85" s="40" t="s">
        <v>124</v>
      </c>
    </row>
    <row r="86" spans="1:5" ht="15" thickBot="1" x14ac:dyDescent="0.35">
      <c r="A86" s="43">
        <v>45979</v>
      </c>
      <c r="B86" s="40" t="s">
        <v>176</v>
      </c>
      <c r="C86" s="52">
        <v>29062.61</v>
      </c>
      <c r="D86" s="40" t="s">
        <v>122</v>
      </c>
      <c r="E86" s="40" t="s">
        <v>123</v>
      </c>
    </row>
    <row r="87" spans="1:5" ht="15" thickBot="1" x14ac:dyDescent="0.35">
      <c r="A87" s="43">
        <v>45979</v>
      </c>
      <c r="B87" s="40" t="s">
        <v>175</v>
      </c>
      <c r="C87" s="52">
        <v>2.91</v>
      </c>
      <c r="D87" s="40" t="s">
        <v>122</v>
      </c>
      <c r="E87" s="40" t="s">
        <v>123</v>
      </c>
    </row>
    <row r="88" spans="1:5" ht="15" thickBot="1" x14ac:dyDescent="0.35">
      <c r="A88" s="43">
        <v>45981</v>
      </c>
      <c r="B88" s="40" t="s">
        <v>175</v>
      </c>
      <c r="C88" s="52">
        <v>1800</v>
      </c>
      <c r="D88" s="40" t="s">
        <v>122</v>
      </c>
      <c r="E88" s="40" t="s">
        <v>123</v>
      </c>
    </row>
    <row r="89" spans="1:5" ht="15" thickBot="1" x14ac:dyDescent="0.35">
      <c r="A89" s="43">
        <v>45986</v>
      </c>
      <c r="B89" s="40" t="s">
        <v>174</v>
      </c>
      <c r="C89" s="52">
        <v>7.45</v>
      </c>
      <c r="D89" s="40" t="s">
        <v>122</v>
      </c>
      <c r="E89" s="40" t="s">
        <v>124</v>
      </c>
    </row>
    <row r="90" spans="1:5" ht="15" thickBot="1" x14ac:dyDescent="0.35">
      <c r="A90" s="43">
        <v>45986</v>
      </c>
      <c r="B90" s="40" t="s">
        <v>174</v>
      </c>
      <c r="C90" s="52">
        <v>314.93</v>
      </c>
      <c r="D90" s="40" t="s">
        <v>122</v>
      </c>
      <c r="E90" s="40" t="s">
        <v>124</v>
      </c>
    </row>
    <row r="91" spans="1:5" ht="15" thickBot="1" x14ac:dyDescent="0.35">
      <c r="A91" s="43">
        <v>45986</v>
      </c>
      <c r="B91" s="40" t="s">
        <v>118</v>
      </c>
      <c r="C91" s="52">
        <v>210</v>
      </c>
      <c r="D91" s="40" t="s">
        <v>122</v>
      </c>
      <c r="E91" s="40" t="s">
        <v>178</v>
      </c>
    </row>
    <row r="92" spans="1:5" ht="15" thickBot="1" x14ac:dyDescent="0.35">
      <c r="A92" s="43">
        <v>45986</v>
      </c>
      <c r="B92" s="40" t="s">
        <v>118</v>
      </c>
      <c r="C92" s="52">
        <v>210</v>
      </c>
      <c r="D92" s="40" t="s">
        <v>122</v>
      </c>
      <c r="E92" s="40" t="s">
        <v>178</v>
      </c>
    </row>
    <row r="93" spans="1:5" ht="15" thickBot="1" x14ac:dyDescent="0.35">
      <c r="A93" s="43">
        <v>45986</v>
      </c>
      <c r="B93" s="40" t="s">
        <v>174</v>
      </c>
      <c r="C93" s="52">
        <v>100</v>
      </c>
      <c r="D93" s="40" t="s">
        <v>122</v>
      </c>
      <c r="E93" s="40" t="s">
        <v>124</v>
      </c>
    </row>
    <row r="94" spans="1:5" ht="15" thickBot="1" x14ac:dyDescent="0.35">
      <c r="A94" s="43">
        <v>45986</v>
      </c>
      <c r="B94" s="40" t="s">
        <v>175</v>
      </c>
      <c r="C94" s="52">
        <v>48243</v>
      </c>
      <c r="D94" s="40" t="s">
        <v>122</v>
      </c>
      <c r="E94" s="40" t="s">
        <v>123</v>
      </c>
    </row>
    <row r="95" spans="1:5" ht="15" thickBot="1" x14ac:dyDescent="0.35">
      <c r="A95" s="43">
        <v>45986</v>
      </c>
      <c r="B95" s="40" t="s">
        <v>176</v>
      </c>
      <c r="C95" s="52">
        <v>25342.83</v>
      </c>
      <c r="D95" s="40" t="s">
        <v>122</v>
      </c>
      <c r="E95" s="40" t="s">
        <v>123</v>
      </c>
    </row>
    <row r="96" spans="1:5" ht="15" thickBot="1" x14ac:dyDescent="0.35">
      <c r="A96" s="43">
        <v>45986</v>
      </c>
      <c r="B96" s="40" t="s">
        <v>175</v>
      </c>
      <c r="C96" s="52">
        <v>2.5299999999999998</v>
      </c>
      <c r="D96" s="40" t="s">
        <v>122</v>
      </c>
      <c r="E96" s="40" t="s">
        <v>123</v>
      </c>
    </row>
    <row r="97" spans="1:5" ht="15" thickBot="1" x14ac:dyDescent="0.35">
      <c r="A97" s="43">
        <v>45987</v>
      </c>
      <c r="B97" s="40" t="s">
        <v>174</v>
      </c>
      <c r="C97" s="52">
        <v>314.93</v>
      </c>
      <c r="D97" s="40" t="s">
        <v>122</v>
      </c>
      <c r="E97" s="40" t="s">
        <v>124</v>
      </c>
    </row>
    <row r="98" spans="1:5" ht="15" thickBot="1" x14ac:dyDescent="0.35">
      <c r="A98" s="43">
        <v>45987</v>
      </c>
      <c r="B98" s="40" t="s">
        <v>174</v>
      </c>
      <c r="C98" s="52">
        <v>35</v>
      </c>
      <c r="D98" s="40" t="s">
        <v>122</v>
      </c>
      <c r="E98" s="40" t="s">
        <v>124</v>
      </c>
    </row>
    <row r="99" spans="1:5" ht="15" thickBot="1" x14ac:dyDescent="0.35">
      <c r="A99" s="43">
        <v>45987</v>
      </c>
      <c r="B99" s="40" t="s">
        <v>176</v>
      </c>
      <c r="C99" s="52">
        <v>20995.83</v>
      </c>
      <c r="D99" s="40" t="s">
        <v>122</v>
      </c>
      <c r="E99" s="40" t="s">
        <v>123</v>
      </c>
    </row>
    <row r="100" spans="1:5" ht="15" thickBot="1" x14ac:dyDescent="0.35">
      <c r="A100" s="43">
        <v>45987</v>
      </c>
      <c r="B100" s="40" t="s">
        <v>175</v>
      </c>
      <c r="C100" s="52">
        <v>2.1</v>
      </c>
      <c r="D100" s="40" t="s">
        <v>122</v>
      </c>
      <c r="E100" s="40" t="s">
        <v>123</v>
      </c>
    </row>
    <row r="101" spans="1:5" ht="15" thickBot="1" x14ac:dyDescent="0.35">
      <c r="A101" s="43">
        <v>45987</v>
      </c>
      <c r="B101" s="40" t="s">
        <v>174</v>
      </c>
      <c r="C101" s="52">
        <v>65.64</v>
      </c>
      <c r="D101" s="40" t="s">
        <v>122</v>
      </c>
      <c r="E101" s="40" t="s">
        <v>124</v>
      </c>
    </row>
    <row r="102" spans="1:5" ht="15" thickBot="1" x14ac:dyDescent="0.35">
      <c r="A102" s="43">
        <v>45987</v>
      </c>
      <c r="B102" s="40" t="s">
        <v>176</v>
      </c>
      <c r="C102" s="52">
        <v>3938.22</v>
      </c>
      <c r="D102" s="40" t="s">
        <v>122</v>
      </c>
      <c r="E102" s="40" t="s">
        <v>123</v>
      </c>
    </row>
    <row r="103" spans="1:5" ht="15" thickBot="1" x14ac:dyDescent="0.35">
      <c r="A103" s="43">
        <v>45987</v>
      </c>
      <c r="B103" s="40" t="s">
        <v>175</v>
      </c>
      <c r="C103" s="52">
        <v>0.39</v>
      </c>
      <c r="D103" s="40" t="s">
        <v>122</v>
      </c>
      <c r="E103" s="40" t="s">
        <v>123</v>
      </c>
    </row>
    <row r="104" spans="1:5" ht="15" thickBot="1" x14ac:dyDescent="0.35">
      <c r="A104" s="43">
        <v>45988</v>
      </c>
      <c r="B104" s="40" t="s">
        <v>174</v>
      </c>
      <c r="C104" s="52">
        <v>63.68</v>
      </c>
      <c r="D104" s="40" t="s">
        <v>122</v>
      </c>
      <c r="E104" s="40" t="s">
        <v>124</v>
      </c>
    </row>
    <row r="105" spans="1:5" ht="15" thickBot="1" x14ac:dyDescent="0.35">
      <c r="A105" s="43">
        <v>45988</v>
      </c>
      <c r="B105" s="40" t="s">
        <v>174</v>
      </c>
      <c r="C105" s="52">
        <v>314.95</v>
      </c>
      <c r="D105" s="40" t="s">
        <v>122</v>
      </c>
      <c r="E105" s="40" t="s">
        <v>124</v>
      </c>
    </row>
    <row r="106" spans="1:5" ht="15" thickBot="1" x14ac:dyDescent="0.35">
      <c r="A106" s="43">
        <v>45988</v>
      </c>
      <c r="B106" s="40" t="s">
        <v>174</v>
      </c>
      <c r="C106" s="52">
        <v>169.46</v>
      </c>
      <c r="D106" s="40" t="s">
        <v>122</v>
      </c>
      <c r="E106" s="40" t="s">
        <v>124</v>
      </c>
    </row>
    <row r="107" spans="1:5" ht="15" thickBot="1" x14ac:dyDescent="0.35">
      <c r="A107" s="43">
        <v>45988</v>
      </c>
      <c r="B107" s="40" t="s">
        <v>174</v>
      </c>
      <c r="C107" s="52">
        <v>38.409999999999997</v>
      </c>
      <c r="D107" s="40" t="s">
        <v>122</v>
      </c>
      <c r="E107" s="40" t="s">
        <v>124</v>
      </c>
    </row>
    <row r="108" spans="1:5" ht="15" thickBot="1" x14ac:dyDescent="0.35">
      <c r="A108" s="43">
        <v>45988</v>
      </c>
      <c r="B108" s="40" t="s">
        <v>177</v>
      </c>
      <c r="C108" s="52">
        <v>103614.52</v>
      </c>
      <c r="D108" s="40" t="s">
        <v>122</v>
      </c>
      <c r="E108" s="40" t="s">
        <v>179</v>
      </c>
    </row>
    <row r="109" spans="1:5" ht="15" thickBot="1" x14ac:dyDescent="0.35">
      <c r="A109" s="43">
        <v>45988</v>
      </c>
      <c r="B109" s="40" t="s">
        <v>177</v>
      </c>
      <c r="C109" s="52">
        <v>6399.94</v>
      </c>
      <c r="D109" s="40" t="s">
        <v>122</v>
      </c>
      <c r="E109" s="40" t="s">
        <v>179</v>
      </c>
    </row>
    <row r="110" spans="1:5" ht="15" thickBot="1" x14ac:dyDescent="0.35">
      <c r="A110" s="43">
        <v>45988</v>
      </c>
      <c r="B110" s="40" t="s">
        <v>174</v>
      </c>
      <c r="C110" s="52">
        <v>122.16</v>
      </c>
      <c r="D110" s="40" t="s">
        <v>122</v>
      </c>
      <c r="E110" s="40" t="s">
        <v>124</v>
      </c>
    </row>
    <row r="111" spans="1:5" ht="15" thickBot="1" x14ac:dyDescent="0.35">
      <c r="A111" s="43">
        <v>45988</v>
      </c>
      <c r="B111" s="40" t="s">
        <v>174</v>
      </c>
      <c r="C111" s="52">
        <v>338.9</v>
      </c>
      <c r="D111" s="40" t="s">
        <v>122</v>
      </c>
      <c r="E111" s="40" t="s">
        <v>124</v>
      </c>
    </row>
    <row r="112" spans="1:5" ht="15" thickBot="1" x14ac:dyDescent="0.35">
      <c r="A112" s="43">
        <v>45988</v>
      </c>
      <c r="B112" s="40" t="s">
        <v>175</v>
      </c>
      <c r="C112" s="52">
        <v>16431.7</v>
      </c>
      <c r="D112" s="40" t="s">
        <v>122</v>
      </c>
      <c r="E112" s="40" t="s">
        <v>123</v>
      </c>
    </row>
    <row r="113" spans="1:5" ht="15" thickBot="1" x14ac:dyDescent="0.35">
      <c r="A113" s="43">
        <v>45988</v>
      </c>
      <c r="B113" s="40" t="s">
        <v>176</v>
      </c>
      <c r="C113" s="52">
        <v>62853.919999999998</v>
      </c>
      <c r="D113" s="40" t="s">
        <v>122</v>
      </c>
      <c r="E113" s="40" t="s">
        <v>123</v>
      </c>
    </row>
    <row r="114" spans="1:5" ht="15" thickBot="1" x14ac:dyDescent="0.35">
      <c r="A114" s="43">
        <v>45988</v>
      </c>
      <c r="B114" s="40" t="s">
        <v>175</v>
      </c>
      <c r="C114" s="52">
        <v>6.29</v>
      </c>
      <c r="D114" s="40" t="s">
        <v>122</v>
      </c>
      <c r="E114" s="40" t="s">
        <v>123</v>
      </c>
    </row>
    <row r="115" spans="1:5" ht="15" thickBot="1" x14ac:dyDescent="0.35">
      <c r="A115" s="43">
        <v>45989</v>
      </c>
      <c r="B115" s="40" t="s">
        <v>174</v>
      </c>
      <c r="C115" s="52">
        <v>338.95</v>
      </c>
      <c r="D115" s="40" t="s">
        <v>122</v>
      </c>
      <c r="E115" s="40" t="s">
        <v>124</v>
      </c>
    </row>
    <row r="116" spans="1:5" ht="15" thickBot="1" x14ac:dyDescent="0.35">
      <c r="A116" s="43">
        <v>45989</v>
      </c>
      <c r="B116" s="40" t="s">
        <v>174</v>
      </c>
      <c r="C116" s="52">
        <v>314.93</v>
      </c>
      <c r="D116" s="40" t="s">
        <v>122</v>
      </c>
      <c r="E116" s="40" t="s">
        <v>124</v>
      </c>
    </row>
    <row r="117" spans="1:5" ht="15" thickBot="1" x14ac:dyDescent="0.35">
      <c r="A117" s="43">
        <v>45989</v>
      </c>
      <c r="B117" s="40" t="s">
        <v>176</v>
      </c>
      <c r="C117" s="52">
        <v>39232.32</v>
      </c>
      <c r="D117" s="40" t="s">
        <v>122</v>
      </c>
      <c r="E117" s="40" t="s">
        <v>123</v>
      </c>
    </row>
    <row r="118" spans="1:5" ht="15" thickBot="1" x14ac:dyDescent="0.35">
      <c r="A118" s="43">
        <v>45989</v>
      </c>
      <c r="B118" s="40" t="s">
        <v>175</v>
      </c>
      <c r="C118" s="52">
        <v>3.92</v>
      </c>
      <c r="D118" s="40" t="s">
        <v>122</v>
      </c>
      <c r="E118" s="40" t="s">
        <v>123</v>
      </c>
    </row>
    <row r="119" spans="1:5" ht="14.4" thickBot="1" x14ac:dyDescent="0.35">
      <c r="A119" s="44"/>
      <c r="B119" s="45" t="s">
        <v>122</v>
      </c>
      <c r="C119" s="46">
        <f>SUM(C36:C118)</f>
        <v>1634422.5299999993</v>
      </c>
      <c r="D119" s="44"/>
      <c r="E119" s="44"/>
    </row>
    <row r="120" spans="1:5" ht="15" thickBot="1" x14ac:dyDescent="0.35">
      <c r="A120" s="43">
        <v>45964</v>
      </c>
      <c r="B120" s="40" t="s">
        <v>201</v>
      </c>
      <c r="C120" s="52">
        <v>98403.77</v>
      </c>
      <c r="D120" s="40" t="s">
        <v>120</v>
      </c>
      <c r="E120" s="40" t="s">
        <v>171</v>
      </c>
    </row>
    <row r="121" spans="1:5" ht="15" thickBot="1" x14ac:dyDescent="0.35">
      <c r="A121" s="43">
        <v>45965</v>
      </c>
      <c r="B121" s="41" t="s">
        <v>181</v>
      </c>
      <c r="C121" s="52">
        <v>28135.65</v>
      </c>
      <c r="D121" s="40" t="s">
        <v>120</v>
      </c>
      <c r="E121" s="40" t="s">
        <v>126</v>
      </c>
    </row>
    <row r="122" spans="1:5" ht="15" thickBot="1" x14ac:dyDescent="0.35">
      <c r="A122" s="43">
        <v>45965</v>
      </c>
      <c r="B122" s="41" t="s">
        <v>181</v>
      </c>
      <c r="C122" s="52">
        <v>152455.29</v>
      </c>
      <c r="D122" s="40" t="s">
        <v>120</v>
      </c>
      <c r="E122" s="40" t="s">
        <v>126</v>
      </c>
    </row>
    <row r="123" spans="1:5" ht="15" thickBot="1" x14ac:dyDescent="0.35">
      <c r="A123" s="43">
        <v>45968</v>
      </c>
      <c r="B123" s="41" t="s">
        <v>211</v>
      </c>
      <c r="C123" s="52">
        <v>303000</v>
      </c>
      <c r="D123" s="40" t="s">
        <v>120</v>
      </c>
      <c r="E123" s="40" t="s">
        <v>127</v>
      </c>
    </row>
    <row r="124" spans="1:5" ht="15" thickBot="1" x14ac:dyDescent="0.35">
      <c r="A124" s="43">
        <v>45968</v>
      </c>
      <c r="B124" s="41" t="s">
        <v>212</v>
      </c>
      <c r="C124" s="52">
        <v>304792</v>
      </c>
      <c r="D124" s="40" t="s">
        <v>120</v>
      </c>
      <c r="E124" s="40" t="s">
        <v>125</v>
      </c>
    </row>
    <row r="125" spans="1:5" ht="15" thickBot="1" x14ac:dyDescent="0.35">
      <c r="A125" s="43">
        <v>45968</v>
      </c>
      <c r="B125" s="41" t="s">
        <v>216</v>
      </c>
      <c r="C125" s="52">
        <v>2300000</v>
      </c>
      <c r="D125" s="40" t="s">
        <v>182</v>
      </c>
      <c r="E125" s="40" t="s">
        <v>217</v>
      </c>
    </row>
    <row r="126" spans="1:5" ht="15" thickBot="1" x14ac:dyDescent="0.35">
      <c r="A126" s="43">
        <v>45972</v>
      </c>
      <c r="B126" s="41" t="s">
        <v>222</v>
      </c>
      <c r="C126" s="52">
        <v>154033</v>
      </c>
      <c r="D126" s="40" t="s">
        <v>120</v>
      </c>
      <c r="E126" s="40" t="s">
        <v>126</v>
      </c>
    </row>
    <row r="127" spans="1:5" ht="15" thickBot="1" x14ac:dyDescent="0.35">
      <c r="A127" s="43">
        <v>45973</v>
      </c>
      <c r="B127" s="41" t="s">
        <v>180</v>
      </c>
      <c r="C127" s="52">
        <v>20717.48</v>
      </c>
      <c r="D127" s="40" t="s">
        <v>120</v>
      </c>
      <c r="E127" s="40" t="s">
        <v>126</v>
      </c>
    </row>
    <row r="128" spans="1:5" ht="15" thickBot="1" x14ac:dyDescent="0.35">
      <c r="A128" s="43">
        <v>45974</v>
      </c>
      <c r="B128" s="41" t="s">
        <v>232</v>
      </c>
      <c r="C128" s="52">
        <v>108443.4</v>
      </c>
      <c r="D128" s="40" t="s">
        <v>120</v>
      </c>
      <c r="E128" s="40" t="s">
        <v>125</v>
      </c>
    </row>
    <row r="129" spans="1:5" ht="15" thickBot="1" x14ac:dyDescent="0.35">
      <c r="A129" s="43">
        <v>45988</v>
      </c>
      <c r="B129" s="40" t="s">
        <v>190</v>
      </c>
      <c r="C129" s="52">
        <v>428602.61</v>
      </c>
      <c r="D129" s="40" t="s">
        <v>120</v>
      </c>
      <c r="E129" s="40" t="s">
        <v>144</v>
      </c>
    </row>
    <row r="130" spans="1:5" ht="14.4" thickBot="1" x14ac:dyDescent="0.35">
      <c r="A130" s="44"/>
      <c r="B130" s="45" t="s">
        <v>120</v>
      </c>
      <c r="C130" s="46">
        <f>SUM(C120:C129)</f>
        <v>3898583.1999999997</v>
      </c>
      <c r="D130" s="44"/>
      <c r="E130" s="44"/>
    </row>
    <row r="131" spans="1:5" ht="15" thickBot="1" x14ac:dyDescent="0.35">
      <c r="A131" s="43">
        <v>45964</v>
      </c>
      <c r="B131" s="41" t="s">
        <v>202</v>
      </c>
      <c r="C131" s="50">
        <v>443532</v>
      </c>
      <c r="D131" s="41" t="s">
        <v>121</v>
      </c>
      <c r="E131" s="41" t="s">
        <v>121</v>
      </c>
    </row>
    <row r="132" spans="1:5" ht="15" thickBot="1" x14ac:dyDescent="0.35">
      <c r="A132" s="43">
        <v>45964</v>
      </c>
      <c r="B132" s="41" t="s">
        <v>203</v>
      </c>
      <c r="C132" s="50">
        <v>583620</v>
      </c>
      <c r="D132" s="41" t="s">
        <v>121</v>
      </c>
      <c r="E132" s="41" t="s">
        <v>121</v>
      </c>
    </row>
    <row r="133" spans="1:5" ht="15" thickBot="1" x14ac:dyDescent="0.35">
      <c r="A133" s="43">
        <v>45964</v>
      </c>
      <c r="B133" s="41" t="s">
        <v>204</v>
      </c>
      <c r="C133" s="50">
        <v>2391734</v>
      </c>
      <c r="D133" s="41" t="s">
        <v>121</v>
      </c>
      <c r="E133" s="41" t="s">
        <v>121</v>
      </c>
    </row>
    <row r="134" spans="1:5" ht="15" thickBot="1" x14ac:dyDescent="0.35">
      <c r="A134" s="43">
        <v>45965</v>
      </c>
      <c r="B134" s="40" t="s">
        <v>253</v>
      </c>
      <c r="C134" s="50">
        <v>250000</v>
      </c>
      <c r="D134" s="41" t="s">
        <v>121</v>
      </c>
      <c r="E134" s="41" t="s">
        <v>121</v>
      </c>
    </row>
    <row r="135" spans="1:5" ht="15" thickBot="1" x14ac:dyDescent="0.35">
      <c r="A135" s="43">
        <v>45965</v>
      </c>
      <c r="B135" s="40" t="s">
        <v>254</v>
      </c>
      <c r="C135" s="50">
        <v>200000</v>
      </c>
      <c r="D135" s="41" t="s">
        <v>121</v>
      </c>
      <c r="E135" s="41" t="s">
        <v>121</v>
      </c>
    </row>
    <row r="136" spans="1:5" ht="15" thickBot="1" x14ac:dyDescent="0.35">
      <c r="A136" s="43">
        <v>45965</v>
      </c>
      <c r="B136" s="40" t="s">
        <v>255</v>
      </c>
      <c r="C136" s="55">
        <v>3388266</v>
      </c>
      <c r="D136" s="41" t="s">
        <v>121</v>
      </c>
      <c r="E136" s="41" t="s">
        <v>121</v>
      </c>
    </row>
    <row r="137" spans="1:5" ht="15" thickBot="1" x14ac:dyDescent="0.35">
      <c r="A137" s="43">
        <v>45965</v>
      </c>
      <c r="B137" s="40" t="s">
        <v>256</v>
      </c>
      <c r="C137" s="55">
        <v>50000</v>
      </c>
      <c r="D137" s="41" t="s">
        <v>121</v>
      </c>
      <c r="E137" s="41" t="s">
        <v>121</v>
      </c>
    </row>
    <row r="138" spans="1:5" ht="15" thickBot="1" x14ac:dyDescent="0.35">
      <c r="A138" s="43">
        <v>45974</v>
      </c>
      <c r="B138" s="40" t="s">
        <v>233</v>
      </c>
      <c r="C138" s="55">
        <v>180768</v>
      </c>
      <c r="D138" s="41" t="s">
        <v>121</v>
      </c>
      <c r="E138" s="41" t="s">
        <v>121</v>
      </c>
    </row>
    <row r="139" spans="1:5" x14ac:dyDescent="0.3">
      <c r="A139" s="44"/>
      <c r="B139" s="45" t="s">
        <v>121</v>
      </c>
      <c r="C139" s="46">
        <f>SUM(C131:C138)</f>
        <v>7487920</v>
      </c>
      <c r="D139" s="44"/>
      <c r="E139" s="44"/>
    </row>
    <row r="140" spans="1:5" ht="16.5" customHeight="1" x14ac:dyDescent="0.3">
      <c r="A140" s="54"/>
      <c r="B140" s="49"/>
      <c r="C140" s="55"/>
      <c r="D140" s="49"/>
      <c r="E140" s="49"/>
    </row>
    <row r="141" spans="1:5" ht="14.4" x14ac:dyDescent="0.3">
      <c r="A141" s="54"/>
      <c r="B141" s="49"/>
      <c r="C141" s="55"/>
      <c r="D141" s="49"/>
      <c r="E141" s="49"/>
    </row>
  </sheetData>
  <autoFilter ref="A1:D1" xr:uid="{7D39FC09-67B1-4389-93ED-E9AE970AAC6E}"/>
  <sortState xmlns:xlrd2="http://schemas.microsoft.com/office/spreadsheetml/2017/richdata2" ref="A3:E142">
    <sortCondition ref="D3:D142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M28"/>
  <sheetViews>
    <sheetView zoomScale="90" zoomScaleNormal="90" workbookViewId="0">
      <selection activeCell="L28" sqref="L28"/>
    </sheetView>
  </sheetViews>
  <sheetFormatPr baseColWidth="10" defaultColWidth="8.88671875" defaultRowHeight="14.4" x14ac:dyDescent="0.3"/>
  <cols>
    <col min="3" max="3" width="0" hidden="1" customWidth="1"/>
    <col min="4" max="4" width="30.44140625" customWidth="1"/>
    <col min="5" max="7" width="0" hidden="1" customWidth="1"/>
    <col min="8" max="11" width="19.5546875" customWidth="1"/>
    <col min="12" max="12" width="20.6640625" customWidth="1"/>
    <col min="13" max="13" width="19.5546875" customWidth="1"/>
    <col min="15" max="15" width="12.21875" bestFit="1" customWidth="1"/>
  </cols>
  <sheetData>
    <row r="1" spans="1:13" s="14" customFormat="1" ht="40.799999999999997" customHeight="1" x14ac:dyDescent="0.3">
      <c r="A1" s="62" t="s">
        <v>160</v>
      </c>
      <c r="B1" s="62" t="s">
        <v>161</v>
      </c>
      <c r="C1" s="14" t="s">
        <v>162</v>
      </c>
      <c r="D1" s="59" t="s">
        <v>149</v>
      </c>
      <c r="E1" s="59" t="s">
        <v>163</v>
      </c>
      <c r="F1" s="59" t="s">
        <v>164</v>
      </c>
      <c r="G1" s="59" t="s">
        <v>165</v>
      </c>
      <c r="H1" s="59" t="s">
        <v>194</v>
      </c>
      <c r="I1" s="59" t="s">
        <v>198</v>
      </c>
      <c r="J1" s="59" t="s">
        <v>196</v>
      </c>
      <c r="K1" s="59" t="s">
        <v>195</v>
      </c>
      <c r="L1" s="60" t="s">
        <v>257</v>
      </c>
      <c r="M1" s="59" t="s">
        <v>297</v>
      </c>
    </row>
    <row r="2" spans="1:13" x14ac:dyDescent="0.3">
      <c r="A2" t="s">
        <v>166</v>
      </c>
      <c r="B2">
        <v>180</v>
      </c>
      <c r="D2" t="s">
        <v>258</v>
      </c>
      <c r="H2" t="s">
        <v>259</v>
      </c>
      <c r="I2" s="63">
        <v>220132.92</v>
      </c>
      <c r="J2" s="63">
        <v>6446000</v>
      </c>
      <c r="K2" s="63">
        <f>ExportFacturacion[[#This Row],[Precio con Descuento]]-ExportFacturacion[[#This Row],[Unitario]]</f>
        <v>0</v>
      </c>
      <c r="L2" s="63">
        <v>6446000</v>
      </c>
      <c r="M2" s="64"/>
    </row>
    <row r="3" spans="1:13" x14ac:dyDescent="0.3">
      <c r="A3" t="s">
        <v>166</v>
      </c>
      <c r="B3">
        <v>424</v>
      </c>
      <c r="C3" t="s">
        <v>167</v>
      </c>
      <c r="D3" t="s">
        <v>260</v>
      </c>
      <c r="E3" t="s">
        <v>128</v>
      </c>
      <c r="H3" t="s">
        <v>261</v>
      </c>
      <c r="I3" s="63">
        <v>398990.91</v>
      </c>
      <c r="J3" s="63">
        <v>2211000</v>
      </c>
      <c r="K3" s="63">
        <v>97426.61</v>
      </c>
      <c r="L3" s="63">
        <v>2113573.39</v>
      </c>
      <c r="M3" s="64"/>
    </row>
    <row r="4" spans="1:13" x14ac:dyDescent="0.3">
      <c r="A4" t="s">
        <v>166</v>
      </c>
      <c r="B4">
        <v>447</v>
      </c>
      <c r="C4" t="s">
        <v>167</v>
      </c>
      <c r="D4" t="s">
        <v>262</v>
      </c>
      <c r="E4" t="s">
        <v>128</v>
      </c>
      <c r="H4" t="s">
        <v>263</v>
      </c>
      <c r="I4" s="63"/>
      <c r="J4" s="63">
        <v>10820000</v>
      </c>
      <c r="K4" s="63">
        <f>ExportFacturacion[[#This Row],[Precio con Descuento]]-ExportFacturacion[[#This Row],[Unitario]]</f>
        <v>0</v>
      </c>
      <c r="L4" s="63">
        <v>10820000</v>
      </c>
      <c r="M4" s="64"/>
    </row>
    <row r="5" spans="1:13" x14ac:dyDescent="0.3">
      <c r="A5" t="s">
        <v>166</v>
      </c>
      <c r="B5">
        <v>467</v>
      </c>
      <c r="D5" t="s">
        <v>264</v>
      </c>
      <c r="H5" t="s">
        <v>265</v>
      </c>
      <c r="I5" s="63">
        <v>598486.37</v>
      </c>
      <c r="J5" s="63">
        <v>3867600</v>
      </c>
      <c r="K5" s="63">
        <v>193380</v>
      </c>
      <c r="L5" s="63">
        <v>3674220</v>
      </c>
      <c r="M5" s="64"/>
    </row>
    <row r="6" spans="1:13" x14ac:dyDescent="0.3">
      <c r="A6" t="s">
        <v>166</v>
      </c>
      <c r="B6">
        <v>493</v>
      </c>
      <c r="C6" t="s">
        <v>167</v>
      </c>
      <c r="D6" t="s">
        <v>266</v>
      </c>
      <c r="E6" t="s">
        <v>117</v>
      </c>
      <c r="G6" t="s">
        <v>267</v>
      </c>
      <c r="H6" t="s">
        <v>259</v>
      </c>
      <c r="I6" s="63">
        <v>220132.92</v>
      </c>
      <c r="J6" s="63">
        <v>1188000</v>
      </c>
      <c r="K6" s="63">
        <f>ExportFacturacion[[#This Row],[Precio con Descuento]]-ExportFacturacion[[#This Row],[Unitario]]</f>
        <v>0</v>
      </c>
      <c r="L6" s="63">
        <v>1188000</v>
      </c>
      <c r="M6" s="64"/>
    </row>
    <row r="7" spans="1:13" x14ac:dyDescent="0.3">
      <c r="A7" t="s">
        <v>166</v>
      </c>
      <c r="B7">
        <v>495</v>
      </c>
      <c r="C7" t="s">
        <v>167</v>
      </c>
      <c r="D7" t="s">
        <v>168</v>
      </c>
      <c r="E7" t="s">
        <v>128</v>
      </c>
      <c r="G7" t="s">
        <v>169</v>
      </c>
      <c r="H7" t="s">
        <v>268</v>
      </c>
      <c r="I7" s="63"/>
      <c r="J7" s="63">
        <v>612000</v>
      </c>
      <c r="K7" s="63">
        <f>ExportFacturacion[[#This Row],[Precio con Descuento]]-ExportFacturacion[[#This Row],[Unitario]]</f>
        <v>0</v>
      </c>
      <c r="L7" s="63">
        <v>612000</v>
      </c>
      <c r="M7" s="64"/>
    </row>
    <row r="8" spans="1:13" x14ac:dyDescent="0.3">
      <c r="A8" t="s">
        <v>166</v>
      </c>
      <c r="B8">
        <v>506</v>
      </c>
      <c r="C8" t="s">
        <v>167</v>
      </c>
      <c r="D8" t="s">
        <v>269</v>
      </c>
      <c r="E8" t="s">
        <v>117</v>
      </c>
      <c r="G8" t="s">
        <v>270</v>
      </c>
      <c r="H8" t="s">
        <v>271</v>
      </c>
      <c r="I8" s="63">
        <v>598486.37</v>
      </c>
      <c r="J8" s="63">
        <v>3867600</v>
      </c>
      <c r="K8" s="63">
        <v>187790.54</v>
      </c>
      <c r="L8" s="63">
        <v>3679809.46</v>
      </c>
      <c r="M8" s="64"/>
    </row>
    <row r="9" spans="1:13" x14ac:dyDescent="0.3">
      <c r="H9" t="s">
        <v>197</v>
      </c>
      <c r="I9" s="63"/>
      <c r="J9" s="63">
        <v>106000</v>
      </c>
      <c r="K9" s="63"/>
      <c r="L9" s="63"/>
      <c r="M9" s="64"/>
    </row>
    <row r="10" spans="1:13" x14ac:dyDescent="0.3">
      <c r="H10" t="s">
        <v>272</v>
      </c>
      <c r="I10" s="63"/>
      <c r="J10" s="63">
        <v>12000</v>
      </c>
      <c r="K10" s="63"/>
      <c r="L10" s="63"/>
      <c r="M10" s="64"/>
    </row>
    <row r="11" spans="1:13" x14ac:dyDescent="0.3">
      <c r="A11" t="s">
        <v>166</v>
      </c>
      <c r="B11">
        <v>510</v>
      </c>
      <c r="C11" t="s">
        <v>167</v>
      </c>
      <c r="D11" t="s">
        <v>273</v>
      </c>
      <c r="E11" t="s">
        <v>128</v>
      </c>
      <c r="H11" t="s">
        <v>265</v>
      </c>
      <c r="I11" s="63">
        <v>598486.37</v>
      </c>
      <c r="J11" s="63">
        <v>3867600</v>
      </c>
      <c r="K11" s="63">
        <v>800206.44</v>
      </c>
      <c r="L11" s="63">
        <v>3067393.56</v>
      </c>
      <c r="M11" s="64"/>
    </row>
    <row r="12" spans="1:13" x14ac:dyDescent="0.3">
      <c r="H12" t="s">
        <v>274</v>
      </c>
      <c r="I12" s="63">
        <v>28147.47</v>
      </c>
      <c r="J12" s="63">
        <v>91000</v>
      </c>
      <c r="K12" s="63">
        <f>ExportFacturacion[[#This Row],[Precio con Descuento]]-ExportFacturacion[[#This Row],[Unitario]]</f>
        <v>0</v>
      </c>
      <c r="L12" s="63">
        <v>91000</v>
      </c>
      <c r="M12" s="64"/>
    </row>
    <row r="13" spans="1:13" x14ac:dyDescent="0.3">
      <c r="H13" t="s">
        <v>275</v>
      </c>
      <c r="I13" s="63">
        <v>29803.21</v>
      </c>
      <c r="J13" s="63">
        <v>120100</v>
      </c>
      <c r="K13" s="63">
        <f>ExportFacturacion[[#This Row],[Precio con Descuento]]-ExportFacturacion[[#This Row],[Unitario]]</f>
        <v>0</v>
      </c>
      <c r="L13" s="63">
        <v>120100</v>
      </c>
      <c r="M13" s="64"/>
    </row>
    <row r="14" spans="1:13" x14ac:dyDescent="0.3">
      <c r="H14" t="s">
        <v>276</v>
      </c>
      <c r="I14" s="63"/>
      <c r="J14" s="63">
        <v>101000</v>
      </c>
      <c r="K14" s="63">
        <f>ExportFacturacion[[#This Row],[Precio con Descuento]]-ExportFacturacion[[#This Row],[Unitario]]</f>
        <v>0</v>
      </c>
      <c r="L14" s="63">
        <v>101000</v>
      </c>
      <c r="M14" s="64"/>
    </row>
    <row r="15" spans="1:13" x14ac:dyDescent="0.3">
      <c r="A15" t="s">
        <v>166</v>
      </c>
      <c r="B15">
        <v>511</v>
      </c>
      <c r="C15" t="s">
        <v>167</v>
      </c>
      <c r="D15" t="s">
        <v>277</v>
      </c>
      <c r="E15" t="s">
        <v>117</v>
      </c>
      <c r="H15" t="s">
        <v>259</v>
      </c>
      <c r="I15" s="63">
        <v>220132.92</v>
      </c>
      <c r="J15" s="63">
        <v>1188000</v>
      </c>
      <c r="K15" s="63">
        <f>ExportFacturacion[[#This Row],[Precio con Descuento]]-ExportFacturacion[[#This Row],[Unitario]]</f>
        <v>0</v>
      </c>
      <c r="L15" s="63">
        <v>1188000</v>
      </c>
      <c r="M15" s="64"/>
    </row>
    <row r="16" spans="1:13" x14ac:dyDescent="0.3">
      <c r="A16" t="s">
        <v>166</v>
      </c>
      <c r="B16">
        <v>516</v>
      </c>
      <c r="C16" t="s">
        <v>167</v>
      </c>
      <c r="D16" t="s">
        <v>278</v>
      </c>
      <c r="E16" t="s">
        <v>128</v>
      </c>
      <c r="H16" t="s">
        <v>259</v>
      </c>
      <c r="I16" s="63">
        <v>220132.92</v>
      </c>
      <c r="J16" s="63">
        <v>1188000</v>
      </c>
      <c r="K16" s="63">
        <v>118800</v>
      </c>
      <c r="L16" s="63">
        <v>1069200</v>
      </c>
      <c r="M16" s="64"/>
    </row>
    <row r="17" spans="1:13" x14ac:dyDescent="0.3">
      <c r="A17" t="s">
        <v>166</v>
      </c>
      <c r="B17">
        <v>518</v>
      </c>
      <c r="D17" t="s">
        <v>279</v>
      </c>
      <c r="H17" t="s">
        <v>265</v>
      </c>
      <c r="I17" s="63">
        <v>598486.37</v>
      </c>
      <c r="J17" s="63">
        <v>3067393.56</v>
      </c>
      <c r="K17" s="63">
        <v>0</v>
      </c>
      <c r="L17" s="63">
        <v>3067393.56</v>
      </c>
      <c r="M17" s="64"/>
    </row>
    <row r="18" spans="1:13" x14ac:dyDescent="0.3">
      <c r="A18" t="s">
        <v>166</v>
      </c>
      <c r="B18">
        <v>536</v>
      </c>
      <c r="C18" t="s">
        <v>167</v>
      </c>
      <c r="D18" t="s">
        <v>280</v>
      </c>
      <c r="E18" t="s">
        <v>170</v>
      </c>
      <c r="G18" t="s">
        <v>281</v>
      </c>
      <c r="H18" t="s">
        <v>261</v>
      </c>
      <c r="I18" s="63">
        <v>398990.91</v>
      </c>
      <c r="J18" s="63">
        <v>2211000</v>
      </c>
      <c r="K18" s="63">
        <v>134073.96</v>
      </c>
      <c r="L18" s="63">
        <v>2076926.04</v>
      </c>
      <c r="M18" s="64"/>
    </row>
    <row r="19" spans="1:13" x14ac:dyDescent="0.3">
      <c r="A19" t="s">
        <v>166</v>
      </c>
      <c r="B19">
        <v>542</v>
      </c>
      <c r="C19" t="s">
        <v>167</v>
      </c>
      <c r="D19" t="s">
        <v>282</v>
      </c>
      <c r="E19" t="s">
        <v>128</v>
      </c>
      <c r="G19" t="s">
        <v>283</v>
      </c>
      <c r="H19" t="s">
        <v>265</v>
      </c>
      <c r="I19" s="63">
        <v>598486.37</v>
      </c>
      <c r="J19" s="63">
        <v>3867600</v>
      </c>
      <c r="K19" s="63">
        <v>800206.44</v>
      </c>
      <c r="L19" s="63">
        <v>3067393.56</v>
      </c>
      <c r="M19" s="64"/>
    </row>
    <row r="20" spans="1:13" x14ac:dyDescent="0.3">
      <c r="A20" t="s">
        <v>166</v>
      </c>
      <c r="B20">
        <v>559</v>
      </c>
      <c r="C20" t="s">
        <v>167</v>
      </c>
      <c r="D20" t="s">
        <v>284</v>
      </c>
      <c r="E20" t="s">
        <v>170</v>
      </c>
      <c r="G20" t="s">
        <v>285</v>
      </c>
      <c r="H20" t="s">
        <v>286</v>
      </c>
      <c r="I20" s="63">
        <v>92023</v>
      </c>
      <c r="J20" s="63">
        <v>287000</v>
      </c>
      <c r="K20" s="63">
        <v>20574.89</v>
      </c>
      <c r="L20" s="63">
        <v>266425.11</v>
      </c>
      <c r="M20" s="64"/>
    </row>
    <row r="21" spans="1:13" x14ac:dyDescent="0.3">
      <c r="A21" t="s">
        <v>166</v>
      </c>
      <c r="B21">
        <v>576</v>
      </c>
      <c r="D21" t="s">
        <v>287</v>
      </c>
      <c r="H21" t="s">
        <v>259</v>
      </c>
      <c r="I21" s="63">
        <v>220132.92</v>
      </c>
      <c r="J21" s="63">
        <v>1188000</v>
      </c>
      <c r="K21" s="63">
        <f>ExportFacturacion[[#This Row],[Precio con Descuento]]-ExportFacturacion[[#This Row],[Unitario]]</f>
        <v>0</v>
      </c>
      <c r="L21" s="63">
        <v>1188000</v>
      </c>
      <c r="M21" s="64"/>
    </row>
    <row r="22" spans="1:13" x14ac:dyDescent="0.3">
      <c r="A22" t="s">
        <v>166</v>
      </c>
      <c r="B22">
        <v>579</v>
      </c>
      <c r="D22" t="s">
        <v>288</v>
      </c>
      <c r="H22" t="s">
        <v>261</v>
      </c>
      <c r="I22" s="63">
        <v>398990.91</v>
      </c>
      <c r="J22" s="63">
        <v>2211000</v>
      </c>
      <c r="K22" s="63">
        <f>ExportFacturacion[[#This Row],[Precio con Descuento]]-ExportFacturacion[[#This Row],[Unitario]]</f>
        <v>0</v>
      </c>
      <c r="L22" s="63">
        <v>2211000</v>
      </c>
      <c r="M22" s="64"/>
    </row>
    <row r="23" spans="1:13" x14ac:dyDescent="0.3">
      <c r="A23" t="s">
        <v>166</v>
      </c>
      <c r="B23">
        <v>581</v>
      </c>
      <c r="D23" t="s">
        <v>289</v>
      </c>
      <c r="H23" t="s">
        <v>290</v>
      </c>
      <c r="I23" s="63">
        <v>599897.5</v>
      </c>
      <c r="J23" s="63">
        <v>1844330</v>
      </c>
      <c r="K23" s="63">
        <v>184433</v>
      </c>
      <c r="L23" s="63">
        <v>1659867</v>
      </c>
      <c r="M23" s="64"/>
    </row>
    <row r="24" spans="1:13" x14ac:dyDescent="0.3">
      <c r="A24" t="s">
        <v>166</v>
      </c>
      <c r="B24">
        <v>589</v>
      </c>
      <c r="D24" t="s">
        <v>291</v>
      </c>
      <c r="H24" t="s">
        <v>292</v>
      </c>
      <c r="I24" s="63">
        <v>1114422.8999999999</v>
      </c>
      <c r="J24" s="63">
        <v>7000000</v>
      </c>
      <c r="K24" s="63">
        <v>700000</v>
      </c>
      <c r="L24" s="63">
        <v>6300000</v>
      </c>
      <c r="M24" s="64"/>
    </row>
    <row r="25" spans="1:13" x14ac:dyDescent="0.3">
      <c r="A25" t="s">
        <v>166</v>
      </c>
      <c r="B25">
        <v>580</v>
      </c>
      <c r="D25" t="s">
        <v>293</v>
      </c>
      <c r="H25" t="s">
        <v>265</v>
      </c>
      <c r="I25" s="63">
        <v>598486.37</v>
      </c>
      <c r="J25" s="63">
        <v>3067000</v>
      </c>
      <c r="K25" s="63">
        <f>ExportFacturacion[[#This Row],[Precio con Descuento]]-ExportFacturacion[[#This Row],[Unitario]]</f>
        <v>0</v>
      </c>
      <c r="L25" s="63">
        <v>3067000</v>
      </c>
      <c r="M25" s="64"/>
    </row>
    <row r="26" spans="1:13" x14ac:dyDescent="0.3">
      <c r="A26" t="s">
        <v>166</v>
      </c>
      <c r="B26">
        <v>582</v>
      </c>
      <c r="D26" t="s">
        <v>294</v>
      </c>
      <c r="H26" t="s">
        <v>265</v>
      </c>
      <c r="I26" s="63">
        <v>598486.37</v>
      </c>
      <c r="J26" s="63">
        <v>3067000</v>
      </c>
      <c r="K26" s="63">
        <f>ExportFacturacion[[#This Row],[Precio con Descuento]]-ExportFacturacion[[#This Row],[Unitario]]</f>
        <v>0</v>
      </c>
      <c r="L26" s="63">
        <v>3067000</v>
      </c>
      <c r="M26" s="64"/>
    </row>
    <row r="27" spans="1:13" x14ac:dyDescent="0.3">
      <c r="A27" t="s">
        <v>166</v>
      </c>
      <c r="B27">
        <v>585</v>
      </c>
      <c r="D27" t="s">
        <v>295</v>
      </c>
      <c r="H27" t="s">
        <v>296</v>
      </c>
      <c r="I27" s="63">
        <v>1114422.8999999999</v>
      </c>
      <c r="J27" s="63">
        <v>5700000</v>
      </c>
      <c r="K27" s="63">
        <f>ExportFacturacion[[#This Row],[Precio con Descuento]]-ExportFacturacion[[#This Row],[Unitario]]</f>
        <v>0</v>
      </c>
      <c r="L27" s="63">
        <v>5700000</v>
      </c>
      <c r="M27" s="64"/>
    </row>
    <row r="28" spans="1:13" x14ac:dyDescent="0.3">
      <c r="I28" s="65">
        <f>SUM(I2:I27)</f>
        <v>9465758.9000000004</v>
      </c>
      <c r="J28" s="66">
        <f>SUM(J2:J27)</f>
        <v>69196223.560000002</v>
      </c>
      <c r="K28" s="65">
        <f>SUM(K2:K27)</f>
        <v>3236891.88</v>
      </c>
      <c r="L28" s="66">
        <f>SUM(L2:L27)</f>
        <v>65841301.68</v>
      </c>
      <c r="M28" s="6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Nov'25</vt:lpstr>
      <vt:lpstr>Gastos</vt:lpstr>
      <vt:lpstr>Ventas Nov 2025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2025-12-10T17:52:53Z</dcterms:modified>
</cp:coreProperties>
</file>