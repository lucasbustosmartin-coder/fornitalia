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5" documentId="8_{0584B524-5D14-4FAE-BE48-6859CE0658CE}" xr6:coauthVersionLast="47" xr6:coauthVersionMax="47" xr10:uidLastSave="{63C91248-E412-4FB9-A185-6AB724AB4E85}"/>
  <bookViews>
    <workbookView xWindow="-120" yWindow="-120" windowWidth="20730" windowHeight="11040" tabRatio="599" activeTab="1" xr2:uid="{30A6164E-A0D3-4996-9EF3-92045D51F006}"/>
  </bookViews>
  <sheets>
    <sheet name="Mar´25" sheetId="23" r:id="rId1"/>
    <sheet name="Gastos" sheetId="24" r:id="rId2"/>
    <sheet name="Ventas Mar'25" sheetId="18" r:id="rId3"/>
    <sheet name="LISTA CONCEPTOS" sheetId="15" state="hidden" r:id="rId4"/>
  </sheets>
  <definedNames>
    <definedName name="_xlnm._FilterDatabase" localSheetId="1" hidden="1">Gastos!$A$1:$F$1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4" i="24" l="1"/>
  <c r="B22" i="23" s="1"/>
  <c r="C147" i="24"/>
  <c r="B18" i="23" s="1"/>
  <c r="B154" i="24"/>
  <c r="B147" i="24"/>
  <c r="C145" i="24"/>
  <c r="B21" i="23" s="1"/>
  <c r="B145" i="24"/>
  <c r="C126" i="24"/>
  <c r="B16" i="23" s="1"/>
  <c r="B126" i="24"/>
  <c r="C157" i="24"/>
  <c r="B30" i="23" s="1"/>
  <c r="B157" i="24"/>
  <c r="C12" i="24"/>
  <c r="B15" i="23" s="1"/>
  <c r="B12" i="24"/>
  <c r="C10" i="24"/>
  <c r="B13" i="23" s="1"/>
  <c r="B10" i="24"/>
  <c r="C7" i="24"/>
  <c r="B12" i="23" s="1"/>
  <c r="B7" i="24"/>
  <c r="C5" i="24"/>
  <c r="B11" i="23" s="1"/>
  <c r="B5" i="24"/>
  <c r="Y24" i="18"/>
  <c r="B6" i="23"/>
  <c r="B4" i="23"/>
  <c r="B3" i="23"/>
  <c r="J24" i="18"/>
  <c r="K24" i="18"/>
  <c r="I24" i="18"/>
  <c r="B10" i="23" l="1"/>
  <c r="B5" i="23"/>
  <c r="C4" i="23"/>
  <c r="C16" i="23" l="1"/>
  <c r="C18" i="23"/>
  <c r="C17" i="23"/>
  <c r="C10" i="23"/>
  <c r="C21" i="23"/>
  <c r="C11" i="23"/>
  <c r="C12" i="23"/>
  <c r="B7" i="23"/>
  <c r="C7" i="23" s="1"/>
  <c r="C15" i="23"/>
  <c r="C14" i="23" l="1"/>
  <c r="C13" i="23" l="1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<sst xmlns="http://schemas.openxmlformats.org/spreadsheetml/2006/main" count="734" uniqueCount="294">
  <si>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</si>
  <si>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</si>
  <si>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</si>
  <si>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</si>
  <si>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</si>
  <si>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</si>
  <si>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</si>
  <si>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</si>
  <si>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</si>
  <si>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</si>
  <si>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</si>
  <si>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</si>
  <si>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</si>
  <si>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</si>
  <si>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</si>
  <si>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</si>
  <si>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</si>
  <si>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</si>
  <si>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</si>
  <si>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</si>
  <si>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</si>
  <si>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</si>
  <si>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</si>
  <si>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</si>
  <si>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</si>
  <si>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</si>
  <si>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</si>
  <si>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</si>
  <si>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</si>
  <si>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</si>
  <si>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</si>
  <si>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</si>
  <si>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</si>
  <si>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</si>
  <si>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</si>
  <si>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</si>
  <si>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</si>
  <si>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</si>
  <si>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</si>
  <si>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</si>
  <si>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</si>
  <si>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</si>
  <si>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</si>
  <si>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</si>
  <si>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</si>
  <si>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</si>
  <si>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</si>
  <si>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</si>
  <si>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</si>
  <si>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</si>
  <si>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</si>
  <si>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</si>
  <si>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</si>
  <si>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</si>
  <si>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</si>
  <si>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</si>
  <si>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</si>
  <si>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</si>
  <si>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</si>
  <si>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</si>
  <si>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</si>
  <si>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</si>
  <si>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</si>
  <si>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</si>
  <si>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</si>
  <si>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</si>
  <si>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</si>
  <si>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</si>
  <si>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</si>
  <si>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</si>
  <si>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</si>
  <si>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</si>
  <si>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</si>
  <si>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</si>
  <si>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</si>
  <si>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</si>
  <si>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</si>
  <si>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</si>
  <si>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</si>
  <si>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</si>
  <si>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</si>
  <si>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</si>
  <si>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</si>
  <si>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</si>
  <si>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</si>
  <si>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</si>
  <si>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</si>
  <si>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</si>
  <si>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</si>
  <si>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</si>
  <si>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</si>
  <si>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</si>
  <si>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</si>
  <si>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</si>
  <si>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</si>
  <si>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</si>
  <si>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</si>
  <si>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</si>
  <si>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</si>
  <si>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</si>
  <si>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</si>
  <si>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</si>
  <si>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</si>
  <si>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</si>
  <si>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</si>
  <si>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</si>
  <si>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</si>
  <si>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</si>
  <si>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</si>
  <si>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</si>
  <si>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</si>
  <si>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</si>
  <si>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</si>
  <si>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</si>
  <si>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</si>
  <si>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</si>
  <si>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</si>
  <si>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</si>
  <si>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FN2 PRO</t>
  </si>
  <si>
    <t>Cynthia</t>
  </si>
  <si>
    <t>IVA</t>
  </si>
  <si>
    <t>Impuesto Ley 25.413</t>
  </si>
  <si>
    <t>Comisión Mantenimiento de Cuenta</t>
  </si>
  <si>
    <t>Ingresos Brutos</t>
  </si>
  <si>
    <t>Local</t>
  </si>
  <si>
    <t>Sueldos</t>
  </si>
  <si>
    <t>Impuestos</t>
  </si>
  <si>
    <t>Ley 25.413</t>
  </si>
  <si>
    <t>Sircreb</t>
  </si>
  <si>
    <t>Teléfonos</t>
  </si>
  <si>
    <t>Alquiler</t>
  </si>
  <si>
    <t>Sicore</t>
  </si>
  <si>
    <t>Internet</t>
  </si>
  <si>
    <t>Honorarios Contables</t>
  </si>
  <si>
    <t>Nº Serie</t>
  </si>
  <si>
    <t>N° Despacho</t>
  </si>
  <si>
    <t>#</t>
  </si>
  <si>
    <t>Tipo de IVA</t>
  </si>
  <si>
    <t>MONTO TOTAL</t>
  </si>
  <si>
    <t>CUIT</t>
  </si>
  <si>
    <t>Forma de Pago</t>
  </si>
  <si>
    <t>Costo Contable</t>
  </si>
  <si>
    <t>Lelia</t>
  </si>
  <si>
    <t>24 001 | C04 196596 G</t>
  </si>
  <si>
    <t>N/A</t>
  </si>
  <si>
    <t>PRO GAS 90</t>
  </si>
  <si>
    <t>24 001 IC04 0985888 X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</si>
  <si>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</si>
  <si>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</si>
  <si>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</si>
  <si>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</si>
  <si>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</si>
  <si>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</si>
  <si>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</si>
  <si>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Rubro</t>
  </si>
  <si>
    <t>FLETES</t>
  </si>
  <si>
    <t>Comisiones Bancarias</t>
  </si>
  <si>
    <t>Reposición Caja Chica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</si>
  <si>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</si>
  <si>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</si>
  <si>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</si>
  <si>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</si>
  <si>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</si>
  <si>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</si>
  <si>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</si>
  <si>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</si>
  <si>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Regimen Sircreb</t>
  </si>
  <si>
    <t>Categoría</t>
  </si>
  <si>
    <t>SubCategoría</t>
  </si>
  <si>
    <t>PUESTA EN MARCHA</t>
  </si>
  <si>
    <t>Operador</t>
  </si>
  <si>
    <t>Cliente</t>
  </si>
  <si>
    <t>Producto</t>
  </si>
  <si>
    <t>Valor Unitario</t>
  </si>
  <si>
    <t>Valor Total</t>
  </si>
  <si>
    <t>Dto.</t>
  </si>
  <si>
    <t>VALOR COTIZADO</t>
  </si>
  <si>
    <t>Facturado</t>
  </si>
  <si>
    <t>Monto con IVA</t>
  </si>
  <si>
    <t>Galicia Más</t>
  </si>
  <si>
    <t>Mercado Pago</t>
  </si>
  <si>
    <t>Efectivo SmartChain</t>
  </si>
  <si>
    <t>TOTAL PAGADO</t>
  </si>
  <si>
    <t>Pendiente</t>
  </si>
  <si>
    <t>Factura</t>
  </si>
  <si>
    <t>Galicia</t>
  </si>
  <si>
    <t>Efectivo</t>
  </si>
  <si>
    <t>TIPO DE CAMBIO</t>
  </si>
  <si>
    <t>%</t>
  </si>
  <si>
    <t xml:space="preserve">INVERSIONES </t>
  </si>
  <si>
    <t>Alarma</t>
  </si>
  <si>
    <t>Pago | Sueldo | Lelia Bertoni | Feb'25</t>
  </si>
  <si>
    <t>Pago | Sueldo | Cynthia Fernández | Feb'25</t>
  </si>
  <si>
    <t>Pago | Sueldo | Diego Argiró | Feb'25</t>
  </si>
  <si>
    <t>ABL</t>
  </si>
  <si>
    <t>Caja Chica</t>
  </si>
  <si>
    <t>MARKETING</t>
  </si>
  <si>
    <t>PRO ELECTRICO 90</t>
  </si>
  <si>
    <t>Comisión 5%</t>
  </si>
  <si>
    <t>SILVIA ISABEL ATTIANESE</t>
  </si>
  <si>
    <t>24146008
24146007</t>
  </si>
  <si>
    <t>Fc A 0020</t>
  </si>
  <si>
    <t>27-36991896-1</t>
  </si>
  <si>
    <t>Galicia | Efectivo</t>
  </si>
  <si>
    <t>MANOMETRO</t>
  </si>
  <si>
    <t>Fc A 0024</t>
  </si>
  <si>
    <t>CACEROLASIEMPRE S.A.</t>
  </si>
  <si>
    <t>Fc A 0028</t>
  </si>
  <si>
    <t>30-71789652-8</t>
  </si>
  <si>
    <t>REGULADOR</t>
  </si>
  <si>
    <t>MANGUITO</t>
  </si>
  <si>
    <t>ANTEBI EMILIO FABIAN</t>
  </si>
  <si>
    <t>FN1 PRO</t>
  </si>
  <si>
    <t>Fc B 0024</t>
  </si>
  <si>
    <t>FRANCO ALVAREZ PAIS</t>
  </si>
  <si>
    <t>JAVIER VARGAS</t>
  </si>
  <si>
    <t>Fc A 0031</t>
  </si>
  <si>
    <t xml:space="preserve">20-34056178-4
</t>
  </si>
  <si>
    <t>PALA M35</t>
  </si>
  <si>
    <t>KIT CAJAS X3</t>
  </si>
  <si>
    <t>CURSO APYCE</t>
  </si>
  <si>
    <t>MARIANO DAMIANO</t>
  </si>
  <si>
    <t>Fc A 0030</t>
  </si>
  <si>
    <t>-</t>
  </si>
  <si>
    <t>LUCAS | NOELIA CASTILLO SALINAS</t>
  </si>
  <si>
    <t>VITRINA</t>
  </si>
  <si>
    <t>RITA</t>
  </si>
  <si>
    <t>Fc B 0010/13 | Fc B 0001 | Fc B 0009 | Anticipos</t>
  </si>
  <si>
    <t>27-94498628-1</t>
  </si>
  <si>
    <t>JUAN CARLOS REGANZANI</t>
  </si>
  <si>
    <t>Fc A 0025</t>
  </si>
  <si>
    <t>20-16707945-9</t>
  </si>
  <si>
    <t xml:space="preserve">OSCAR GUILLERMO BADA
</t>
  </si>
  <si>
    <t>Fc A 0021</t>
  </si>
  <si>
    <t>Mercado Pago | 3 Cuotas</t>
  </si>
  <si>
    <t>MATÍAS FEDERICO SÁNCHEZ</t>
  </si>
  <si>
    <t>20-33876723-5</t>
  </si>
  <si>
    <t>ML</t>
  </si>
  <si>
    <t>Nestor Javier Dominguez</t>
  </si>
  <si>
    <t>Fc B 0020</t>
  </si>
  <si>
    <t>Pago | Prosegur Alarmas | Fc 0011-01767443 | Débito Automático</t>
  </si>
  <si>
    <t>Pago | Telecom Internet | Fc 4264-05023771 | Débito Automático</t>
  </si>
  <si>
    <t>Pago | Verónica Rigante | Honorarios Contables | Fc 00002-00000894</t>
  </si>
  <si>
    <t>Pago | Cargas Sociales | FAECYS | Feb'25</t>
  </si>
  <si>
    <t>FAECYS</t>
  </si>
  <si>
    <t>Pago | AGIP | ABL | Mar'25</t>
  </si>
  <si>
    <t>Pago | AGIP | ABL | Nov´24</t>
  </si>
  <si>
    <t>Pago | Sicore | F744 | Feb'25</t>
  </si>
  <si>
    <t>Pago | Cargas Sociales | F931 | Feb'25</t>
  </si>
  <si>
    <t>F931</t>
  </si>
  <si>
    <t>Pago | Cargas Sociales | SEC | Feb'25</t>
  </si>
  <si>
    <t>Pago | Cargas Sociales | La Estrella | Feb'25</t>
  </si>
  <si>
    <t>La Estrella</t>
  </si>
  <si>
    <t>Pago | Viviana Fuertes | Alquiler Mar'25 | Fc 00002-00000233</t>
  </si>
  <si>
    <t>Pago | Cargas Sociales | INACAP | Feb'25</t>
  </si>
  <si>
    <t>INACAP</t>
  </si>
  <si>
    <t>Comisión Transferencia Internet</t>
  </si>
  <si>
    <t>Pago | Diana Racca | Flete | Fc 00003-00000428</t>
  </si>
  <si>
    <t>Fletes</t>
  </si>
  <si>
    <t>Pago | Soluciones Online | Xubio | Fc 00002-00413927 | Débito Automático</t>
  </si>
  <si>
    <t>Sistema Contable</t>
  </si>
  <si>
    <t>Pago | Telecom Teléfonos | Fc 6364-08928480 | Débito Automático</t>
  </si>
  <si>
    <t>Pago | Edenor | Fc 0026-58874226</t>
  </si>
  <si>
    <t>Pago | Imprenta JM | Remitos | Fc 00002-00009856</t>
  </si>
  <si>
    <t>Remitos</t>
  </si>
  <si>
    <t>Comisiones</t>
  </si>
  <si>
    <t>Inversión</t>
  </si>
  <si>
    <t>Certificaciones</t>
  </si>
  <si>
    <t>Pago | AGIP | ABL | Ene´24</t>
  </si>
  <si>
    <t>Pago | AGIP | ABL | Mar´24</t>
  </si>
  <si>
    <t>Pago | AGIP | ABL | Feb´24</t>
  </si>
  <si>
    <t>Pago | AGIP | ABL | Abr´24</t>
  </si>
  <si>
    <t>Pago | JAVIER MORANDO | Comisiones Ene-Feb-Mar´25 | Fc 0000-_00000131</t>
  </si>
  <si>
    <t>Comisiones Distribuidores</t>
  </si>
  <si>
    <t>Pago | Sueldo Cynthia Fernández | Mar'25</t>
  </si>
  <si>
    <t>Pago | Sueldo Lelia Bertoni | Mar'25</t>
  </si>
  <si>
    <t>Pago | Sueldo Diego Argiró | Mar'25</t>
  </si>
  <si>
    <t>IVA Percepción</t>
  </si>
  <si>
    <t>Alquiler | Mar'25</t>
  </si>
  <si>
    <t>Depósito Banco Macro | Tarjeta Visa</t>
  </si>
  <si>
    <t>Pago | Técnico Luciano | A cuenta</t>
  </si>
  <si>
    <t>Comisiones Cynthia | Feb´24</t>
  </si>
  <si>
    <t>Comisiones Lelia | Feb´24</t>
  </si>
  <si>
    <t>Micaela | Adelanto Macetas &amp; Plantas Local</t>
  </si>
  <si>
    <t>Comisiones Ventas</t>
  </si>
  <si>
    <t>Macetas &amp; Plantas</t>
  </si>
  <si>
    <r>
      <t xml:space="preserve">Pago | </t>
    </r>
    <r>
      <rPr>
        <sz val="10"/>
        <color theme="1"/>
        <rFont val="Calibri"/>
        <family val="2"/>
      </rPr>
      <t>JAREMCZUK CARLOS BASILIO | Representación Técnica Bureau |c 00002-00002031</t>
    </r>
  </si>
  <si>
    <t>Puesta en Marcha</t>
  </si>
  <si>
    <t>Personal</t>
  </si>
  <si>
    <t>Imputar en Abril</t>
  </si>
  <si>
    <t>INVERSIONES (Certificaciones)</t>
  </si>
  <si>
    <t>Sueldo Cynthia | Feb'25</t>
  </si>
  <si>
    <t>Sueldo Lelia| Feb'25</t>
  </si>
  <si>
    <t>Sueldo Carolina | Feb'25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</si>
</sst>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u/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D9D9D9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0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9" fillId="0" borderId="4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0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8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43" fontId="1" fillId="0" borderId="2" xfId="1" applyFont="1" applyBorder="1" applyAlignment="1">
      <alignment vertical="center"/>
    </xf>
    <xf numFmtId="0" fontId="13" fillId="7" borderId="0" xfId="0" applyFont="1" applyFill="1" applyAlignment="1">
      <alignment horizontal="center" vertical="center"/>
    </xf>
    <xf numFmtId="17" fontId="13" fillId="7" borderId="0" xfId="1" applyNumberFormat="1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5" fontId="9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4" fontId="9" fillId="0" borderId="9" xfId="0" applyNumberFormat="1" applyFont="1" applyBorder="1" applyAlignment="1">
      <alignment horizontal="right" vertical="center" wrapText="1"/>
    </xf>
    <xf numFmtId="3" fontId="9" fillId="0" borderId="9" xfId="0" applyNumberFormat="1" applyFont="1" applyBorder="1" applyAlignment="1">
      <alignment horizontal="right" vertical="center" wrapText="1"/>
    </xf>
    <xf numFmtId="9" fontId="9" fillId="0" borderId="9" xfId="0" applyNumberFormat="1" applyFont="1" applyBorder="1" applyAlignment="1">
      <alignment horizontal="center" vertical="center" wrapText="1"/>
    </xf>
    <xf numFmtId="3" fontId="9" fillId="9" borderId="9" xfId="0" applyNumberFormat="1" applyFont="1" applyFill="1" applyBorder="1" applyAlignment="1">
      <alignment horizontal="right" vertical="center" wrapText="1"/>
    </xf>
    <xf numFmtId="10" fontId="9" fillId="0" borderId="9" xfId="0" applyNumberFormat="1" applyFont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right" vertical="center" wrapText="1"/>
    </xf>
    <xf numFmtId="0" fontId="9" fillId="11" borderId="10" xfId="0" applyFont="1" applyFill="1" applyBorder="1" applyAlignment="1">
      <alignment horizontal="right" vertical="center" wrapText="1"/>
    </xf>
    <xf numFmtId="0" fontId="9" fillId="0" borderId="10" xfId="0" applyFont="1" applyBorder="1" applyAlignment="1">
      <alignment vertical="center" wrapText="1"/>
    </xf>
    <xf numFmtId="3" fontId="9" fillId="0" borderId="10" xfId="0" applyNumberFormat="1" applyFont="1" applyBorder="1" applyAlignment="1">
      <alignment horizontal="right" vertical="center" wrapText="1"/>
    </xf>
    <xf numFmtId="0" fontId="9" fillId="3" borderId="9" xfId="0" applyFont="1" applyFill="1" applyBorder="1" applyAlignment="1">
      <alignment vertical="center" wrapText="1"/>
    </xf>
    <xf numFmtId="0" fontId="9" fillId="3" borderId="10" xfId="0" applyFont="1" applyFill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15" fontId="9" fillId="0" borderId="14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4" fontId="9" fillId="0" borderId="14" xfId="0" applyNumberFormat="1" applyFont="1" applyBorder="1" applyAlignment="1">
      <alignment horizontal="right" vertical="center" wrapText="1"/>
    </xf>
    <xf numFmtId="3" fontId="9" fillId="0" borderId="14" xfId="0" applyNumberFormat="1" applyFont="1" applyBorder="1" applyAlignment="1">
      <alignment horizontal="right" vertical="center" wrapText="1"/>
    </xf>
    <xf numFmtId="9" fontId="9" fillId="0" borderId="14" xfId="0" applyNumberFormat="1" applyFont="1" applyBorder="1" applyAlignment="1">
      <alignment horizontal="center" vertical="center" wrapText="1"/>
    </xf>
    <xf numFmtId="3" fontId="9" fillId="9" borderId="14" xfId="0" applyNumberFormat="1" applyFont="1" applyFill="1" applyBorder="1" applyAlignment="1">
      <alignment horizontal="right" vertical="center" wrapText="1"/>
    </xf>
    <xf numFmtId="10" fontId="9" fillId="0" borderId="14" xfId="0" applyNumberFormat="1" applyFont="1" applyBorder="1" applyAlignment="1">
      <alignment horizontal="center" vertical="center" wrapText="1"/>
    </xf>
    <xf numFmtId="3" fontId="9" fillId="10" borderId="14" xfId="0" applyNumberFormat="1" applyFont="1" applyFill="1" applyBorder="1" applyAlignment="1">
      <alignment horizontal="right" vertical="center" wrapText="1"/>
    </xf>
    <xf numFmtId="0" fontId="9" fillId="11" borderId="15" xfId="0" applyFont="1" applyFill="1" applyBorder="1" applyAlignment="1">
      <alignment horizontal="right" vertical="center" wrapText="1"/>
    </xf>
    <xf numFmtId="0" fontId="9" fillId="0" borderId="15" xfId="0" applyFont="1" applyBorder="1" applyAlignment="1">
      <alignment vertical="center" wrapText="1"/>
    </xf>
    <xf numFmtId="3" fontId="9" fillId="0" borderId="15" xfId="0" applyNumberFormat="1" applyFont="1" applyBorder="1" applyAlignment="1">
      <alignment horizontal="right" vertical="center" wrapText="1"/>
    </xf>
    <xf numFmtId="0" fontId="9" fillId="0" borderId="15" xfId="0" applyFont="1" applyBorder="1" applyAlignment="1">
      <alignment horizontal="right" vertical="center" wrapText="1"/>
    </xf>
    <xf numFmtId="3" fontId="8" fillId="12" borderId="4" xfId="0" applyNumberFormat="1" applyFont="1" applyFill="1" applyBorder="1" applyAlignment="1">
      <alignment horizontal="right" vertical="center" wrapText="1"/>
    </xf>
    <xf numFmtId="3" fontId="9" fillId="0" borderId="4" xfId="0" applyNumberFormat="1" applyFont="1" applyBorder="1" applyAlignment="1">
      <alignment horizontal="right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3" fontId="14" fillId="0" borderId="9" xfId="0" applyNumberFormat="1" applyFont="1" applyBorder="1" applyAlignment="1">
      <alignment horizontal="right" vertical="center" wrapText="1"/>
    </xf>
    <xf numFmtId="9" fontId="14" fillId="0" borderId="9" xfId="0" applyNumberFormat="1" applyFont="1" applyBorder="1" applyAlignment="1">
      <alignment horizontal="center" vertical="center" wrapText="1"/>
    </xf>
    <xf numFmtId="3" fontId="14" fillId="9" borderId="9" xfId="0" applyNumberFormat="1" applyFont="1" applyFill="1" applyBorder="1" applyAlignment="1">
      <alignment horizontal="right" vertical="center" wrapText="1"/>
    </xf>
    <xf numFmtId="10" fontId="14" fillId="0" borderId="9" xfId="0" applyNumberFormat="1" applyFont="1" applyBorder="1" applyAlignment="1">
      <alignment horizontal="center" vertical="center" wrapText="1"/>
    </xf>
    <xf numFmtId="3" fontId="14" fillId="10" borderId="9" xfId="0" applyNumberFormat="1" applyFont="1" applyFill="1" applyBorder="1" applyAlignment="1">
      <alignment horizontal="right" vertical="center" wrapText="1"/>
    </xf>
    <xf numFmtId="0" fontId="9" fillId="11" borderId="9" xfId="0" applyFont="1" applyFill="1" applyBorder="1" applyAlignment="1">
      <alignment horizontal="right" vertical="center" wrapText="1"/>
    </xf>
    <xf numFmtId="0" fontId="14" fillId="0" borderId="10" xfId="0" applyFont="1" applyBorder="1" applyAlignment="1">
      <alignment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0" fontId="9" fillId="0" borderId="4" xfId="0" applyFont="1" applyBorder="1" applyAlignment="1">
      <alignment wrapText="1"/>
    </xf>
    <xf numFmtId="10" fontId="9" fillId="0" borderId="4" xfId="0" applyNumberFormat="1" applyFont="1" applyBorder="1" applyAlignment="1">
      <alignment horizontal="right" vertical="center" wrapText="1"/>
    </xf>
    <xf numFmtId="0" fontId="9" fillId="13" borderId="13" xfId="0" applyFont="1" applyFill="1" applyBorder="1" applyAlignment="1">
      <alignment vertical="center" wrapText="1"/>
    </xf>
    <xf numFmtId="0" fontId="9" fillId="13" borderId="14" xfId="0" applyFont="1" applyFill="1" applyBorder="1" applyAlignment="1">
      <alignment vertical="center" wrapText="1"/>
    </xf>
    <xf numFmtId="3" fontId="8" fillId="13" borderId="14" xfId="0" applyNumberFormat="1" applyFont="1" applyFill="1" applyBorder="1" applyAlignment="1">
      <alignment horizontal="right" vertical="center" wrapText="1"/>
    </xf>
    <xf numFmtId="0" fontId="8" fillId="13" borderId="15" xfId="0" applyFont="1" applyFill="1" applyBorder="1" applyAlignment="1">
      <alignment horizontal="right" vertical="center" wrapText="1"/>
    </xf>
    <xf numFmtId="0" fontId="9" fillId="13" borderId="15" xfId="0" applyFont="1" applyFill="1" applyBorder="1" applyAlignment="1">
      <alignment vertical="center" wrapText="1"/>
    </xf>
    <xf numFmtId="3" fontId="8" fillId="13" borderId="15" xfId="0" applyNumberFormat="1" applyFont="1" applyFill="1" applyBorder="1" applyAlignment="1">
      <alignment horizontal="right" vertical="center" wrapText="1"/>
    </xf>
    <xf numFmtId="15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8" fontId="14" fillId="0" borderId="4" xfId="0" applyNumberFormat="1" applyFont="1" applyBorder="1" applyAlignment="1">
      <alignment horizontal="right" vertical="center" wrapText="1"/>
    </xf>
    <xf numFmtId="15" fontId="14" fillId="3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vertical="center" wrapText="1"/>
    </xf>
    <xf numFmtId="8" fontId="14" fillId="3" borderId="4" xfId="0" applyNumberFormat="1" applyFont="1" applyFill="1" applyBorder="1" applyAlignment="1">
      <alignment horizontal="right" vertical="center" wrapText="1"/>
    </xf>
    <xf numFmtId="0" fontId="14" fillId="0" borderId="4" xfId="0" applyFont="1" applyBorder="1" applyAlignment="1">
      <alignment wrapText="1"/>
    </xf>
    <xf numFmtId="0" fontId="15" fillId="0" borderId="0" xfId="0" applyFont="1"/>
    <xf numFmtId="14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8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wrapText="1"/>
    </xf>
    <xf numFmtId="14" fontId="14" fillId="0" borderId="4" xfId="0" applyNumberFormat="1" applyFont="1" applyBorder="1" applyAlignment="1">
      <alignment horizontal="center" vertical="center" wrapText="1"/>
    </xf>
    <xf numFmtId="14" fontId="15" fillId="0" borderId="4" xfId="0" applyNumberFormat="1" applyFont="1" applyBorder="1"/>
    <xf numFmtId="0" fontId="15" fillId="0" borderId="4" xfId="0" applyFont="1" applyBorder="1"/>
    <xf numFmtId="8" fontId="15" fillId="0" borderId="4" xfId="0" applyNumberFormat="1" applyFont="1" applyBorder="1"/>
    <xf numFmtId="0" fontId="16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left" vertical="center" wrapText="1"/>
    </xf>
    <xf numFmtId="44" fontId="16" fillId="8" borderId="0" xfId="6" applyFont="1" applyFill="1" applyBorder="1" applyAlignment="1">
      <alignment horizontal="center" vertical="center" wrapText="1"/>
    </xf>
    <xf numFmtId="0" fontId="17" fillId="0" borderId="0" xfId="0" applyFont="1"/>
    <xf numFmtId="44" fontId="0" fillId="0" borderId="0" xfId="1" applyNumberFormat="1" applyFont="1" applyAlignment="1">
      <alignment vertical="center"/>
    </xf>
    <xf numFmtId="44" fontId="1" fillId="5" borderId="0" xfId="1" applyNumberFormat="1" applyFont="1" applyFill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3" fontId="9" fillId="10" borderId="18" xfId="0" applyNumberFormat="1" applyFont="1" applyFill="1" applyBorder="1" applyAlignment="1">
      <alignment horizontal="right" vertical="center" wrapText="1"/>
    </xf>
    <xf numFmtId="3" fontId="9" fillId="10" borderId="19" xfId="0" applyNumberFormat="1" applyFont="1" applyFill="1" applyBorder="1" applyAlignment="1">
      <alignment horizontal="right" vertical="center" wrapText="1"/>
    </xf>
    <xf numFmtId="3" fontId="9" fillId="10" borderId="20" xfId="0" applyNumberFormat="1" applyFont="1" applyFill="1" applyBorder="1" applyAlignment="1">
      <alignment horizontal="right" vertical="center" wrapText="1"/>
    </xf>
    <xf numFmtId="0" fontId="9" fillId="11" borderId="21" xfId="0" applyFont="1" applyFill="1" applyBorder="1" applyAlignment="1">
      <alignment horizontal="right" vertical="center" wrapText="1"/>
    </xf>
    <xf numFmtId="0" fontId="9" fillId="11" borderId="22" xfId="0" applyFont="1" applyFill="1" applyBorder="1" applyAlignment="1">
      <alignment horizontal="right" vertical="center" wrapText="1"/>
    </xf>
    <xf numFmtId="0" fontId="9" fillId="11" borderId="23" xfId="0" applyFont="1" applyFill="1" applyBorder="1" applyAlignment="1">
      <alignment horizontal="right" vertical="center" wrapText="1"/>
    </xf>
    <xf numFmtId="0" fontId="9" fillId="0" borderId="17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5" fontId="9" fillId="0" borderId="18" xfId="0" applyNumberFormat="1" applyFont="1" applyBorder="1" applyAlignment="1">
      <alignment horizontal="center" vertical="center" wrapText="1"/>
    </xf>
    <xf numFmtId="15" fontId="9" fillId="0" borderId="19" xfId="0" applyNumberFormat="1" applyFont="1" applyBorder="1" applyAlignment="1">
      <alignment horizontal="center" vertical="center" wrapText="1"/>
    </xf>
    <xf numFmtId="15" fontId="9" fillId="0" borderId="20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3" fontId="9" fillId="9" borderId="18" xfId="0" applyNumberFormat="1" applyFont="1" applyFill="1" applyBorder="1" applyAlignment="1">
      <alignment horizontal="right" vertical="center" wrapText="1"/>
    </xf>
    <xf numFmtId="3" fontId="9" fillId="9" borderId="19" xfId="0" applyNumberFormat="1" applyFont="1" applyFill="1" applyBorder="1" applyAlignment="1">
      <alignment horizontal="right" vertical="center" wrapText="1"/>
    </xf>
    <xf numFmtId="3" fontId="9" fillId="9" borderId="20" xfId="0" applyNumberFormat="1" applyFont="1" applyFill="1" applyBorder="1" applyAlignment="1">
      <alignment horizontal="right" vertical="center" wrapText="1"/>
    </xf>
    <xf numFmtId="3" fontId="9" fillId="0" borderId="18" xfId="0" applyNumberFormat="1" applyFont="1" applyBorder="1" applyAlignment="1">
      <alignment horizontal="right" vertical="center" wrapText="1"/>
    </xf>
    <xf numFmtId="3" fontId="9" fillId="0" borderId="19" xfId="0" applyNumberFormat="1" applyFont="1" applyBorder="1" applyAlignment="1">
      <alignment horizontal="right" vertical="center" wrapText="1"/>
    </xf>
    <xf numFmtId="3" fontId="9" fillId="0" borderId="20" xfId="0" applyNumberFormat="1" applyFont="1" applyBorder="1" applyAlignment="1">
      <alignment horizontal="right" vertical="center" wrapText="1"/>
    </xf>
    <xf numFmtId="0" fontId="9" fillId="0" borderId="16" xfId="0" applyFont="1" applyBorder="1" applyAlignment="1">
      <alignment horizontal="center" vertical="center" wrapText="1"/>
    </xf>
    <xf numFmtId="15" fontId="9" fillId="0" borderId="24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vertical="center" wrapText="1"/>
    </xf>
    <xf numFmtId="3" fontId="9" fillId="9" borderId="24" xfId="0" applyNumberFormat="1" applyFont="1" applyFill="1" applyBorder="1" applyAlignment="1">
      <alignment horizontal="right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 wrapText="1"/>
    </xf>
    <xf numFmtId="3" fontId="9" fillId="0" borderId="24" xfId="0" applyNumberFormat="1" applyFont="1" applyBorder="1" applyAlignment="1">
      <alignment horizontal="right" vertical="center" wrapText="1"/>
    </xf>
    <xf numFmtId="3" fontId="9" fillId="10" borderId="24" xfId="0" applyNumberFormat="1" applyFont="1" applyFill="1" applyBorder="1" applyAlignment="1">
      <alignment horizontal="right" vertical="center" wrapText="1"/>
    </xf>
    <xf numFmtId="0" fontId="9" fillId="11" borderId="25" xfId="0" applyFont="1" applyFill="1" applyBorder="1" applyAlignment="1">
      <alignment horizontal="right" vertical="center" wrapText="1"/>
    </xf>
    <xf numFmtId="0" fontId="9" fillId="0" borderId="16" xfId="0" applyFont="1" applyBorder="1" applyAlignment="1">
      <alignment vertical="center" wrapText="1"/>
    </xf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217861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zoomScaleNormal="100" workbookViewId="0">
      <selection activeCell="B31" sqref="B31"/>
    </sheetView>
  </sheetViews>
  <sheetFormatPr baseColWidth="10" defaultRowHeight="15" x14ac:dyDescent="0.25"/>
  <cols>
    <col min="1" max="1" width="66.7109375" style="14" customWidth="1"/>
    <col min="2" max="2" width="14.5703125" style="16" bestFit="1" customWidth="1"/>
    <col min="3" max="3" width="11.42578125" style="15"/>
    <col min="4" max="4" width="14.28515625" style="13" bestFit="1" customWidth="1"/>
    <col min="5" max="16384" width="11.42578125" style="14"/>
  </cols>
  <sheetData>
    <row r="1" spans="1:5" ht="66.75" customHeight="1" x14ac:dyDescent="0.25">
      <c r="A1" s="2" t="s">
        <v>163</v>
      </c>
      <c r="B1" s="11"/>
      <c r="C1" s="2"/>
    </row>
    <row r="2" spans="1:5" ht="20.25" x14ac:dyDescent="0.25">
      <c r="A2" s="40" t="s">
        <v>24</v>
      </c>
      <c r="B2" s="41">
        <v>45717</v>
      </c>
      <c r="C2" s="42" t="s">
        <v>188</v>
      </c>
    </row>
    <row r="3" spans="1:5" x14ac:dyDescent="0.25">
      <c r="A3" s="14" t="s">
        <v>25</v>
      </c>
      <c r="B3" s="16">
        <f>+'Ventas Mar''25'!I24</f>
        <v>31426799</v>
      </c>
      <c r="C3" s="17">
        <v>1</v>
      </c>
    </row>
    <row r="4" spans="1:5" x14ac:dyDescent="0.25">
      <c r="A4" s="14" t="s">
        <v>158</v>
      </c>
      <c r="B4" s="39">
        <f>+'Ventas Mar''25'!J24</f>
        <v>991280</v>
      </c>
      <c r="C4" s="19">
        <f>(B4*C3)/B3</f>
        <v>3.1542506126697789E-2</v>
      </c>
    </row>
    <row r="5" spans="1:5" x14ac:dyDescent="0.25">
      <c r="A5" s="20" t="s">
        <v>26</v>
      </c>
      <c r="B5" s="18">
        <f>B3-B4</f>
        <v>30435519</v>
      </c>
      <c r="C5" s="17">
        <v>1</v>
      </c>
    </row>
    <row r="6" spans="1:5" x14ac:dyDescent="0.25">
      <c r="A6" s="21" t="s">
        <v>27</v>
      </c>
      <c r="B6" s="16">
        <f>+'Ventas Mar''25'!Y24</f>
        <v>9435025</v>
      </c>
      <c r="C6" s="19">
        <v>0.33</v>
      </c>
    </row>
    <row r="7" spans="1:5" x14ac:dyDescent="0.25">
      <c r="A7" s="21" t="s">
        <v>28</v>
      </c>
      <c r="B7" s="18">
        <f>B5-B6</f>
        <v>21000494</v>
      </c>
      <c r="C7" s="19">
        <f>(B7*C5)/B5</f>
        <v>0.68999953639693146</v>
      </c>
    </row>
    <row r="10" spans="1:5" s="27" customFormat="1" x14ac:dyDescent="0.25">
      <c r="A10" s="22" t="s">
        <v>160</v>
      </c>
      <c r="B10" s="36">
        <f>SUM(B11:B18)</f>
        <v>5629696.0499999998</v>
      </c>
      <c r="C10" s="24">
        <f>(B10*$C$5)/$B$5</f>
        <v>0.18497125184558214</v>
      </c>
      <c r="D10" s="25"/>
      <c r="E10" s="26"/>
    </row>
    <row r="11" spans="1:5" x14ac:dyDescent="0.25">
      <c r="A11" s="28" t="s">
        <v>17</v>
      </c>
      <c r="B11" s="118">
        <f>+Gastos!C5</f>
        <v>71953.5</v>
      </c>
      <c r="C11" s="19">
        <f>(B11*$C$5)/$B$5</f>
        <v>2.364129226776123E-3</v>
      </c>
    </row>
    <row r="12" spans="1:5" x14ac:dyDescent="0.25">
      <c r="A12" s="28" t="s">
        <v>159</v>
      </c>
      <c r="B12" s="118">
        <f>+Gastos!C7</f>
        <v>728109</v>
      </c>
      <c r="C12" s="19">
        <f>(B12*$C$5)/$B$5</f>
        <v>2.3923002594435798E-2</v>
      </c>
    </row>
    <row r="13" spans="1:5" x14ac:dyDescent="0.25">
      <c r="A13" s="28" t="s">
        <v>151</v>
      </c>
      <c r="B13" s="118">
        <f>+Gastos!C10</f>
        <v>1764000</v>
      </c>
      <c r="C13" s="19">
        <f t="shared" ref="C13:C18" si="0">(B13*$C$5)/$B$5</f>
        <v>5.7958597650330852E-2</v>
      </c>
    </row>
    <row r="14" spans="1:5" x14ac:dyDescent="0.25">
      <c r="A14" s="28" t="s">
        <v>150</v>
      </c>
      <c r="B14" s="29">
        <v>0</v>
      </c>
      <c r="C14" s="19">
        <f>(B14*$C$5)/$B$5</f>
        <v>0</v>
      </c>
    </row>
    <row r="15" spans="1:5" x14ac:dyDescent="0.25">
      <c r="A15" s="28" t="s">
        <v>155</v>
      </c>
      <c r="B15" s="118">
        <f>+Gastos!C12</f>
        <v>70000</v>
      </c>
      <c r="C15" s="19">
        <f t="shared" si="0"/>
        <v>2.2999443512036052E-3</v>
      </c>
    </row>
    <row r="16" spans="1:5" x14ac:dyDescent="0.25">
      <c r="A16" s="28" t="s">
        <v>149</v>
      </c>
      <c r="B16" s="118">
        <f>+Gastos!C126</f>
        <v>995633.54999999993</v>
      </c>
      <c r="C16" s="19">
        <f t="shared" si="0"/>
        <v>3.2712882274161317E-2</v>
      </c>
    </row>
    <row r="17" spans="1:3" x14ac:dyDescent="0.25">
      <c r="A17" s="28" t="s">
        <v>196</v>
      </c>
      <c r="B17" s="29">
        <v>0</v>
      </c>
      <c r="C17" s="19">
        <f t="shared" si="0"/>
        <v>0</v>
      </c>
    </row>
    <row r="18" spans="1:3" x14ac:dyDescent="0.25">
      <c r="A18" s="28" t="s">
        <v>169</v>
      </c>
      <c r="B18" s="118">
        <f>+Gastos!C147</f>
        <v>2000000</v>
      </c>
      <c r="C18" s="19">
        <f t="shared" si="0"/>
        <v>6.571269574867443E-2</v>
      </c>
    </row>
    <row r="20" spans="1:3" x14ac:dyDescent="0.25">
      <c r="A20" s="22" t="s">
        <v>161</v>
      </c>
      <c r="B20" s="36">
        <f>SUM(B21:B22)</f>
        <v>7340388.1799999997</v>
      </c>
      <c r="C20" s="24">
        <f>(B20*$C$5)/$B$5</f>
        <v>0.24117834757475304</v>
      </c>
    </row>
    <row r="21" spans="1:3" x14ac:dyDescent="0.25">
      <c r="A21" s="28" t="s">
        <v>148</v>
      </c>
      <c r="B21" s="118">
        <f>+Gastos!C145</f>
        <v>2523811.1799999997</v>
      </c>
      <c r="C21" s="19">
        <f>(B21*$C$5)/$B$5</f>
        <v>8.2923218099221499E-2</v>
      </c>
    </row>
    <row r="22" spans="1:3" x14ac:dyDescent="0.25">
      <c r="A22" s="28" t="s">
        <v>147</v>
      </c>
      <c r="B22" s="118">
        <f>+Gastos!C154</f>
        <v>4816577</v>
      </c>
      <c r="C22" s="19">
        <f>(B22*$C$5)/$B$5</f>
        <v>0.15825512947553153</v>
      </c>
    </row>
    <row r="23" spans="1:3" x14ac:dyDescent="0.25">
      <c r="A23" s="28"/>
      <c r="C23" s="19"/>
    </row>
    <row r="24" spans="1:3" x14ac:dyDescent="0.25">
      <c r="A24" s="22" t="s">
        <v>162</v>
      </c>
      <c r="B24" s="23">
        <f>+B10+B20</f>
        <v>12970084.23</v>
      </c>
      <c r="C24" s="19"/>
    </row>
    <row r="25" spans="1:3" x14ac:dyDescent="0.25">
      <c r="A25" s="28"/>
      <c r="C25" s="19"/>
    </row>
    <row r="26" spans="1:3" x14ac:dyDescent="0.25">
      <c r="A26" s="30" t="s">
        <v>79</v>
      </c>
      <c r="B26" s="31">
        <f>B7-B10-B20</f>
        <v>8030409.7699999996</v>
      </c>
      <c r="C26" s="32">
        <f>(B26*C5)/B5</f>
        <v>0.26384993697659631</v>
      </c>
    </row>
    <row r="29" spans="1:3" hidden="1" x14ac:dyDescent="0.25">
      <c r="A29" s="33" t="s">
        <v>189</v>
      </c>
      <c r="B29" s="34"/>
      <c r="C29" s="35"/>
    </row>
    <row r="30" spans="1:3" x14ac:dyDescent="0.25">
      <c r="A30" s="33" t="s">
        <v>290</v>
      </c>
      <c r="B30" s="119">
        <f>+Gastos!C157</f>
        <v>544500</v>
      </c>
      <c r="C30" s="35"/>
    </row>
    <row r="32" spans="1:3" x14ac:dyDescent="0.25">
      <c r="B32" s="29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164"/>
  <sheetViews>
    <sheetView tabSelected="1" topLeftCell="A142" zoomScale="90" zoomScaleNormal="90" workbookViewId="0">
      <selection activeCell="B153" sqref="B153"/>
    </sheetView>
  </sheetViews>
  <sheetFormatPr baseColWidth="10" defaultRowHeight="12.75" x14ac:dyDescent="0.2"/>
  <cols>
    <col min="1" max="1" width="11.28515625" style="105" bestFit="1" customWidth="1"/>
    <col min="2" max="2" width="78.85546875" style="105" customWidth="1"/>
    <col min="3" max="3" width="21.85546875" style="105" customWidth="1"/>
    <col min="4" max="5" width="27.42578125" style="105" bestFit="1" customWidth="1"/>
    <col min="6" max="16384" width="11.42578125" style="105"/>
  </cols>
  <sheetData>
    <row r="1" spans="1:5" ht="19.5" customHeight="1" x14ac:dyDescent="0.2">
      <c r="A1" s="114" t="s">
        <v>152</v>
      </c>
      <c r="B1" s="114" t="s">
        <v>153</v>
      </c>
      <c r="C1" s="114" t="s">
        <v>154</v>
      </c>
      <c r="D1" s="114" t="s">
        <v>167</v>
      </c>
      <c r="E1" s="114" t="s">
        <v>168</v>
      </c>
    </row>
    <row r="2" spans="1:5" ht="15" x14ac:dyDescent="0.2">
      <c r="A2" s="106">
        <v>45726</v>
      </c>
      <c r="B2" s="107" t="s">
        <v>256</v>
      </c>
      <c r="C2" s="108">
        <v>7620</v>
      </c>
      <c r="D2" s="107" t="s">
        <v>156</v>
      </c>
      <c r="E2" s="107" t="s">
        <v>156</v>
      </c>
    </row>
    <row r="3" spans="1:5" ht="15" x14ac:dyDescent="0.2">
      <c r="A3" s="106">
        <v>45736</v>
      </c>
      <c r="B3" s="107" t="s">
        <v>265</v>
      </c>
      <c r="C3" s="108">
        <v>14033.5</v>
      </c>
      <c r="D3" s="107" t="s">
        <v>156</v>
      </c>
      <c r="E3" s="107" t="s">
        <v>156</v>
      </c>
    </row>
    <row r="4" spans="1:5" ht="15" x14ac:dyDescent="0.25">
      <c r="A4" s="106">
        <v>45747</v>
      </c>
      <c r="B4" s="109" t="s">
        <v>122</v>
      </c>
      <c r="C4" s="108">
        <v>50300</v>
      </c>
      <c r="D4" s="109" t="s">
        <v>156</v>
      </c>
      <c r="E4" s="109" t="s">
        <v>156</v>
      </c>
    </row>
    <row r="5" spans="1:5" ht="16.5" customHeight="1" thickBot="1" x14ac:dyDescent="0.25">
      <c r="A5" s="114"/>
      <c r="B5" s="115" t="str">
        <f>+D4</f>
        <v>Comisiones Bancarias</v>
      </c>
      <c r="C5" s="116">
        <f>SUM(C2:C4)</f>
        <v>71953.5</v>
      </c>
      <c r="D5" s="114"/>
      <c r="E5" s="114"/>
    </row>
    <row r="6" spans="1:5" ht="15.75" thickBot="1" x14ac:dyDescent="0.3">
      <c r="A6" s="110">
        <v>45744</v>
      </c>
      <c r="B6" s="104" t="s">
        <v>272</v>
      </c>
      <c r="C6" s="100">
        <v>728109</v>
      </c>
      <c r="D6" s="104" t="s">
        <v>273</v>
      </c>
      <c r="E6" s="104" t="s">
        <v>273</v>
      </c>
    </row>
    <row r="7" spans="1:5" ht="16.5" customHeight="1" thickBot="1" x14ac:dyDescent="0.25">
      <c r="A7" s="114"/>
      <c r="B7" s="115" t="str">
        <f>+D6</f>
        <v>Comisiones Distribuidores</v>
      </c>
      <c r="C7" s="116">
        <f>+C6</f>
        <v>728109</v>
      </c>
      <c r="D7" s="114"/>
      <c r="E7" s="114"/>
    </row>
    <row r="8" spans="1:5" ht="15.75" thickBot="1" x14ac:dyDescent="0.3">
      <c r="A8" s="98">
        <v>45742</v>
      </c>
      <c r="B8" s="104" t="s">
        <v>281</v>
      </c>
      <c r="C8" s="100">
        <v>614000</v>
      </c>
      <c r="D8" s="99" t="s">
        <v>284</v>
      </c>
      <c r="E8" s="99" t="s">
        <v>284</v>
      </c>
    </row>
    <row r="9" spans="1:5" ht="15.75" thickBot="1" x14ac:dyDescent="0.3">
      <c r="A9" s="98">
        <v>45742</v>
      </c>
      <c r="B9" s="104" t="s">
        <v>282</v>
      </c>
      <c r="C9" s="100">
        <v>1150000</v>
      </c>
      <c r="D9" s="99" t="s">
        <v>284</v>
      </c>
      <c r="E9" s="99" t="s">
        <v>284</v>
      </c>
    </row>
    <row r="10" spans="1:5" ht="16.5" customHeight="1" thickBot="1" x14ac:dyDescent="0.25">
      <c r="A10" s="114"/>
      <c r="B10" s="115" t="str">
        <f>+D9</f>
        <v>Comisiones Ventas</v>
      </c>
      <c r="C10" s="116">
        <f>SUM(C8:C9)</f>
        <v>1764000</v>
      </c>
      <c r="D10" s="114"/>
      <c r="E10" s="114"/>
    </row>
    <row r="11" spans="1:5" ht="15.75" thickBot="1" x14ac:dyDescent="0.25">
      <c r="A11" s="110">
        <v>45728</v>
      </c>
      <c r="B11" s="99" t="s">
        <v>257</v>
      </c>
      <c r="C11" s="100">
        <v>70000</v>
      </c>
      <c r="D11" s="99" t="s">
        <v>258</v>
      </c>
      <c r="E11" s="99" t="s">
        <v>258</v>
      </c>
    </row>
    <row r="12" spans="1:5" ht="16.5" customHeight="1" thickBot="1" x14ac:dyDescent="0.25">
      <c r="A12" s="114"/>
      <c r="B12" s="115" t="str">
        <f>+D11</f>
        <v>Fletes</v>
      </c>
      <c r="C12" s="116">
        <f>+C11</f>
        <v>70000</v>
      </c>
      <c r="D12" s="114"/>
      <c r="E12" s="114"/>
    </row>
    <row r="13" spans="1:5" ht="15.75" thickBot="1" x14ac:dyDescent="0.25">
      <c r="A13" s="110">
        <v>45721</v>
      </c>
      <c r="B13" s="99" t="s">
        <v>121</v>
      </c>
      <c r="C13" s="100">
        <v>0.27</v>
      </c>
      <c r="D13" s="99" t="s">
        <v>126</v>
      </c>
      <c r="E13" s="99" t="s">
        <v>127</v>
      </c>
    </row>
    <row r="14" spans="1:5" ht="15.75" thickBot="1" x14ac:dyDescent="0.25">
      <c r="A14" s="110">
        <v>45721</v>
      </c>
      <c r="B14" s="99" t="s">
        <v>121</v>
      </c>
      <c r="C14" s="100">
        <v>0.36</v>
      </c>
      <c r="D14" s="99" t="s">
        <v>126</v>
      </c>
      <c r="E14" s="99" t="s">
        <v>127</v>
      </c>
    </row>
    <row r="15" spans="1:5" ht="15.75" thickBot="1" x14ac:dyDescent="0.25">
      <c r="A15" s="110">
        <v>45721</v>
      </c>
      <c r="B15" s="99" t="s">
        <v>121</v>
      </c>
      <c r="C15" s="100">
        <v>0.89</v>
      </c>
      <c r="D15" s="99" t="s">
        <v>126</v>
      </c>
      <c r="E15" s="99" t="s">
        <v>127</v>
      </c>
    </row>
    <row r="16" spans="1:5" ht="15.75" thickBot="1" x14ac:dyDescent="0.25">
      <c r="A16" s="110">
        <v>45721</v>
      </c>
      <c r="B16" s="99" t="s">
        <v>121</v>
      </c>
      <c r="C16" s="100">
        <v>1.06</v>
      </c>
      <c r="D16" s="99" t="s">
        <v>126</v>
      </c>
      <c r="E16" s="99" t="s">
        <v>127</v>
      </c>
    </row>
    <row r="17" spans="1:5" ht="15.75" thickBot="1" x14ac:dyDescent="0.25">
      <c r="A17" s="110">
        <v>45721</v>
      </c>
      <c r="B17" s="99" t="s">
        <v>121</v>
      </c>
      <c r="C17" s="100">
        <v>9.0500000000000007</v>
      </c>
      <c r="D17" s="99" t="s">
        <v>126</v>
      </c>
      <c r="E17" s="99" t="s">
        <v>127</v>
      </c>
    </row>
    <row r="18" spans="1:5" ht="15.75" thickBot="1" x14ac:dyDescent="0.25">
      <c r="A18" s="110">
        <v>45721</v>
      </c>
      <c r="B18" s="99" t="s">
        <v>121</v>
      </c>
      <c r="C18" s="100">
        <v>9.0500000000000007</v>
      </c>
      <c r="D18" s="99" t="s">
        <v>126</v>
      </c>
      <c r="E18" s="99" t="s">
        <v>127</v>
      </c>
    </row>
    <row r="19" spans="1:5" ht="15.75" thickBot="1" x14ac:dyDescent="0.25">
      <c r="A19" s="110">
        <v>45721</v>
      </c>
      <c r="B19" s="99" t="s">
        <v>121</v>
      </c>
      <c r="C19" s="100">
        <v>17.86</v>
      </c>
      <c r="D19" s="99" t="s">
        <v>126</v>
      </c>
      <c r="E19" s="99" t="s">
        <v>127</v>
      </c>
    </row>
    <row r="20" spans="1:5" ht="15.75" thickBot="1" x14ac:dyDescent="0.25">
      <c r="A20" s="110">
        <v>45721</v>
      </c>
      <c r="B20" s="99" t="s">
        <v>121</v>
      </c>
      <c r="C20" s="100">
        <v>61.73</v>
      </c>
      <c r="D20" s="99" t="s">
        <v>126</v>
      </c>
      <c r="E20" s="99" t="s">
        <v>127</v>
      </c>
    </row>
    <row r="21" spans="1:5" ht="15.75" thickBot="1" x14ac:dyDescent="0.25">
      <c r="A21" s="110">
        <v>45721</v>
      </c>
      <c r="B21" s="99" t="s">
        <v>121</v>
      </c>
      <c r="C21" s="100">
        <v>63.38</v>
      </c>
      <c r="D21" s="99" t="s">
        <v>126</v>
      </c>
      <c r="E21" s="99" t="s">
        <v>127</v>
      </c>
    </row>
    <row r="22" spans="1:5" ht="15.75" thickBot="1" x14ac:dyDescent="0.25">
      <c r="A22" s="110">
        <v>45721</v>
      </c>
      <c r="B22" s="99" t="s">
        <v>166</v>
      </c>
      <c r="C22" s="100">
        <v>75</v>
      </c>
      <c r="D22" s="99" t="s">
        <v>126</v>
      </c>
      <c r="E22" s="99" t="s">
        <v>128</v>
      </c>
    </row>
    <row r="23" spans="1:5" ht="15.75" thickBot="1" x14ac:dyDescent="0.25">
      <c r="A23" s="110">
        <v>45721</v>
      </c>
      <c r="B23" s="99" t="s">
        <v>166</v>
      </c>
      <c r="C23" s="100">
        <v>75</v>
      </c>
      <c r="D23" s="99" t="s">
        <v>126</v>
      </c>
      <c r="E23" s="99" t="s">
        <v>128</v>
      </c>
    </row>
    <row r="24" spans="1:5" ht="15.75" thickBot="1" x14ac:dyDescent="0.25">
      <c r="A24" s="110">
        <v>45721</v>
      </c>
      <c r="B24" s="99" t="s">
        <v>121</v>
      </c>
      <c r="C24" s="100">
        <v>87.27</v>
      </c>
      <c r="D24" s="99" t="s">
        <v>126</v>
      </c>
      <c r="E24" s="99" t="s">
        <v>127</v>
      </c>
    </row>
    <row r="25" spans="1:5" ht="15.75" thickBot="1" x14ac:dyDescent="0.25">
      <c r="A25" s="110">
        <v>45721</v>
      </c>
      <c r="B25" s="99" t="s">
        <v>121</v>
      </c>
      <c r="C25" s="100">
        <v>89.63</v>
      </c>
      <c r="D25" s="99" t="s">
        <v>126</v>
      </c>
      <c r="E25" s="99" t="s">
        <v>127</v>
      </c>
    </row>
    <row r="26" spans="1:5" ht="15.75" thickBot="1" x14ac:dyDescent="0.25">
      <c r="A26" s="110">
        <v>45721</v>
      </c>
      <c r="B26" s="99" t="s">
        <v>121</v>
      </c>
      <c r="C26" s="100">
        <v>107.77</v>
      </c>
      <c r="D26" s="99" t="s">
        <v>126</v>
      </c>
      <c r="E26" s="99" t="s">
        <v>127</v>
      </c>
    </row>
    <row r="27" spans="1:5" ht="15.75" thickBot="1" x14ac:dyDescent="0.25">
      <c r="A27" s="110">
        <v>45721</v>
      </c>
      <c r="B27" s="99" t="s">
        <v>121</v>
      </c>
      <c r="C27" s="100">
        <v>112.54</v>
      </c>
      <c r="D27" s="99" t="s">
        <v>126</v>
      </c>
      <c r="E27" s="99" t="s">
        <v>127</v>
      </c>
    </row>
    <row r="28" spans="1:5" ht="15.75" thickBot="1" x14ac:dyDescent="0.25">
      <c r="A28" s="110">
        <v>45721</v>
      </c>
      <c r="B28" s="99" t="s">
        <v>121</v>
      </c>
      <c r="C28" s="100">
        <v>116.42</v>
      </c>
      <c r="D28" s="99" t="s">
        <v>126</v>
      </c>
      <c r="E28" s="99" t="s">
        <v>127</v>
      </c>
    </row>
    <row r="29" spans="1:5" ht="15.75" thickBot="1" x14ac:dyDescent="0.25">
      <c r="A29" s="110">
        <v>45721</v>
      </c>
      <c r="B29" s="99" t="s">
        <v>121</v>
      </c>
      <c r="C29" s="100">
        <v>117.04</v>
      </c>
      <c r="D29" s="99" t="s">
        <v>126</v>
      </c>
      <c r="E29" s="99" t="s">
        <v>127</v>
      </c>
    </row>
    <row r="30" spans="1:5" ht="15.75" thickBot="1" x14ac:dyDescent="0.25">
      <c r="A30" s="110">
        <v>45721</v>
      </c>
      <c r="B30" s="99" t="s">
        <v>121</v>
      </c>
      <c r="C30" s="100">
        <v>122.69</v>
      </c>
      <c r="D30" s="99" t="s">
        <v>126</v>
      </c>
      <c r="E30" s="99" t="s">
        <v>127</v>
      </c>
    </row>
    <row r="31" spans="1:5" ht="15.75" thickBot="1" x14ac:dyDescent="0.25">
      <c r="A31" s="110">
        <v>45721</v>
      </c>
      <c r="B31" s="99" t="s">
        <v>121</v>
      </c>
      <c r="C31" s="100">
        <v>122.78</v>
      </c>
      <c r="D31" s="99" t="s">
        <v>126</v>
      </c>
      <c r="E31" s="99" t="s">
        <v>127</v>
      </c>
    </row>
    <row r="32" spans="1:5" ht="15.75" thickBot="1" x14ac:dyDescent="0.25">
      <c r="A32" s="110">
        <v>45721</v>
      </c>
      <c r="B32" s="99" t="s">
        <v>121</v>
      </c>
      <c r="C32" s="100">
        <v>123.05</v>
      </c>
      <c r="D32" s="99" t="s">
        <v>126</v>
      </c>
      <c r="E32" s="99" t="s">
        <v>127</v>
      </c>
    </row>
    <row r="33" spans="1:5" ht="15.75" thickBot="1" x14ac:dyDescent="0.25">
      <c r="A33" s="110">
        <v>45721</v>
      </c>
      <c r="B33" s="99" t="s">
        <v>166</v>
      </c>
      <c r="C33" s="100">
        <v>150</v>
      </c>
      <c r="D33" s="99" t="s">
        <v>126</v>
      </c>
      <c r="E33" s="99" t="s">
        <v>128</v>
      </c>
    </row>
    <row r="34" spans="1:5" ht="15.75" thickBot="1" x14ac:dyDescent="0.25">
      <c r="A34" s="110">
        <v>45721</v>
      </c>
      <c r="B34" s="99" t="s">
        <v>121</v>
      </c>
      <c r="C34" s="100">
        <v>301.8</v>
      </c>
      <c r="D34" s="99" t="s">
        <v>126</v>
      </c>
      <c r="E34" s="99" t="s">
        <v>127</v>
      </c>
    </row>
    <row r="35" spans="1:5" ht="15.75" thickBot="1" x14ac:dyDescent="0.25">
      <c r="A35" s="110">
        <v>45721</v>
      </c>
      <c r="B35" s="99" t="s">
        <v>121</v>
      </c>
      <c r="C35" s="100">
        <v>2761.49</v>
      </c>
      <c r="D35" s="99" t="s">
        <v>126</v>
      </c>
      <c r="E35" s="99" t="s">
        <v>127</v>
      </c>
    </row>
    <row r="36" spans="1:5" ht="15.75" thickBot="1" x14ac:dyDescent="0.25">
      <c r="A36" s="110">
        <v>45721</v>
      </c>
      <c r="B36" s="99" t="s">
        <v>121</v>
      </c>
      <c r="C36" s="100">
        <v>3074.74</v>
      </c>
      <c r="D36" s="99" t="s">
        <v>126</v>
      </c>
      <c r="E36" s="99" t="s">
        <v>127</v>
      </c>
    </row>
    <row r="37" spans="1:5" ht="15.75" thickBot="1" x14ac:dyDescent="0.25">
      <c r="A37" s="110">
        <v>45721</v>
      </c>
      <c r="B37" s="99" t="s">
        <v>121</v>
      </c>
      <c r="C37" s="100">
        <v>3074.74</v>
      </c>
      <c r="D37" s="99" t="s">
        <v>126</v>
      </c>
      <c r="E37" s="99" t="s">
        <v>127</v>
      </c>
    </row>
    <row r="38" spans="1:5" ht="15.75" thickBot="1" x14ac:dyDescent="0.25">
      <c r="A38" s="110">
        <v>45721</v>
      </c>
      <c r="B38" s="99" t="s">
        <v>121</v>
      </c>
      <c r="C38" s="100">
        <v>4500</v>
      </c>
      <c r="D38" s="99" t="s">
        <v>126</v>
      </c>
      <c r="E38" s="99" t="s">
        <v>127</v>
      </c>
    </row>
    <row r="39" spans="1:5" ht="15.75" thickBot="1" x14ac:dyDescent="0.25">
      <c r="A39" s="110">
        <v>45721</v>
      </c>
      <c r="B39" s="99" t="s">
        <v>121</v>
      </c>
      <c r="C39" s="100">
        <v>4500</v>
      </c>
      <c r="D39" s="99" t="s">
        <v>126</v>
      </c>
      <c r="E39" s="99" t="s">
        <v>127</v>
      </c>
    </row>
    <row r="40" spans="1:5" ht="15.75" thickBot="1" x14ac:dyDescent="0.25">
      <c r="A40" s="110">
        <v>45721</v>
      </c>
      <c r="B40" s="99" t="s">
        <v>121</v>
      </c>
      <c r="C40" s="100">
        <v>9000</v>
      </c>
      <c r="D40" s="99" t="s">
        <v>126</v>
      </c>
      <c r="E40" s="99" t="s">
        <v>127</v>
      </c>
    </row>
    <row r="41" spans="1:5" ht="15.75" thickBot="1" x14ac:dyDescent="0.25">
      <c r="A41" s="110">
        <v>45721</v>
      </c>
      <c r="B41" s="99" t="s">
        <v>121</v>
      </c>
      <c r="C41" s="100">
        <v>14049.98</v>
      </c>
      <c r="D41" s="99" t="s">
        <v>126</v>
      </c>
      <c r="E41" s="99" t="s">
        <v>127</v>
      </c>
    </row>
    <row r="42" spans="1:5" ht="15.75" thickBot="1" x14ac:dyDescent="0.25">
      <c r="A42" s="110">
        <v>45721</v>
      </c>
      <c r="B42" s="99" t="s">
        <v>121</v>
      </c>
      <c r="C42" s="100">
        <v>14400</v>
      </c>
      <c r="D42" s="99" t="s">
        <v>126</v>
      </c>
      <c r="E42" s="99" t="s">
        <v>127</v>
      </c>
    </row>
    <row r="43" spans="1:5" ht="15.75" thickBot="1" x14ac:dyDescent="0.25">
      <c r="A43" s="110">
        <v>45722</v>
      </c>
      <c r="B43" s="99" t="s">
        <v>121</v>
      </c>
      <c r="C43" s="100">
        <v>0.45</v>
      </c>
      <c r="D43" s="99" t="s">
        <v>126</v>
      </c>
      <c r="E43" s="99" t="s">
        <v>127</v>
      </c>
    </row>
    <row r="44" spans="1:5" ht="15.75" thickBot="1" x14ac:dyDescent="0.25">
      <c r="A44" s="110">
        <v>45722</v>
      </c>
      <c r="B44" s="99" t="s">
        <v>121</v>
      </c>
      <c r="C44" s="100">
        <v>0.45</v>
      </c>
      <c r="D44" s="99" t="s">
        <v>126</v>
      </c>
      <c r="E44" s="99" t="s">
        <v>127</v>
      </c>
    </row>
    <row r="45" spans="1:5" ht="15.75" thickBot="1" x14ac:dyDescent="0.25">
      <c r="A45" s="110">
        <v>45722</v>
      </c>
      <c r="B45" s="99" t="s">
        <v>121</v>
      </c>
      <c r="C45" s="100">
        <v>0.9</v>
      </c>
      <c r="D45" s="99" t="s">
        <v>126</v>
      </c>
      <c r="E45" s="99" t="s">
        <v>127</v>
      </c>
    </row>
    <row r="46" spans="1:5" ht="15.75" thickBot="1" x14ac:dyDescent="0.25">
      <c r="A46" s="110">
        <v>45722</v>
      </c>
      <c r="B46" s="99" t="s">
        <v>121</v>
      </c>
      <c r="C46" s="100">
        <v>249.98</v>
      </c>
      <c r="D46" s="99" t="s">
        <v>126</v>
      </c>
      <c r="E46" s="99" t="s">
        <v>127</v>
      </c>
    </row>
    <row r="47" spans="1:5" ht="15.75" thickBot="1" x14ac:dyDescent="0.25">
      <c r="A47" s="110">
        <v>45722</v>
      </c>
      <c r="B47" s="99" t="s">
        <v>166</v>
      </c>
      <c r="C47" s="100">
        <v>1500</v>
      </c>
      <c r="D47" s="99" t="s">
        <v>126</v>
      </c>
      <c r="E47" s="99" t="s">
        <v>128</v>
      </c>
    </row>
    <row r="48" spans="1:5" ht="15.75" thickBot="1" x14ac:dyDescent="0.25">
      <c r="A48" s="110">
        <v>45722</v>
      </c>
      <c r="B48" s="99" t="s">
        <v>121</v>
      </c>
      <c r="C48" s="100">
        <v>9000</v>
      </c>
      <c r="D48" s="99" t="s">
        <v>126</v>
      </c>
      <c r="E48" s="99" t="s">
        <v>127</v>
      </c>
    </row>
    <row r="49" spans="1:5" ht="15.75" thickBot="1" x14ac:dyDescent="0.25">
      <c r="A49" s="110">
        <v>45723</v>
      </c>
      <c r="B49" s="99" t="s">
        <v>121</v>
      </c>
      <c r="C49" s="100">
        <v>9</v>
      </c>
      <c r="D49" s="99" t="s">
        <v>126</v>
      </c>
      <c r="E49" s="99" t="s">
        <v>127</v>
      </c>
    </row>
    <row r="50" spans="1:5" ht="15.75" thickBot="1" x14ac:dyDescent="0.25">
      <c r="A50" s="110">
        <v>45723</v>
      </c>
      <c r="B50" s="99" t="s">
        <v>121</v>
      </c>
      <c r="C50" s="100">
        <v>157.56</v>
      </c>
      <c r="D50" s="99" t="s">
        <v>126</v>
      </c>
      <c r="E50" s="99" t="s">
        <v>127</v>
      </c>
    </row>
    <row r="51" spans="1:5" ht="15.75" thickBot="1" x14ac:dyDescent="0.3">
      <c r="A51" s="110">
        <v>45723</v>
      </c>
      <c r="B51" s="104" t="s">
        <v>243</v>
      </c>
      <c r="C51" s="100">
        <v>6306.96</v>
      </c>
      <c r="D51" s="99" t="s">
        <v>126</v>
      </c>
      <c r="E51" s="99" t="s">
        <v>244</v>
      </c>
    </row>
    <row r="52" spans="1:5" ht="15.75" thickBot="1" x14ac:dyDescent="0.25">
      <c r="A52" s="110">
        <v>45723</v>
      </c>
      <c r="B52" s="99" t="s">
        <v>247</v>
      </c>
      <c r="C52" s="100">
        <v>58337.2</v>
      </c>
      <c r="D52" s="99" t="s">
        <v>126</v>
      </c>
      <c r="E52" s="99" t="s">
        <v>131</v>
      </c>
    </row>
    <row r="53" spans="1:5" ht="15.75" thickBot="1" x14ac:dyDescent="0.25">
      <c r="A53" s="110">
        <v>45723</v>
      </c>
      <c r="B53" s="99" t="s">
        <v>248</v>
      </c>
      <c r="C53" s="100">
        <v>581062.32999999996</v>
      </c>
      <c r="D53" s="99" t="s">
        <v>126</v>
      </c>
      <c r="E53" s="99" t="s">
        <v>249</v>
      </c>
    </row>
    <row r="54" spans="1:5" ht="15.75" thickBot="1" x14ac:dyDescent="0.25">
      <c r="A54" s="110">
        <v>45723</v>
      </c>
      <c r="B54" s="99" t="s">
        <v>250</v>
      </c>
      <c r="C54" s="100">
        <v>25227.85</v>
      </c>
      <c r="D54" s="99" t="s">
        <v>126</v>
      </c>
      <c r="E54" s="99" t="s">
        <v>165</v>
      </c>
    </row>
    <row r="55" spans="1:5" ht="15.75" thickBot="1" x14ac:dyDescent="0.25">
      <c r="A55" s="110">
        <v>45723</v>
      </c>
      <c r="B55" s="99" t="s">
        <v>251</v>
      </c>
      <c r="C55" s="100">
        <v>25658.74</v>
      </c>
      <c r="D55" s="99" t="s">
        <v>126</v>
      </c>
      <c r="E55" s="99" t="s">
        <v>252</v>
      </c>
    </row>
    <row r="56" spans="1:5" ht="15.75" thickBot="1" x14ac:dyDescent="0.25">
      <c r="A56" s="110">
        <v>45723</v>
      </c>
      <c r="B56" s="99" t="s">
        <v>254</v>
      </c>
      <c r="C56" s="100">
        <v>9292.06</v>
      </c>
      <c r="D56" s="99" t="s">
        <v>126</v>
      </c>
      <c r="E56" s="99" t="s">
        <v>255</v>
      </c>
    </row>
    <row r="57" spans="1:5" ht="15.75" thickBot="1" x14ac:dyDescent="0.25">
      <c r="A57" s="110">
        <v>45726</v>
      </c>
      <c r="B57" s="99" t="s">
        <v>121</v>
      </c>
      <c r="C57" s="100">
        <v>37.840000000000003</v>
      </c>
      <c r="D57" s="99" t="s">
        <v>126</v>
      </c>
      <c r="E57" s="99" t="s">
        <v>127</v>
      </c>
    </row>
    <row r="58" spans="1:5" ht="15.75" thickBot="1" x14ac:dyDescent="0.25">
      <c r="A58" s="110">
        <v>45726</v>
      </c>
      <c r="B58" s="99" t="s">
        <v>121</v>
      </c>
      <c r="C58" s="100">
        <v>55.75</v>
      </c>
      <c r="D58" s="99" t="s">
        <v>126</v>
      </c>
      <c r="E58" s="99" t="s">
        <v>127</v>
      </c>
    </row>
    <row r="59" spans="1:5" ht="15.75" thickBot="1" x14ac:dyDescent="0.25">
      <c r="A59" s="110">
        <v>45726</v>
      </c>
      <c r="B59" s="99" t="s">
        <v>121</v>
      </c>
      <c r="C59" s="100">
        <v>98.3</v>
      </c>
      <c r="D59" s="99" t="s">
        <v>126</v>
      </c>
      <c r="E59" s="99" t="s">
        <v>127</v>
      </c>
    </row>
    <row r="60" spans="1:5" ht="15.75" thickBot="1" x14ac:dyDescent="0.25">
      <c r="A60" s="110">
        <v>45726</v>
      </c>
      <c r="B60" s="99" t="s">
        <v>121</v>
      </c>
      <c r="C60" s="100">
        <v>126.41</v>
      </c>
      <c r="D60" s="99" t="s">
        <v>126</v>
      </c>
      <c r="E60" s="99" t="s">
        <v>127</v>
      </c>
    </row>
    <row r="61" spans="1:5" ht="15.75" thickBot="1" x14ac:dyDescent="0.25">
      <c r="A61" s="110">
        <v>45726</v>
      </c>
      <c r="B61" s="99" t="s">
        <v>121</v>
      </c>
      <c r="C61" s="100">
        <v>151.37</v>
      </c>
      <c r="D61" s="99" t="s">
        <v>126</v>
      </c>
      <c r="E61" s="99" t="s">
        <v>127</v>
      </c>
    </row>
    <row r="62" spans="1:5" ht="15.75" thickBot="1" x14ac:dyDescent="0.25">
      <c r="A62" s="110">
        <v>45726</v>
      </c>
      <c r="B62" s="99" t="s">
        <v>121</v>
      </c>
      <c r="C62" s="100">
        <v>153.94999999999999</v>
      </c>
      <c r="D62" s="99" t="s">
        <v>126</v>
      </c>
      <c r="E62" s="99" t="s">
        <v>127</v>
      </c>
    </row>
    <row r="63" spans="1:5" ht="15.75" thickBot="1" x14ac:dyDescent="0.25">
      <c r="A63" s="110">
        <v>45726</v>
      </c>
      <c r="B63" s="99" t="s">
        <v>121</v>
      </c>
      <c r="C63" s="100">
        <v>350.02</v>
      </c>
      <c r="D63" s="99" t="s">
        <v>126</v>
      </c>
      <c r="E63" s="99" t="s">
        <v>127</v>
      </c>
    </row>
    <row r="64" spans="1:5" ht="15.75" thickBot="1" x14ac:dyDescent="0.25">
      <c r="A64" s="110">
        <v>45726</v>
      </c>
      <c r="B64" s="99" t="s">
        <v>121</v>
      </c>
      <c r="C64" s="100">
        <v>1320</v>
      </c>
      <c r="D64" s="99" t="s">
        <v>126</v>
      </c>
      <c r="E64" s="99" t="s">
        <v>127</v>
      </c>
    </row>
    <row r="65" spans="1:5" ht="15.75" thickBot="1" x14ac:dyDescent="0.25">
      <c r="A65" s="110">
        <v>45726</v>
      </c>
      <c r="B65" s="99" t="s">
        <v>121</v>
      </c>
      <c r="C65" s="100">
        <v>1646.08</v>
      </c>
      <c r="D65" s="99" t="s">
        <v>126</v>
      </c>
      <c r="E65" s="99" t="s">
        <v>127</v>
      </c>
    </row>
    <row r="66" spans="1:5" ht="15.75" thickBot="1" x14ac:dyDescent="0.25">
      <c r="A66" s="110">
        <v>45726</v>
      </c>
      <c r="B66" s="99" t="s">
        <v>121</v>
      </c>
      <c r="C66" s="100">
        <v>3486.37</v>
      </c>
      <c r="D66" s="99" t="s">
        <v>126</v>
      </c>
      <c r="E66" s="99" t="s">
        <v>127</v>
      </c>
    </row>
    <row r="67" spans="1:5" ht="15.75" thickBot="1" x14ac:dyDescent="0.25">
      <c r="A67" s="110">
        <v>45727</v>
      </c>
      <c r="B67" s="99" t="s">
        <v>121</v>
      </c>
      <c r="C67" s="100">
        <v>45.72</v>
      </c>
      <c r="D67" s="99" t="s">
        <v>126</v>
      </c>
      <c r="E67" s="99" t="s">
        <v>127</v>
      </c>
    </row>
    <row r="68" spans="1:5" ht="15.75" thickBot="1" x14ac:dyDescent="0.25">
      <c r="A68" s="110">
        <v>45727</v>
      </c>
      <c r="B68" s="99" t="s">
        <v>166</v>
      </c>
      <c r="C68" s="100">
        <v>112.15</v>
      </c>
      <c r="D68" s="99" t="s">
        <v>126</v>
      </c>
      <c r="E68" s="99" t="s">
        <v>128</v>
      </c>
    </row>
    <row r="69" spans="1:5" ht="15.75" thickBot="1" x14ac:dyDescent="0.25">
      <c r="A69" s="110">
        <v>45727</v>
      </c>
      <c r="B69" s="99" t="s">
        <v>121</v>
      </c>
      <c r="C69" s="100">
        <v>672.9</v>
      </c>
      <c r="D69" s="99" t="s">
        <v>126</v>
      </c>
      <c r="E69" s="99" t="s">
        <v>127</v>
      </c>
    </row>
    <row r="70" spans="1:5" ht="15.75" thickBot="1" x14ac:dyDescent="0.25">
      <c r="A70" s="110">
        <v>45727</v>
      </c>
      <c r="B70" s="99" t="s">
        <v>121</v>
      </c>
      <c r="C70" s="100">
        <v>672.9</v>
      </c>
      <c r="D70" s="99" t="s">
        <v>126</v>
      </c>
      <c r="E70" s="99" t="s">
        <v>127</v>
      </c>
    </row>
    <row r="71" spans="1:5" ht="15.75" thickBot="1" x14ac:dyDescent="0.25">
      <c r="A71" s="110">
        <v>45728</v>
      </c>
      <c r="B71" s="99" t="s">
        <v>121</v>
      </c>
      <c r="C71" s="100">
        <v>0.67</v>
      </c>
      <c r="D71" s="99" t="s">
        <v>126</v>
      </c>
      <c r="E71" s="99" t="s">
        <v>127</v>
      </c>
    </row>
    <row r="72" spans="1:5" ht="15.75" thickBot="1" x14ac:dyDescent="0.25">
      <c r="A72" s="110">
        <v>45729</v>
      </c>
      <c r="B72" s="99" t="s">
        <v>121</v>
      </c>
      <c r="C72" s="100">
        <v>420</v>
      </c>
      <c r="D72" s="99" t="s">
        <v>126</v>
      </c>
      <c r="E72" s="99" t="s">
        <v>127</v>
      </c>
    </row>
    <row r="73" spans="1:5" ht="15.75" thickBot="1" x14ac:dyDescent="0.25">
      <c r="A73" s="110">
        <v>45729</v>
      </c>
      <c r="B73" s="99" t="s">
        <v>121</v>
      </c>
      <c r="C73" s="100">
        <v>747.78</v>
      </c>
      <c r="D73" s="99" t="s">
        <v>126</v>
      </c>
      <c r="E73" s="99" t="s">
        <v>127</v>
      </c>
    </row>
    <row r="74" spans="1:5" ht="15.75" thickBot="1" x14ac:dyDescent="0.25">
      <c r="A74" s="110">
        <v>45729</v>
      </c>
      <c r="B74" s="99" t="s">
        <v>166</v>
      </c>
      <c r="C74" s="100">
        <v>4566.41</v>
      </c>
      <c r="D74" s="99" t="s">
        <v>126</v>
      </c>
      <c r="E74" s="99" t="s">
        <v>128</v>
      </c>
    </row>
    <row r="75" spans="1:5" ht="15.75" thickBot="1" x14ac:dyDescent="0.25">
      <c r="A75" s="110">
        <v>45729</v>
      </c>
      <c r="B75" s="99" t="s">
        <v>121</v>
      </c>
      <c r="C75" s="100">
        <v>27398.48</v>
      </c>
      <c r="D75" s="99" t="s">
        <v>126</v>
      </c>
      <c r="E75" s="99" t="s">
        <v>127</v>
      </c>
    </row>
    <row r="76" spans="1:5" ht="15.75" thickBot="1" x14ac:dyDescent="0.25">
      <c r="A76" s="110">
        <v>45730</v>
      </c>
      <c r="B76" s="99" t="s">
        <v>121</v>
      </c>
      <c r="C76" s="100">
        <v>27.4</v>
      </c>
      <c r="D76" s="99" t="s">
        <v>126</v>
      </c>
      <c r="E76" s="99" t="s">
        <v>127</v>
      </c>
    </row>
    <row r="77" spans="1:5" ht="15.75" thickBot="1" x14ac:dyDescent="0.25">
      <c r="A77" s="110">
        <v>45733</v>
      </c>
      <c r="B77" s="99" t="s">
        <v>121</v>
      </c>
      <c r="C77" s="100">
        <v>688.44</v>
      </c>
      <c r="D77" s="99" t="s">
        <v>126</v>
      </c>
      <c r="E77" s="99" t="s">
        <v>127</v>
      </c>
    </row>
    <row r="78" spans="1:5" ht="15.75" thickBot="1" x14ac:dyDescent="0.25">
      <c r="A78" s="110">
        <v>45734</v>
      </c>
      <c r="B78" s="99" t="s">
        <v>166</v>
      </c>
      <c r="C78" s="100">
        <v>1241.46</v>
      </c>
      <c r="D78" s="99" t="s">
        <v>126</v>
      </c>
      <c r="E78" s="99" t="s">
        <v>128</v>
      </c>
    </row>
    <row r="79" spans="1:5" ht="15.75" thickBot="1" x14ac:dyDescent="0.25">
      <c r="A79" s="110">
        <v>45734</v>
      </c>
      <c r="B79" s="99" t="s">
        <v>166</v>
      </c>
      <c r="C79" s="100">
        <v>1500</v>
      </c>
      <c r="D79" s="99" t="s">
        <v>126</v>
      </c>
      <c r="E79" s="99" t="s">
        <v>128</v>
      </c>
    </row>
    <row r="80" spans="1:5" ht="15.75" thickBot="1" x14ac:dyDescent="0.25">
      <c r="A80" s="110">
        <v>45734</v>
      </c>
      <c r="B80" s="99" t="s">
        <v>166</v>
      </c>
      <c r="C80" s="100">
        <v>1500</v>
      </c>
      <c r="D80" s="99" t="s">
        <v>126</v>
      </c>
      <c r="E80" s="99" t="s">
        <v>128</v>
      </c>
    </row>
    <row r="81" spans="1:5" ht="15.75" thickBot="1" x14ac:dyDescent="0.25">
      <c r="A81" s="110">
        <v>45734</v>
      </c>
      <c r="B81" s="99" t="s">
        <v>166</v>
      </c>
      <c r="C81" s="100">
        <v>3000</v>
      </c>
      <c r="D81" s="99" t="s">
        <v>126</v>
      </c>
      <c r="E81" s="99" t="s">
        <v>128</v>
      </c>
    </row>
    <row r="82" spans="1:5" ht="15.75" thickBot="1" x14ac:dyDescent="0.25">
      <c r="A82" s="110">
        <v>45734</v>
      </c>
      <c r="B82" s="99" t="s">
        <v>121</v>
      </c>
      <c r="C82" s="100">
        <v>7448.76</v>
      </c>
      <c r="D82" s="99" t="s">
        <v>126</v>
      </c>
      <c r="E82" s="99" t="s">
        <v>127</v>
      </c>
    </row>
    <row r="83" spans="1:5" ht="15.75" thickBot="1" x14ac:dyDescent="0.25">
      <c r="A83" s="110">
        <v>45734</v>
      </c>
      <c r="B83" s="99" t="s">
        <v>121</v>
      </c>
      <c r="C83" s="100">
        <v>9000</v>
      </c>
      <c r="D83" s="99" t="s">
        <v>126</v>
      </c>
      <c r="E83" s="99" t="s">
        <v>127</v>
      </c>
    </row>
    <row r="84" spans="1:5" ht="15.75" thickBot="1" x14ac:dyDescent="0.25">
      <c r="A84" s="110">
        <v>45734</v>
      </c>
      <c r="B84" s="99" t="s">
        <v>121</v>
      </c>
      <c r="C84" s="100">
        <v>9000</v>
      </c>
      <c r="D84" s="99" t="s">
        <v>126</v>
      </c>
      <c r="E84" s="99" t="s">
        <v>127</v>
      </c>
    </row>
    <row r="85" spans="1:5" ht="15.75" thickBot="1" x14ac:dyDescent="0.25">
      <c r="A85" s="110">
        <v>45734</v>
      </c>
      <c r="B85" s="99" t="s">
        <v>121</v>
      </c>
      <c r="C85" s="100">
        <v>18000</v>
      </c>
      <c r="D85" s="99" t="s">
        <v>126</v>
      </c>
      <c r="E85" s="99" t="s">
        <v>127</v>
      </c>
    </row>
    <row r="86" spans="1:5" ht="15.75" thickBot="1" x14ac:dyDescent="0.25">
      <c r="A86" s="110">
        <v>45735</v>
      </c>
      <c r="B86" s="99" t="s">
        <v>121</v>
      </c>
      <c r="C86" s="100">
        <v>7.45</v>
      </c>
      <c r="D86" s="99" t="s">
        <v>126</v>
      </c>
      <c r="E86" s="99" t="s">
        <v>127</v>
      </c>
    </row>
    <row r="87" spans="1:5" ht="15.75" thickBot="1" x14ac:dyDescent="0.25">
      <c r="A87" s="110">
        <v>45735</v>
      </c>
      <c r="B87" s="99" t="s">
        <v>121</v>
      </c>
      <c r="C87" s="100">
        <v>9</v>
      </c>
      <c r="D87" s="99" t="s">
        <v>126</v>
      </c>
      <c r="E87" s="99" t="s">
        <v>127</v>
      </c>
    </row>
    <row r="88" spans="1:5" ht="15.75" thickBot="1" x14ac:dyDescent="0.25">
      <c r="A88" s="110">
        <v>45735</v>
      </c>
      <c r="B88" s="99" t="s">
        <v>121</v>
      </c>
      <c r="C88" s="100">
        <v>9</v>
      </c>
      <c r="D88" s="99" t="s">
        <v>126</v>
      </c>
      <c r="E88" s="99" t="s">
        <v>127</v>
      </c>
    </row>
    <row r="89" spans="1:5" ht="15.75" thickBot="1" x14ac:dyDescent="0.25">
      <c r="A89" s="110">
        <v>45735</v>
      </c>
      <c r="B89" s="99" t="s">
        <v>121</v>
      </c>
      <c r="C89" s="100">
        <v>18</v>
      </c>
      <c r="D89" s="99" t="s">
        <v>126</v>
      </c>
      <c r="E89" s="99" t="s">
        <v>127</v>
      </c>
    </row>
    <row r="90" spans="1:5" ht="15.75" thickBot="1" x14ac:dyDescent="0.25">
      <c r="A90" s="110">
        <v>45736</v>
      </c>
      <c r="B90" s="99" t="s">
        <v>121</v>
      </c>
      <c r="C90" s="100">
        <v>450.12</v>
      </c>
      <c r="D90" s="99" t="s">
        <v>126</v>
      </c>
      <c r="E90" s="99" t="s">
        <v>127</v>
      </c>
    </row>
    <row r="91" spans="1:5" ht="15.75" thickBot="1" x14ac:dyDescent="0.25">
      <c r="A91" s="110">
        <v>45736</v>
      </c>
      <c r="B91" s="99" t="s">
        <v>121</v>
      </c>
      <c r="C91" s="100">
        <v>1776.22</v>
      </c>
      <c r="D91" s="99" t="s">
        <v>126</v>
      </c>
      <c r="E91" s="99" t="s">
        <v>127</v>
      </c>
    </row>
    <row r="92" spans="1:5" ht="15.75" thickBot="1" x14ac:dyDescent="0.25">
      <c r="A92" s="110">
        <v>45737</v>
      </c>
      <c r="B92" s="99" t="s">
        <v>121</v>
      </c>
      <c r="C92" s="100">
        <v>84.2</v>
      </c>
      <c r="D92" s="99" t="s">
        <v>126</v>
      </c>
      <c r="E92" s="99" t="s">
        <v>127</v>
      </c>
    </row>
    <row r="93" spans="1:5" ht="15.75" thickBot="1" x14ac:dyDescent="0.25">
      <c r="A93" s="110">
        <v>45737</v>
      </c>
      <c r="B93" s="99" t="s">
        <v>166</v>
      </c>
      <c r="C93" s="100">
        <v>500</v>
      </c>
      <c r="D93" s="99" t="s">
        <v>126</v>
      </c>
      <c r="E93" s="99" t="s">
        <v>128</v>
      </c>
    </row>
    <row r="94" spans="1:5" ht="15.75" thickBot="1" x14ac:dyDescent="0.25">
      <c r="A94" s="110">
        <v>45737</v>
      </c>
      <c r="B94" s="99" t="s">
        <v>166</v>
      </c>
      <c r="C94" s="100">
        <v>500</v>
      </c>
      <c r="D94" s="99" t="s">
        <v>126</v>
      </c>
      <c r="E94" s="99" t="s">
        <v>128</v>
      </c>
    </row>
    <row r="95" spans="1:5" ht="15.75" thickBot="1" x14ac:dyDescent="0.25">
      <c r="A95" s="110">
        <v>45737</v>
      </c>
      <c r="B95" s="99" t="s">
        <v>121</v>
      </c>
      <c r="C95" s="100">
        <v>3000</v>
      </c>
      <c r="D95" s="99" t="s">
        <v>126</v>
      </c>
      <c r="E95" s="99" t="s">
        <v>127</v>
      </c>
    </row>
    <row r="96" spans="1:5" ht="15.75" thickBot="1" x14ac:dyDescent="0.25">
      <c r="A96" s="110">
        <v>45737</v>
      </c>
      <c r="B96" s="99" t="s">
        <v>121</v>
      </c>
      <c r="C96" s="100">
        <v>3000</v>
      </c>
      <c r="D96" s="99" t="s">
        <v>126</v>
      </c>
      <c r="E96" s="99" t="s">
        <v>127</v>
      </c>
    </row>
    <row r="97" spans="1:5" ht="15.75" thickBot="1" x14ac:dyDescent="0.25">
      <c r="A97" s="110">
        <v>45741</v>
      </c>
      <c r="B97" s="99" t="s">
        <v>121</v>
      </c>
      <c r="C97" s="100">
        <v>3</v>
      </c>
      <c r="D97" s="99" t="s">
        <v>126</v>
      </c>
      <c r="E97" s="99" t="s">
        <v>127</v>
      </c>
    </row>
    <row r="98" spans="1:5" ht="15.75" thickBot="1" x14ac:dyDescent="0.25">
      <c r="A98" s="110">
        <v>45741</v>
      </c>
      <c r="B98" s="99" t="s">
        <v>121</v>
      </c>
      <c r="C98" s="100">
        <v>3</v>
      </c>
      <c r="D98" s="99" t="s">
        <v>126</v>
      </c>
      <c r="E98" s="99" t="s">
        <v>127</v>
      </c>
    </row>
    <row r="99" spans="1:5" ht="15.75" thickBot="1" x14ac:dyDescent="0.25">
      <c r="A99" s="110">
        <v>45741</v>
      </c>
      <c r="B99" s="99" t="s">
        <v>166</v>
      </c>
      <c r="C99" s="100">
        <v>467.79</v>
      </c>
      <c r="D99" s="99" t="s">
        <v>126</v>
      </c>
      <c r="E99" s="99" t="s">
        <v>128</v>
      </c>
    </row>
    <row r="100" spans="1:5" ht="15.75" thickBot="1" x14ac:dyDescent="0.25">
      <c r="A100" s="110">
        <v>45741</v>
      </c>
      <c r="B100" s="99" t="s">
        <v>166</v>
      </c>
      <c r="C100" s="100">
        <v>2440.89</v>
      </c>
      <c r="D100" s="99" t="s">
        <v>126</v>
      </c>
      <c r="E100" s="99" t="s">
        <v>128</v>
      </c>
    </row>
    <row r="101" spans="1:5" ht="15.75" thickBot="1" x14ac:dyDescent="0.25">
      <c r="A101" s="110">
        <v>45741</v>
      </c>
      <c r="B101" s="99" t="s">
        <v>121</v>
      </c>
      <c r="C101" s="100">
        <v>2806.74</v>
      </c>
      <c r="D101" s="99" t="s">
        <v>126</v>
      </c>
      <c r="E101" s="99" t="s">
        <v>127</v>
      </c>
    </row>
    <row r="102" spans="1:5" ht="15.75" thickBot="1" x14ac:dyDescent="0.25">
      <c r="A102" s="110">
        <v>45741</v>
      </c>
      <c r="B102" s="99" t="s">
        <v>121</v>
      </c>
      <c r="C102" s="100">
        <v>14645.31</v>
      </c>
      <c r="D102" s="99" t="s">
        <v>126</v>
      </c>
      <c r="E102" s="99" t="s">
        <v>127</v>
      </c>
    </row>
    <row r="103" spans="1:5" ht="15.75" thickBot="1" x14ac:dyDescent="0.25">
      <c r="A103" s="110">
        <v>45742</v>
      </c>
      <c r="B103" s="99" t="s">
        <v>121</v>
      </c>
      <c r="C103" s="100">
        <v>2.81</v>
      </c>
      <c r="D103" s="99" t="s">
        <v>126</v>
      </c>
      <c r="E103" s="99" t="s">
        <v>127</v>
      </c>
    </row>
    <row r="104" spans="1:5" ht="15.75" thickBot="1" x14ac:dyDescent="0.25">
      <c r="A104" s="110">
        <v>45742</v>
      </c>
      <c r="B104" s="99" t="s">
        <v>121</v>
      </c>
      <c r="C104" s="100">
        <v>14.65</v>
      </c>
      <c r="D104" s="99" t="s">
        <v>126</v>
      </c>
      <c r="E104" s="99" t="s">
        <v>127</v>
      </c>
    </row>
    <row r="105" spans="1:5" ht="15.75" thickBot="1" x14ac:dyDescent="0.25">
      <c r="A105" s="110">
        <v>45742</v>
      </c>
      <c r="B105" s="99" t="s">
        <v>166</v>
      </c>
      <c r="C105" s="100">
        <v>1500</v>
      </c>
      <c r="D105" s="99" t="s">
        <v>126</v>
      </c>
      <c r="E105" s="99" t="s">
        <v>128</v>
      </c>
    </row>
    <row r="106" spans="1:5" ht="15.75" thickBot="1" x14ac:dyDescent="0.25">
      <c r="A106" s="110">
        <v>45742</v>
      </c>
      <c r="B106" s="99" t="s">
        <v>121</v>
      </c>
      <c r="C106" s="100">
        <v>3267</v>
      </c>
      <c r="D106" s="99" t="s">
        <v>126</v>
      </c>
      <c r="E106" s="99" t="s">
        <v>127</v>
      </c>
    </row>
    <row r="107" spans="1:5" ht="15.75" thickBot="1" x14ac:dyDescent="0.25">
      <c r="A107" s="110">
        <v>45742</v>
      </c>
      <c r="B107" s="99" t="s">
        <v>121</v>
      </c>
      <c r="C107" s="100">
        <v>9000</v>
      </c>
      <c r="D107" s="99" t="s">
        <v>126</v>
      </c>
      <c r="E107" s="99" t="s">
        <v>127</v>
      </c>
    </row>
    <row r="108" spans="1:5" ht="15.75" thickBot="1" x14ac:dyDescent="0.25">
      <c r="A108" s="110">
        <v>45743</v>
      </c>
      <c r="B108" s="99" t="s">
        <v>121</v>
      </c>
      <c r="C108" s="100">
        <v>9</v>
      </c>
      <c r="D108" s="99" t="s">
        <v>126</v>
      </c>
      <c r="E108" s="99" t="s">
        <v>127</v>
      </c>
    </row>
    <row r="109" spans="1:5" ht="15.75" thickBot="1" x14ac:dyDescent="0.25">
      <c r="A109" s="110">
        <v>45744</v>
      </c>
      <c r="B109" s="99" t="s">
        <v>166</v>
      </c>
      <c r="C109" s="100">
        <v>1500</v>
      </c>
      <c r="D109" s="99" t="s">
        <v>126</v>
      </c>
      <c r="E109" s="99" t="s">
        <v>128</v>
      </c>
    </row>
    <row r="110" spans="1:5" ht="15.75" thickBot="1" x14ac:dyDescent="0.25">
      <c r="A110" s="110">
        <v>45744</v>
      </c>
      <c r="B110" s="99" t="s">
        <v>121</v>
      </c>
      <c r="C110" s="100">
        <v>9000</v>
      </c>
      <c r="D110" s="99" t="s">
        <v>126</v>
      </c>
      <c r="E110" s="99" t="s">
        <v>127</v>
      </c>
    </row>
    <row r="111" spans="1:5" ht="15.75" thickBot="1" x14ac:dyDescent="0.25">
      <c r="A111" s="110">
        <v>45747</v>
      </c>
      <c r="B111" s="99" t="s">
        <v>121</v>
      </c>
      <c r="C111" s="100">
        <v>9</v>
      </c>
      <c r="D111" s="99" t="s">
        <v>126</v>
      </c>
      <c r="E111" s="99" t="s">
        <v>127</v>
      </c>
    </row>
    <row r="112" spans="1:5" ht="15.75" thickBot="1" x14ac:dyDescent="0.25">
      <c r="A112" s="110">
        <v>45747</v>
      </c>
      <c r="B112" s="99" t="s">
        <v>121</v>
      </c>
      <c r="C112" s="100">
        <v>65.37</v>
      </c>
      <c r="D112" s="99" t="s">
        <v>126</v>
      </c>
      <c r="E112" s="99" t="s">
        <v>127</v>
      </c>
    </row>
    <row r="113" spans="1:5" ht="15.75" thickBot="1" x14ac:dyDescent="0.25">
      <c r="A113" s="110">
        <v>45747</v>
      </c>
      <c r="B113" s="99" t="s">
        <v>121</v>
      </c>
      <c r="C113" s="100">
        <v>69.959999999999994</v>
      </c>
      <c r="D113" s="99" t="s">
        <v>126</v>
      </c>
      <c r="E113" s="99" t="s">
        <v>127</v>
      </c>
    </row>
    <row r="114" spans="1:5" ht="15.75" thickBot="1" x14ac:dyDescent="0.25">
      <c r="A114" s="110">
        <v>45747</v>
      </c>
      <c r="B114" s="99" t="s">
        <v>121</v>
      </c>
      <c r="C114" s="100">
        <v>72.97</v>
      </c>
      <c r="D114" s="99" t="s">
        <v>126</v>
      </c>
      <c r="E114" s="99" t="s">
        <v>127</v>
      </c>
    </row>
    <row r="115" spans="1:5" ht="15.75" thickBot="1" x14ac:dyDescent="0.25">
      <c r="A115" s="110">
        <v>45747</v>
      </c>
      <c r="B115" s="99" t="s">
        <v>121</v>
      </c>
      <c r="C115" s="100">
        <v>77.67</v>
      </c>
      <c r="D115" s="99" t="s">
        <v>126</v>
      </c>
      <c r="E115" s="99" t="s">
        <v>127</v>
      </c>
    </row>
    <row r="116" spans="1:5" ht="15.75" thickBot="1" x14ac:dyDescent="0.25">
      <c r="A116" s="110">
        <v>45747</v>
      </c>
      <c r="B116" s="99" t="s">
        <v>166</v>
      </c>
      <c r="C116" s="100">
        <v>239.58</v>
      </c>
      <c r="D116" s="99" t="s">
        <v>126</v>
      </c>
      <c r="E116" s="99" t="s">
        <v>128</v>
      </c>
    </row>
    <row r="117" spans="1:5" ht="15.75" thickBot="1" x14ac:dyDescent="0.25">
      <c r="A117" s="110">
        <v>45747</v>
      </c>
      <c r="B117" s="99" t="s">
        <v>121</v>
      </c>
      <c r="C117" s="100">
        <v>1437.48</v>
      </c>
      <c r="D117" s="99" t="s">
        <v>126</v>
      </c>
      <c r="E117" s="99" t="s">
        <v>127</v>
      </c>
    </row>
    <row r="118" spans="1:5" ht="15.75" thickBot="1" x14ac:dyDescent="0.25">
      <c r="A118" s="110">
        <v>45747</v>
      </c>
      <c r="B118" s="99" t="s">
        <v>166</v>
      </c>
      <c r="C118" s="100">
        <v>3781.25</v>
      </c>
      <c r="D118" s="99" t="s">
        <v>126</v>
      </c>
      <c r="E118" s="99" t="s">
        <v>128</v>
      </c>
    </row>
    <row r="119" spans="1:5" ht="15.75" thickBot="1" x14ac:dyDescent="0.25">
      <c r="A119" s="110">
        <v>45747</v>
      </c>
      <c r="B119" s="99" t="s">
        <v>121</v>
      </c>
      <c r="C119" s="100">
        <v>4368.6499999999996</v>
      </c>
      <c r="D119" s="99" t="s">
        <v>126</v>
      </c>
      <c r="E119" s="99" t="s">
        <v>127</v>
      </c>
    </row>
    <row r="120" spans="1:5" ht="15.75" thickBot="1" x14ac:dyDescent="0.25">
      <c r="A120" s="110">
        <v>45747</v>
      </c>
      <c r="B120" s="99" t="s">
        <v>121</v>
      </c>
      <c r="C120" s="100">
        <v>13819.75</v>
      </c>
      <c r="D120" s="99" t="s">
        <v>126</v>
      </c>
      <c r="E120" s="99" t="s">
        <v>127</v>
      </c>
    </row>
    <row r="121" spans="1:5" ht="15.75" thickBot="1" x14ac:dyDescent="0.25">
      <c r="A121" s="110">
        <v>45747</v>
      </c>
      <c r="B121" s="99" t="s">
        <v>121</v>
      </c>
      <c r="C121" s="100">
        <v>14010.96</v>
      </c>
      <c r="D121" s="99" t="s">
        <v>126</v>
      </c>
      <c r="E121" s="99" t="s">
        <v>127</v>
      </c>
    </row>
    <row r="122" spans="1:5" ht="15.75" thickBot="1" x14ac:dyDescent="0.25">
      <c r="A122" s="110">
        <v>45747</v>
      </c>
      <c r="B122" s="99" t="s">
        <v>121</v>
      </c>
      <c r="C122" s="100">
        <v>22687.5</v>
      </c>
      <c r="D122" s="99" t="s">
        <v>126</v>
      </c>
      <c r="E122" s="99" t="s">
        <v>127</v>
      </c>
    </row>
    <row r="123" spans="1:5" ht="15.75" thickBot="1" x14ac:dyDescent="0.3">
      <c r="A123" s="110">
        <v>45747</v>
      </c>
      <c r="B123" s="104" t="s">
        <v>120</v>
      </c>
      <c r="C123" s="100">
        <v>10563</v>
      </c>
      <c r="D123" s="104" t="s">
        <v>126</v>
      </c>
      <c r="E123" s="104" t="s">
        <v>120</v>
      </c>
    </row>
    <row r="124" spans="1:5" ht="15.75" thickBot="1" x14ac:dyDescent="0.3">
      <c r="A124" s="110">
        <v>45747</v>
      </c>
      <c r="B124" s="99" t="s">
        <v>277</v>
      </c>
      <c r="C124" s="100">
        <v>1509</v>
      </c>
      <c r="D124" s="104" t="s">
        <v>126</v>
      </c>
      <c r="E124" s="99" t="s">
        <v>120</v>
      </c>
    </row>
    <row r="125" spans="1:5" ht="15.75" thickBot="1" x14ac:dyDescent="0.3">
      <c r="A125" s="110">
        <v>45747</v>
      </c>
      <c r="B125" s="99" t="s">
        <v>123</v>
      </c>
      <c r="C125" s="100">
        <v>1509</v>
      </c>
      <c r="D125" s="104" t="s">
        <v>126</v>
      </c>
      <c r="E125" s="99" t="s">
        <v>123</v>
      </c>
    </row>
    <row r="126" spans="1:5" ht="16.5" customHeight="1" thickBot="1" x14ac:dyDescent="0.25">
      <c r="A126" s="114"/>
      <c r="B126" s="115" t="str">
        <f>+D125</f>
        <v>Impuestos</v>
      </c>
      <c r="C126" s="116">
        <f>SUM(C13:C125)</f>
        <v>995633.54999999993</v>
      </c>
      <c r="D126" s="114"/>
      <c r="E126" s="114"/>
    </row>
    <row r="127" spans="1:5" ht="15.75" thickBot="1" x14ac:dyDescent="0.25">
      <c r="A127" s="110">
        <v>45721</v>
      </c>
      <c r="B127" s="99" t="s">
        <v>240</v>
      </c>
      <c r="C127" s="100">
        <v>41662.99</v>
      </c>
      <c r="D127" s="99" t="s">
        <v>124</v>
      </c>
      <c r="E127" s="99" t="s">
        <v>190</v>
      </c>
    </row>
    <row r="128" spans="1:5" ht="15.75" thickBot="1" x14ac:dyDescent="0.25">
      <c r="A128" s="110">
        <v>45722</v>
      </c>
      <c r="B128" s="99" t="s">
        <v>241</v>
      </c>
      <c r="C128" s="100">
        <v>26260.44</v>
      </c>
      <c r="D128" s="99" t="s">
        <v>124</v>
      </c>
      <c r="E128" s="99" t="s">
        <v>132</v>
      </c>
    </row>
    <row r="129" spans="1:5" ht="15.75" thickBot="1" x14ac:dyDescent="0.25">
      <c r="A129" s="110">
        <v>45723</v>
      </c>
      <c r="B129" s="99" t="s">
        <v>242</v>
      </c>
      <c r="C129" s="100">
        <v>220000</v>
      </c>
      <c r="D129" s="99" t="s">
        <v>124</v>
      </c>
      <c r="E129" s="99" t="s">
        <v>133</v>
      </c>
    </row>
    <row r="130" spans="1:5" ht="15.75" thickBot="1" x14ac:dyDescent="0.3">
      <c r="A130" s="110">
        <v>45723</v>
      </c>
      <c r="B130" s="104" t="s">
        <v>245</v>
      </c>
      <c r="C130" s="100">
        <v>16383.28</v>
      </c>
      <c r="D130" s="99" t="s">
        <v>124</v>
      </c>
      <c r="E130" s="99" t="s">
        <v>194</v>
      </c>
    </row>
    <row r="131" spans="1:5" ht="15.75" thickBot="1" x14ac:dyDescent="0.25">
      <c r="A131" s="110">
        <v>45723</v>
      </c>
      <c r="B131" s="99" t="s">
        <v>246</v>
      </c>
      <c r="C131" s="100">
        <v>21067.88</v>
      </c>
      <c r="D131" s="99" t="s">
        <v>124</v>
      </c>
      <c r="E131" s="99" t="s">
        <v>194</v>
      </c>
    </row>
    <row r="132" spans="1:5" ht="15.75" thickBot="1" x14ac:dyDescent="0.25">
      <c r="A132" s="110">
        <v>45723</v>
      </c>
      <c r="B132" s="99" t="s">
        <v>253</v>
      </c>
      <c r="C132" s="100">
        <v>274347</v>
      </c>
      <c r="D132" s="99" t="s">
        <v>124</v>
      </c>
      <c r="E132" s="99" t="s">
        <v>130</v>
      </c>
    </row>
    <row r="133" spans="1:5" ht="15.75" thickBot="1" x14ac:dyDescent="0.25">
      <c r="A133" s="110">
        <v>45728</v>
      </c>
      <c r="B133" s="99" t="s">
        <v>259</v>
      </c>
      <c r="C133" s="100">
        <v>124630</v>
      </c>
      <c r="D133" s="99" t="s">
        <v>124</v>
      </c>
      <c r="E133" s="99" t="s">
        <v>260</v>
      </c>
    </row>
    <row r="134" spans="1:5" ht="15.75" thickBot="1" x14ac:dyDescent="0.25">
      <c r="A134" s="110">
        <v>45730</v>
      </c>
      <c r="B134" s="99" t="s">
        <v>261</v>
      </c>
      <c r="C134" s="100">
        <v>114739.8</v>
      </c>
      <c r="D134" s="99" t="s">
        <v>124</v>
      </c>
      <c r="E134" s="99" t="s">
        <v>129</v>
      </c>
    </row>
    <row r="135" spans="1:5" ht="15.75" thickBot="1" x14ac:dyDescent="0.3">
      <c r="A135" s="110">
        <v>45735</v>
      </c>
      <c r="B135" s="104" t="s">
        <v>262</v>
      </c>
      <c r="C135" s="100">
        <v>296036.36</v>
      </c>
      <c r="D135" s="99" t="s">
        <v>124</v>
      </c>
      <c r="E135" s="99" t="s">
        <v>164</v>
      </c>
    </row>
    <row r="136" spans="1:5" ht="15.75" thickBot="1" x14ac:dyDescent="0.25">
      <c r="A136" s="110">
        <v>45735</v>
      </c>
      <c r="B136" s="99" t="s">
        <v>263</v>
      </c>
      <c r="C136" s="100">
        <v>75020</v>
      </c>
      <c r="D136" s="99" t="s">
        <v>124</v>
      </c>
      <c r="E136" s="99" t="s">
        <v>264</v>
      </c>
    </row>
    <row r="137" spans="1:5" ht="15.75" thickBot="1" x14ac:dyDescent="0.3">
      <c r="A137" s="110">
        <v>45744</v>
      </c>
      <c r="B137" s="99" t="s">
        <v>268</v>
      </c>
      <c r="C137" s="100">
        <v>10895.44</v>
      </c>
      <c r="D137" s="104" t="s">
        <v>124</v>
      </c>
      <c r="E137" s="104" t="s">
        <v>194</v>
      </c>
    </row>
    <row r="138" spans="1:5" ht="15.75" thickBot="1" x14ac:dyDescent="0.3">
      <c r="A138" s="110">
        <v>45744</v>
      </c>
      <c r="B138" s="99" t="s">
        <v>269</v>
      </c>
      <c r="C138" s="100">
        <v>11660.46</v>
      </c>
      <c r="D138" s="104" t="s">
        <v>124</v>
      </c>
      <c r="E138" s="104" t="s">
        <v>194</v>
      </c>
    </row>
    <row r="139" spans="1:5" ht="15.75" thickBot="1" x14ac:dyDescent="0.3">
      <c r="A139" s="110">
        <v>45744</v>
      </c>
      <c r="B139" s="99" t="s">
        <v>270</v>
      </c>
      <c r="C139" s="100">
        <v>12162.18</v>
      </c>
      <c r="D139" s="104" t="s">
        <v>124</v>
      </c>
      <c r="E139" s="104" t="s">
        <v>194</v>
      </c>
    </row>
    <row r="140" spans="1:5" ht="15.75" thickBot="1" x14ac:dyDescent="0.3">
      <c r="A140" s="110">
        <v>45744</v>
      </c>
      <c r="B140" s="99" t="s">
        <v>271</v>
      </c>
      <c r="C140" s="100">
        <v>12945.35</v>
      </c>
      <c r="D140" s="104" t="s">
        <v>124</v>
      </c>
      <c r="E140" s="104" t="s">
        <v>194</v>
      </c>
    </row>
    <row r="141" spans="1:5" ht="15.75" thickBot="1" x14ac:dyDescent="0.25">
      <c r="A141" s="98">
        <v>45717</v>
      </c>
      <c r="B141" s="99" t="s">
        <v>157</v>
      </c>
      <c r="C141" s="100">
        <v>50000</v>
      </c>
      <c r="D141" s="99" t="s">
        <v>124</v>
      </c>
      <c r="E141" s="99" t="s">
        <v>195</v>
      </c>
    </row>
    <row r="142" spans="1:5" ht="15.75" thickBot="1" x14ac:dyDescent="0.25">
      <c r="A142" s="98">
        <v>45721</v>
      </c>
      <c r="B142" s="99" t="s">
        <v>278</v>
      </c>
      <c r="C142" s="100">
        <v>940000</v>
      </c>
      <c r="D142" s="99" t="s">
        <v>124</v>
      </c>
      <c r="E142" s="99" t="s">
        <v>130</v>
      </c>
    </row>
    <row r="143" spans="1:5" ht="15.75" thickBot="1" x14ac:dyDescent="0.25">
      <c r="A143" s="98">
        <v>45742</v>
      </c>
      <c r="B143" s="99" t="s">
        <v>157</v>
      </c>
      <c r="C143" s="100">
        <v>96000</v>
      </c>
      <c r="D143" s="99" t="s">
        <v>124</v>
      </c>
      <c r="E143" s="99" t="s">
        <v>195</v>
      </c>
    </row>
    <row r="144" spans="1:5" ht="15.75" thickBot="1" x14ac:dyDescent="0.25">
      <c r="A144" s="98">
        <v>45743</v>
      </c>
      <c r="B144" s="99" t="s">
        <v>283</v>
      </c>
      <c r="C144" s="100">
        <v>180000</v>
      </c>
      <c r="D144" s="99" t="s">
        <v>124</v>
      </c>
      <c r="E144" s="99" t="s">
        <v>285</v>
      </c>
    </row>
    <row r="145" spans="1:5" ht="16.5" customHeight="1" thickBot="1" x14ac:dyDescent="0.25">
      <c r="A145" s="114"/>
      <c r="B145" s="115" t="str">
        <f>+D144</f>
        <v>Local</v>
      </c>
      <c r="C145" s="116">
        <f>SUM(C127:C144)</f>
        <v>2523811.1799999997</v>
      </c>
      <c r="D145" s="114"/>
      <c r="E145" s="114"/>
    </row>
    <row r="146" spans="1:5" ht="15.75" thickBot="1" x14ac:dyDescent="0.25">
      <c r="A146" s="98">
        <v>45742</v>
      </c>
      <c r="B146" s="99" t="s">
        <v>280</v>
      </c>
      <c r="C146" s="100">
        <v>2000000</v>
      </c>
      <c r="D146" s="99" t="s">
        <v>287</v>
      </c>
      <c r="E146" s="99" t="s">
        <v>287</v>
      </c>
    </row>
    <row r="147" spans="1:5" ht="16.5" customHeight="1" thickBot="1" x14ac:dyDescent="0.25">
      <c r="A147" s="114"/>
      <c r="B147" s="115" t="str">
        <f>+D146</f>
        <v>Puesta en Marcha</v>
      </c>
      <c r="C147" s="116">
        <f>+C146</f>
        <v>2000000</v>
      </c>
      <c r="D147" s="114"/>
      <c r="E147" s="114"/>
    </row>
    <row r="148" spans="1:5" ht="13.5" thickBot="1" x14ac:dyDescent="0.25">
      <c r="A148" s="111">
        <v>45716</v>
      </c>
      <c r="B148" s="112" t="s">
        <v>191</v>
      </c>
      <c r="C148" s="113">
        <v>512457</v>
      </c>
      <c r="D148" s="112" t="s">
        <v>125</v>
      </c>
      <c r="E148" s="112" t="s">
        <v>125</v>
      </c>
    </row>
    <row r="149" spans="1:5" ht="13.5" thickBot="1" x14ac:dyDescent="0.25">
      <c r="A149" s="111">
        <v>45716</v>
      </c>
      <c r="B149" s="112" t="s">
        <v>192</v>
      </c>
      <c r="C149" s="113">
        <v>512457</v>
      </c>
      <c r="D149" s="112" t="s">
        <v>125</v>
      </c>
      <c r="E149" s="112" t="s">
        <v>125</v>
      </c>
    </row>
    <row r="150" spans="1:5" ht="13.5" thickBot="1" x14ac:dyDescent="0.25">
      <c r="A150" s="111">
        <v>45716</v>
      </c>
      <c r="B150" s="112" t="s">
        <v>193</v>
      </c>
      <c r="C150" s="113">
        <v>2341663</v>
      </c>
      <c r="D150" s="112" t="s">
        <v>125</v>
      </c>
      <c r="E150" s="112" t="s">
        <v>125</v>
      </c>
    </row>
    <row r="151" spans="1:5" ht="15.75" thickBot="1" x14ac:dyDescent="0.25">
      <c r="A151" s="98">
        <v>45748</v>
      </c>
      <c r="B151" s="99" t="s">
        <v>291</v>
      </c>
      <c r="C151" s="100">
        <v>250000</v>
      </c>
      <c r="D151" s="99" t="s">
        <v>125</v>
      </c>
      <c r="E151" s="99" t="s">
        <v>125</v>
      </c>
    </row>
    <row r="152" spans="1:5" ht="15.75" thickBot="1" x14ac:dyDescent="0.25">
      <c r="A152" s="98">
        <v>45748</v>
      </c>
      <c r="B152" s="99" t="s">
        <v>292</v>
      </c>
      <c r="C152" s="100">
        <v>200000</v>
      </c>
      <c r="D152" s="99" t="s">
        <v>125</v>
      </c>
      <c r="E152" s="99" t="s">
        <v>125</v>
      </c>
    </row>
    <row r="153" spans="1:5" ht="15.75" thickBot="1" x14ac:dyDescent="0.25">
      <c r="A153" s="98">
        <v>45750</v>
      </c>
      <c r="B153" s="99" t="s">
        <v>293</v>
      </c>
      <c r="C153" s="100">
        <v>1000000</v>
      </c>
      <c r="D153" s="99" t="s">
        <v>125</v>
      </c>
      <c r="E153" s="99" t="s">
        <v>125</v>
      </c>
    </row>
    <row r="154" spans="1:5" ht="16.5" customHeight="1" x14ac:dyDescent="0.2">
      <c r="A154" s="114"/>
      <c r="B154" s="115" t="str">
        <f>+D164</f>
        <v>Sueldos</v>
      </c>
      <c r="C154" s="116">
        <f>SUM(C148:C153)</f>
        <v>4816577</v>
      </c>
      <c r="D154" s="114"/>
      <c r="E154" s="114"/>
    </row>
    <row r="155" spans="1:5" ht="13.5" thickBot="1" x14ac:dyDescent="0.25"/>
    <row r="156" spans="1:5" ht="15.75" thickBot="1" x14ac:dyDescent="0.25">
      <c r="A156" s="110">
        <v>45741</v>
      </c>
      <c r="B156" s="99" t="s">
        <v>286</v>
      </c>
      <c r="C156" s="100">
        <v>544500</v>
      </c>
      <c r="D156" s="99" t="s">
        <v>266</v>
      </c>
      <c r="E156" s="99" t="s">
        <v>267</v>
      </c>
    </row>
    <row r="157" spans="1:5" ht="16.5" customHeight="1" x14ac:dyDescent="0.2">
      <c r="A157" s="114"/>
      <c r="B157" s="115" t="str">
        <f>+D156</f>
        <v>Inversión</v>
      </c>
      <c r="C157" s="116">
        <f>+C156</f>
        <v>544500</v>
      </c>
      <c r="D157" s="114"/>
      <c r="E157" s="114"/>
    </row>
    <row r="158" spans="1:5" ht="13.5" thickBot="1" x14ac:dyDescent="0.25"/>
    <row r="159" spans="1:5" ht="15.75" thickBot="1" x14ac:dyDescent="0.25">
      <c r="A159" s="101">
        <v>45721</v>
      </c>
      <c r="B159" s="102" t="s">
        <v>279</v>
      </c>
      <c r="C159" s="103"/>
      <c r="D159" s="102" t="s">
        <v>288</v>
      </c>
      <c r="E159" s="102" t="s">
        <v>288</v>
      </c>
    </row>
    <row r="161" spans="1:5" ht="13.5" thickBot="1" x14ac:dyDescent="0.25">
      <c r="A161" s="117" t="s">
        <v>289</v>
      </c>
    </row>
    <row r="162" spans="1:5" ht="15.75" thickBot="1" x14ac:dyDescent="0.3">
      <c r="A162" s="110">
        <v>45747</v>
      </c>
      <c r="B162" s="104" t="s">
        <v>274</v>
      </c>
      <c r="C162" s="100">
        <v>517599</v>
      </c>
      <c r="D162" s="104" t="s">
        <v>125</v>
      </c>
      <c r="E162" s="104" t="s">
        <v>125</v>
      </c>
    </row>
    <row r="163" spans="1:5" ht="15.75" thickBot="1" x14ac:dyDescent="0.3">
      <c r="A163" s="110">
        <v>45747</v>
      </c>
      <c r="B163" s="104" t="s">
        <v>275</v>
      </c>
      <c r="C163" s="100">
        <v>517599</v>
      </c>
      <c r="D163" s="104" t="s">
        <v>125</v>
      </c>
      <c r="E163" s="104" t="s">
        <v>125</v>
      </c>
    </row>
    <row r="164" spans="1:5" ht="15.75" thickBot="1" x14ac:dyDescent="0.3">
      <c r="A164" s="110">
        <v>45747</v>
      </c>
      <c r="B164" s="104" t="s">
        <v>276</v>
      </c>
      <c r="C164" s="100">
        <v>2341663</v>
      </c>
      <c r="D164" s="104" t="s">
        <v>125</v>
      </c>
      <c r="E164" s="104" t="s">
        <v>125</v>
      </c>
    </row>
  </sheetData>
  <autoFilter ref="A1:F1" xr:uid="{7D39FC09-67B1-4389-93ED-E9AE970AAC6E}"/>
  <sortState xmlns:xlrd2="http://schemas.microsoft.com/office/spreadsheetml/2017/richdata2" ref="A2:XFC159">
    <sortCondition ref="D2:D15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AC1016"/>
  <sheetViews>
    <sheetView topLeftCell="L12" zoomScale="90" zoomScaleNormal="90" workbookViewId="0">
      <selection activeCell="Y25" sqref="Y25"/>
    </sheetView>
  </sheetViews>
  <sheetFormatPr baseColWidth="10" defaultRowHeight="15" x14ac:dyDescent="0.25"/>
  <cols>
    <col min="3" max="3" width="25.140625" customWidth="1"/>
    <col min="4" max="4" width="31.5703125" customWidth="1"/>
    <col min="8" max="8" width="12.5703125" bestFit="1" customWidth="1"/>
    <col min="9" max="9" width="13.5703125" bestFit="1" customWidth="1"/>
    <col min="10" max="10" width="12.5703125" bestFit="1" customWidth="1"/>
    <col min="11" max="11" width="13.5703125" bestFit="1" customWidth="1"/>
    <col min="12" max="24" width="11.42578125" customWidth="1"/>
    <col min="25" max="25" width="14.42578125" customWidth="1"/>
  </cols>
  <sheetData>
    <row r="1" spans="1:29" ht="39.75" thickTop="1" thickBot="1" x14ac:dyDescent="0.3">
      <c r="A1" s="43" t="s">
        <v>170</v>
      </c>
      <c r="B1" s="44" t="s">
        <v>152</v>
      </c>
      <c r="C1" s="44" t="s">
        <v>171</v>
      </c>
      <c r="D1" s="44" t="s">
        <v>172</v>
      </c>
      <c r="E1" s="44" t="s">
        <v>134</v>
      </c>
      <c r="F1" s="44" t="s">
        <v>135</v>
      </c>
      <c r="G1" s="44" t="s">
        <v>136</v>
      </c>
      <c r="H1" s="44" t="s">
        <v>173</v>
      </c>
      <c r="I1" s="44" t="s">
        <v>174</v>
      </c>
      <c r="J1" s="44" t="s">
        <v>175</v>
      </c>
      <c r="K1" s="44" t="s">
        <v>176</v>
      </c>
      <c r="L1" s="44" t="s">
        <v>177</v>
      </c>
      <c r="M1" s="44" t="s">
        <v>137</v>
      </c>
      <c r="N1" s="44" t="s">
        <v>120</v>
      </c>
      <c r="O1" s="44" t="s">
        <v>178</v>
      </c>
      <c r="P1" s="44" t="s">
        <v>138</v>
      </c>
      <c r="Q1" s="44" t="s">
        <v>179</v>
      </c>
      <c r="R1" s="44" t="s">
        <v>180</v>
      </c>
      <c r="S1" s="44" t="s">
        <v>181</v>
      </c>
      <c r="T1" s="44" t="s">
        <v>182</v>
      </c>
      <c r="U1" s="45" t="s">
        <v>183</v>
      </c>
      <c r="V1" s="44" t="s">
        <v>184</v>
      </c>
      <c r="W1" s="44" t="s">
        <v>139</v>
      </c>
      <c r="X1" s="45" t="s">
        <v>140</v>
      </c>
      <c r="Y1" s="46" t="s">
        <v>141</v>
      </c>
      <c r="Z1" s="46" t="s">
        <v>198</v>
      </c>
      <c r="AA1" s="12"/>
      <c r="AB1" s="12"/>
      <c r="AC1" s="12"/>
    </row>
    <row r="2" spans="1:29" ht="26.25" thickBot="1" x14ac:dyDescent="0.3">
      <c r="A2" s="47" t="s">
        <v>119</v>
      </c>
      <c r="B2" s="48">
        <v>45729</v>
      </c>
      <c r="C2" s="49" t="s">
        <v>199</v>
      </c>
      <c r="D2" s="49" t="s">
        <v>145</v>
      </c>
      <c r="E2" s="49" t="s">
        <v>200</v>
      </c>
      <c r="F2" s="49" t="s">
        <v>143</v>
      </c>
      <c r="G2" s="50">
        <v>2</v>
      </c>
      <c r="H2" s="51">
        <v>4350000</v>
      </c>
      <c r="I2" s="52">
        <v>8700000</v>
      </c>
      <c r="J2" s="53">
        <v>0.05</v>
      </c>
      <c r="K2" s="54">
        <v>8265000</v>
      </c>
      <c r="L2" s="52">
        <v>4132500</v>
      </c>
      <c r="M2" s="55">
        <v>0.105</v>
      </c>
      <c r="N2" s="52">
        <v>433913</v>
      </c>
      <c r="O2" s="52">
        <v>4566413</v>
      </c>
      <c r="P2" s="54">
        <v>8698913</v>
      </c>
      <c r="Q2" s="52">
        <v>4566413</v>
      </c>
      <c r="R2" s="49"/>
      <c r="S2" s="52">
        <v>4132500</v>
      </c>
      <c r="T2" s="56">
        <v>8698913</v>
      </c>
      <c r="U2" s="57">
        <v>-1</v>
      </c>
      <c r="V2" s="49" t="s">
        <v>201</v>
      </c>
      <c r="W2" s="50" t="s">
        <v>202</v>
      </c>
      <c r="X2" s="58" t="s">
        <v>203</v>
      </c>
      <c r="Y2" s="59">
        <v>2143317</v>
      </c>
      <c r="Z2" s="59">
        <v>413250</v>
      </c>
      <c r="AA2" s="12"/>
      <c r="AB2" s="12"/>
      <c r="AC2" s="12"/>
    </row>
    <row r="3" spans="1:29" ht="26.25" thickBot="1" x14ac:dyDescent="0.3">
      <c r="A3" s="47" t="s">
        <v>119</v>
      </c>
      <c r="B3" s="48">
        <v>45736</v>
      </c>
      <c r="C3" s="49" t="s">
        <v>199</v>
      </c>
      <c r="D3" s="49" t="s">
        <v>204</v>
      </c>
      <c r="E3" s="49" t="s">
        <v>144</v>
      </c>
      <c r="F3" s="49" t="s">
        <v>144</v>
      </c>
      <c r="G3" s="50">
        <v>1</v>
      </c>
      <c r="H3" s="51">
        <v>80000</v>
      </c>
      <c r="I3" s="52">
        <v>80000</v>
      </c>
      <c r="J3" s="53">
        <v>0</v>
      </c>
      <c r="K3" s="54">
        <v>80000</v>
      </c>
      <c r="L3" s="52">
        <v>80000</v>
      </c>
      <c r="M3" s="55">
        <v>0.21</v>
      </c>
      <c r="N3" s="52">
        <v>16800</v>
      </c>
      <c r="O3" s="52">
        <v>96800</v>
      </c>
      <c r="P3" s="54">
        <v>96800</v>
      </c>
      <c r="Q3" s="49"/>
      <c r="R3" s="49"/>
      <c r="S3" s="52">
        <v>96800</v>
      </c>
      <c r="T3" s="56">
        <v>96800</v>
      </c>
      <c r="U3" s="57">
        <v>0</v>
      </c>
      <c r="V3" s="49" t="s">
        <v>205</v>
      </c>
      <c r="W3" s="50" t="s">
        <v>202</v>
      </c>
      <c r="X3" s="58" t="s">
        <v>186</v>
      </c>
      <c r="Y3" s="59">
        <v>45666</v>
      </c>
      <c r="Z3" s="58"/>
      <c r="AA3" s="12"/>
      <c r="AB3" s="12"/>
      <c r="AC3" s="12"/>
    </row>
    <row r="4" spans="1:29" ht="15.75" thickBot="1" x14ac:dyDescent="0.3">
      <c r="A4" s="135" t="s">
        <v>119</v>
      </c>
      <c r="B4" s="138">
        <v>45742</v>
      </c>
      <c r="C4" s="141" t="s">
        <v>206</v>
      </c>
      <c r="D4" s="49" t="s">
        <v>204</v>
      </c>
      <c r="E4" s="49" t="s">
        <v>144</v>
      </c>
      <c r="F4" s="49" t="s">
        <v>144</v>
      </c>
      <c r="G4" s="50">
        <v>1</v>
      </c>
      <c r="H4" s="51">
        <v>80000</v>
      </c>
      <c r="I4" s="52">
        <v>80000</v>
      </c>
      <c r="J4" s="53">
        <v>0</v>
      </c>
      <c r="K4" s="54">
        <v>80000</v>
      </c>
      <c r="L4" s="52">
        <v>80000</v>
      </c>
      <c r="M4" s="55">
        <v>0.21</v>
      </c>
      <c r="N4" s="52">
        <v>16800</v>
      </c>
      <c r="O4" s="52">
        <v>96800</v>
      </c>
      <c r="P4" s="144">
        <v>239580</v>
      </c>
      <c r="Q4" s="147">
        <v>239580</v>
      </c>
      <c r="R4" s="141"/>
      <c r="S4" s="141"/>
      <c r="T4" s="126">
        <v>239580</v>
      </c>
      <c r="U4" s="129">
        <v>0</v>
      </c>
      <c r="V4" s="132" t="s">
        <v>207</v>
      </c>
      <c r="W4" s="120" t="s">
        <v>208</v>
      </c>
      <c r="X4" s="123" t="s">
        <v>185</v>
      </c>
      <c r="Y4" s="59">
        <v>45666</v>
      </c>
      <c r="Z4" s="58"/>
      <c r="AA4" s="12"/>
      <c r="AB4" s="12"/>
      <c r="AC4" s="12"/>
    </row>
    <row r="5" spans="1:29" ht="15.75" thickBot="1" x14ac:dyDescent="0.3">
      <c r="A5" s="136"/>
      <c r="B5" s="139"/>
      <c r="C5" s="142"/>
      <c r="D5" s="49" t="s">
        <v>209</v>
      </c>
      <c r="E5" s="49" t="s">
        <v>144</v>
      </c>
      <c r="F5" s="49" t="s">
        <v>144</v>
      </c>
      <c r="G5" s="50">
        <v>1</v>
      </c>
      <c r="H5" s="51">
        <v>106000</v>
      </c>
      <c r="I5" s="52">
        <v>106000</v>
      </c>
      <c r="J5" s="53">
        <v>0</v>
      </c>
      <c r="K5" s="54">
        <v>106000</v>
      </c>
      <c r="L5" s="52">
        <v>106000</v>
      </c>
      <c r="M5" s="55">
        <v>0.21</v>
      </c>
      <c r="N5" s="52">
        <v>22260</v>
      </c>
      <c r="O5" s="52">
        <v>128260</v>
      </c>
      <c r="P5" s="145"/>
      <c r="Q5" s="148"/>
      <c r="R5" s="142"/>
      <c r="S5" s="142"/>
      <c r="T5" s="127"/>
      <c r="U5" s="130"/>
      <c r="V5" s="133"/>
      <c r="W5" s="121"/>
      <c r="X5" s="124"/>
      <c r="Y5" s="59">
        <v>106722</v>
      </c>
      <c r="Z5" s="58"/>
      <c r="AA5" s="12"/>
      <c r="AB5" s="12"/>
      <c r="AC5" s="12"/>
    </row>
    <row r="6" spans="1:29" ht="15.75" thickBot="1" x14ac:dyDescent="0.3">
      <c r="A6" s="137"/>
      <c r="B6" s="140"/>
      <c r="C6" s="143"/>
      <c r="D6" s="49" t="s">
        <v>210</v>
      </c>
      <c r="E6" s="49" t="s">
        <v>144</v>
      </c>
      <c r="F6" s="49" t="s">
        <v>144</v>
      </c>
      <c r="G6" s="50">
        <v>1</v>
      </c>
      <c r="H6" s="51">
        <v>12000</v>
      </c>
      <c r="I6" s="52">
        <v>12000</v>
      </c>
      <c r="J6" s="53">
        <v>0</v>
      </c>
      <c r="K6" s="54">
        <v>12000</v>
      </c>
      <c r="L6" s="52">
        <v>12000</v>
      </c>
      <c r="M6" s="55">
        <v>0.21</v>
      </c>
      <c r="N6" s="52">
        <v>2520</v>
      </c>
      <c r="O6" s="52">
        <v>14520</v>
      </c>
      <c r="P6" s="146"/>
      <c r="Q6" s="149"/>
      <c r="R6" s="143"/>
      <c r="S6" s="143"/>
      <c r="T6" s="128"/>
      <c r="U6" s="131"/>
      <c r="V6" s="134"/>
      <c r="W6" s="122"/>
      <c r="X6" s="125"/>
      <c r="Y6" s="59">
        <v>9917</v>
      </c>
      <c r="Z6" s="58"/>
      <c r="AA6" s="12"/>
      <c r="AB6" s="12"/>
      <c r="AC6" s="12"/>
    </row>
    <row r="7" spans="1:29" ht="26.25" thickBot="1" x14ac:dyDescent="0.3">
      <c r="A7" s="47" t="s">
        <v>119</v>
      </c>
      <c r="B7" s="48">
        <v>45744</v>
      </c>
      <c r="C7" s="49" t="s">
        <v>211</v>
      </c>
      <c r="D7" s="49" t="s">
        <v>212</v>
      </c>
      <c r="E7" s="49">
        <v>202410323</v>
      </c>
      <c r="F7" s="49" t="s">
        <v>143</v>
      </c>
      <c r="G7" s="50">
        <v>1</v>
      </c>
      <c r="H7" s="51">
        <v>1080000</v>
      </c>
      <c r="I7" s="52">
        <v>1080000</v>
      </c>
      <c r="J7" s="53">
        <v>0.05</v>
      </c>
      <c r="K7" s="54">
        <v>1026000</v>
      </c>
      <c r="L7" s="52">
        <v>513000</v>
      </c>
      <c r="M7" s="55">
        <v>0.21</v>
      </c>
      <c r="N7" s="52">
        <v>107730</v>
      </c>
      <c r="O7" s="52">
        <v>620730</v>
      </c>
      <c r="P7" s="54">
        <v>1133730</v>
      </c>
      <c r="Q7" s="49"/>
      <c r="R7" s="49"/>
      <c r="S7" s="52">
        <v>1133730</v>
      </c>
      <c r="T7" s="56">
        <v>1133730</v>
      </c>
      <c r="U7" s="57">
        <v>0</v>
      </c>
      <c r="V7" s="49" t="s">
        <v>213</v>
      </c>
      <c r="W7" s="50">
        <v>27044972935</v>
      </c>
      <c r="X7" s="58" t="s">
        <v>186</v>
      </c>
      <c r="Y7" s="59">
        <v>264354</v>
      </c>
      <c r="Z7" s="59">
        <v>51300</v>
      </c>
      <c r="AA7" s="12"/>
      <c r="AB7" s="12"/>
      <c r="AC7" s="12"/>
    </row>
    <row r="8" spans="1:29" ht="15.75" thickBot="1" x14ac:dyDescent="0.3">
      <c r="A8" s="47" t="s">
        <v>119</v>
      </c>
      <c r="B8" s="48">
        <v>45744</v>
      </c>
      <c r="C8" s="49" t="s">
        <v>214</v>
      </c>
      <c r="D8" s="49" t="s">
        <v>197</v>
      </c>
      <c r="E8" s="60"/>
      <c r="F8" s="60"/>
      <c r="G8" s="50">
        <v>1</v>
      </c>
      <c r="H8" s="51">
        <v>3125000</v>
      </c>
      <c r="I8" s="52">
        <v>3125000</v>
      </c>
      <c r="J8" s="53">
        <v>0</v>
      </c>
      <c r="K8" s="54">
        <v>3125000</v>
      </c>
      <c r="L8" s="52">
        <v>3125000</v>
      </c>
      <c r="M8" s="55">
        <v>0.21</v>
      </c>
      <c r="N8" s="52">
        <v>656250</v>
      </c>
      <c r="O8" s="52">
        <v>3781250</v>
      </c>
      <c r="P8" s="54">
        <v>3781250</v>
      </c>
      <c r="Q8" s="52">
        <v>3781250</v>
      </c>
      <c r="R8" s="49"/>
      <c r="S8" s="49"/>
      <c r="T8" s="56">
        <v>3781250</v>
      </c>
      <c r="U8" s="57">
        <v>0</v>
      </c>
      <c r="V8" s="60"/>
      <c r="W8" s="50">
        <v>20444128489</v>
      </c>
      <c r="X8" s="58" t="s">
        <v>185</v>
      </c>
      <c r="Y8" s="59">
        <v>766152</v>
      </c>
      <c r="Z8" s="59">
        <v>156250</v>
      </c>
      <c r="AA8" s="12"/>
      <c r="AB8" s="12"/>
      <c r="AC8" s="12"/>
    </row>
    <row r="9" spans="1:29" ht="26.25" thickBot="1" x14ac:dyDescent="0.3">
      <c r="A9" s="135" t="s">
        <v>119</v>
      </c>
      <c r="B9" s="138">
        <v>45745</v>
      </c>
      <c r="C9" s="141" t="s">
        <v>215</v>
      </c>
      <c r="D9" s="49" t="s">
        <v>118</v>
      </c>
      <c r="E9" s="49">
        <v>202410332</v>
      </c>
      <c r="F9" s="49" t="s">
        <v>143</v>
      </c>
      <c r="G9" s="50">
        <v>1</v>
      </c>
      <c r="H9" s="52">
        <v>2010000</v>
      </c>
      <c r="I9" s="52">
        <v>2010000</v>
      </c>
      <c r="J9" s="53">
        <v>0.1</v>
      </c>
      <c r="K9" s="54">
        <v>1809000</v>
      </c>
      <c r="L9" s="52">
        <v>904500</v>
      </c>
      <c r="M9" s="55">
        <v>0.21</v>
      </c>
      <c r="N9" s="52">
        <v>189945</v>
      </c>
      <c r="O9" s="52">
        <v>1094445</v>
      </c>
      <c r="P9" s="144">
        <v>2229072</v>
      </c>
      <c r="Q9" s="141"/>
      <c r="R9" s="141"/>
      <c r="S9" s="147">
        <v>2228200</v>
      </c>
      <c r="T9" s="126">
        <v>2228200</v>
      </c>
      <c r="U9" s="129">
        <v>872</v>
      </c>
      <c r="V9" s="132" t="s">
        <v>216</v>
      </c>
      <c r="W9" s="120" t="s">
        <v>217</v>
      </c>
      <c r="X9" s="123" t="s">
        <v>186</v>
      </c>
      <c r="Y9" s="59">
        <v>492296</v>
      </c>
      <c r="Z9" s="59">
        <v>90450</v>
      </c>
      <c r="AA9" s="12"/>
      <c r="AB9" s="12"/>
      <c r="AC9" s="12"/>
    </row>
    <row r="10" spans="1:29" ht="15.75" thickBot="1" x14ac:dyDescent="0.3">
      <c r="A10" s="136"/>
      <c r="B10" s="139"/>
      <c r="C10" s="142"/>
      <c r="D10" s="49" t="s">
        <v>218</v>
      </c>
      <c r="E10" s="49" t="s">
        <v>144</v>
      </c>
      <c r="F10" s="49" t="s">
        <v>144</v>
      </c>
      <c r="G10" s="50">
        <v>1</v>
      </c>
      <c r="H10" s="52">
        <v>91000</v>
      </c>
      <c r="I10" s="52">
        <v>91000</v>
      </c>
      <c r="J10" s="53">
        <v>0.1</v>
      </c>
      <c r="K10" s="54">
        <v>81900</v>
      </c>
      <c r="L10" s="52">
        <v>40950</v>
      </c>
      <c r="M10" s="55">
        <v>0.21</v>
      </c>
      <c r="N10" s="52">
        <v>8600</v>
      </c>
      <c r="O10" s="52">
        <v>49550</v>
      </c>
      <c r="P10" s="145"/>
      <c r="Q10" s="142"/>
      <c r="R10" s="142"/>
      <c r="S10" s="148"/>
      <c r="T10" s="127"/>
      <c r="U10" s="130"/>
      <c r="V10" s="133"/>
      <c r="W10" s="121"/>
      <c r="X10" s="124"/>
      <c r="Y10" s="59">
        <v>30645</v>
      </c>
      <c r="Z10" s="59">
        <v>4095</v>
      </c>
      <c r="AA10" s="12"/>
      <c r="AB10" s="12"/>
      <c r="AC10" s="12"/>
    </row>
    <row r="11" spans="1:29" ht="15.75" thickBot="1" x14ac:dyDescent="0.3">
      <c r="A11" s="136"/>
      <c r="B11" s="139"/>
      <c r="C11" s="142"/>
      <c r="D11" s="49" t="s">
        <v>219</v>
      </c>
      <c r="E11" s="49" t="s">
        <v>144</v>
      </c>
      <c r="F11" s="49" t="s">
        <v>144</v>
      </c>
      <c r="G11" s="50">
        <v>1</v>
      </c>
      <c r="H11" s="52">
        <v>85400</v>
      </c>
      <c r="I11" s="52">
        <v>85400</v>
      </c>
      <c r="J11" s="53">
        <v>0.1</v>
      </c>
      <c r="K11" s="54">
        <v>76860</v>
      </c>
      <c r="L11" s="52">
        <v>38430</v>
      </c>
      <c r="M11" s="55">
        <v>0.21</v>
      </c>
      <c r="N11" s="52">
        <v>8070</v>
      </c>
      <c r="O11" s="52">
        <v>46500</v>
      </c>
      <c r="P11" s="145"/>
      <c r="Q11" s="142"/>
      <c r="R11" s="142"/>
      <c r="S11" s="148"/>
      <c r="T11" s="127"/>
      <c r="U11" s="130"/>
      <c r="V11" s="133"/>
      <c r="W11" s="121"/>
      <c r="X11" s="124"/>
      <c r="Y11" s="59">
        <v>22160</v>
      </c>
      <c r="Z11" s="59">
        <v>3843</v>
      </c>
      <c r="AA11" s="12"/>
      <c r="AB11" s="12"/>
      <c r="AC11" s="12"/>
    </row>
    <row r="12" spans="1:29" ht="15.75" thickBot="1" x14ac:dyDescent="0.3">
      <c r="A12" s="137"/>
      <c r="B12" s="140"/>
      <c r="C12" s="143"/>
      <c r="D12" s="49" t="s">
        <v>220</v>
      </c>
      <c r="E12" s="49" t="s">
        <v>144</v>
      </c>
      <c r="F12" s="49" t="s">
        <v>144</v>
      </c>
      <c r="G12" s="50">
        <v>1</v>
      </c>
      <c r="H12" s="52">
        <v>55000</v>
      </c>
      <c r="I12" s="52">
        <v>55000</v>
      </c>
      <c r="J12" s="53">
        <v>0.1</v>
      </c>
      <c r="K12" s="54">
        <v>49500</v>
      </c>
      <c r="L12" s="52">
        <v>24750</v>
      </c>
      <c r="M12" s="55">
        <v>0.21</v>
      </c>
      <c r="N12" s="52">
        <v>5198</v>
      </c>
      <c r="O12" s="52">
        <v>29948</v>
      </c>
      <c r="P12" s="146"/>
      <c r="Q12" s="143"/>
      <c r="R12" s="143"/>
      <c r="S12" s="149"/>
      <c r="T12" s="128"/>
      <c r="U12" s="131"/>
      <c r="V12" s="134"/>
      <c r="W12" s="122"/>
      <c r="X12" s="125"/>
      <c r="Y12" s="61"/>
      <c r="Z12" s="59">
        <v>2475</v>
      </c>
      <c r="AA12" s="12"/>
      <c r="AB12" s="12"/>
      <c r="AC12" s="12"/>
    </row>
    <row r="13" spans="1:29" ht="26.25" thickBot="1" x14ac:dyDescent="0.3">
      <c r="A13" s="62" t="s">
        <v>119</v>
      </c>
      <c r="B13" s="63">
        <v>45745</v>
      </c>
      <c r="C13" s="64" t="s">
        <v>221</v>
      </c>
      <c r="D13" s="64" t="s">
        <v>204</v>
      </c>
      <c r="E13" s="64" t="s">
        <v>144</v>
      </c>
      <c r="F13" s="64" t="s">
        <v>144</v>
      </c>
      <c r="G13" s="65">
        <v>1</v>
      </c>
      <c r="H13" s="66">
        <v>80000</v>
      </c>
      <c r="I13" s="67">
        <v>80000</v>
      </c>
      <c r="J13" s="68">
        <v>0</v>
      </c>
      <c r="K13" s="69">
        <v>80000</v>
      </c>
      <c r="L13" s="67">
        <v>80000</v>
      </c>
      <c r="M13" s="70">
        <v>0.21</v>
      </c>
      <c r="N13" s="67">
        <v>16800</v>
      </c>
      <c r="O13" s="67">
        <v>96800</v>
      </c>
      <c r="P13" s="69">
        <v>96800</v>
      </c>
      <c r="Q13" s="64"/>
      <c r="R13" s="67">
        <v>96800</v>
      </c>
      <c r="S13" s="64"/>
      <c r="T13" s="71">
        <v>96800</v>
      </c>
      <c r="U13" s="72">
        <v>0</v>
      </c>
      <c r="V13" s="64" t="s">
        <v>222</v>
      </c>
      <c r="W13" s="65">
        <v>20321870253</v>
      </c>
      <c r="X13" s="73" t="s">
        <v>180</v>
      </c>
      <c r="Y13" s="74">
        <v>45666</v>
      </c>
      <c r="Z13" s="75" t="s">
        <v>223</v>
      </c>
      <c r="AA13" s="76">
        <v>721663</v>
      </c>
      <c r="AB13" s="77">
        <v>14791260</v>
      </c>
      <c r="AC13" s="12"/>
    </row>
    <row r="14" spans="1:29" ht="76.5" thickTop="1" thickBot="1" x14ac:dyDescent="0.3">
      <c r="A14" s="78" t="s">
        <v>142</v>
      </c>
      <c r="B14" s="48">
        <v>45737</v>
      </c>
      <c r="C14" s="79" t="s">
        <v>224</v>
      </c>
      <c r="D14" s="80" t="s">
        <v>225</v>
      </c>
      <c r="E14" s="80" t="s">
        <v>226</v>
      </c>
      <c r="F14" s="80" t="s">
        <v>146</v>
      </c>
      <c r="G14" s="81">
        <v>1</v>
      </c>
      <c r="H14" s="82">
        <v>6999999</v>
      </c>
      <c r="I14" s="82">
        <v>6999999</v>
      </c>
      <c r="J14" s="83">
        <v>0</v>
      </c>
      <c r="K14" s="84">
        <v>6999999</v>
      </c>
      <c r="L14" s="82">
        <v>6998174</v>
      </c>
      <c r="M14" s="85">
        <v>0.21</v>
      </c>
      <c r="N14" s="82">
        <v>1469616</v>
      </c>
      <c r="O14" s="82">
        <v>8467790</v>
      </c>
      <c r="P14" s="84">
        <v>8467790</v>
      </c>
      <c r="Q14" s="82">
        <v>8467790</v>
      </c>
      <c r="R14" s="49"/>
      <c r="S14" s="49"/>
      <c r="T14" s="86">
        <v>8467790</v>
      </c>
      <c r="U14" s="87">
        <v>0</v>
      </c>
      <c r="V14" s="80" t="s">
        <v>227</v>
      </c>
      <c r="W14" s="50" t="s">
        <v>228</v>
      </c>
      <c r="X14" s="88" t="s">
        <v>185</v>
      </c>
      <c r="Y14" s="59">
        <v>3240685</v>
      </c>
      <c r="Z14" s="59">
        <v>350000</v>
      </c>
      <c r="AA14" s="12"/>
      <c r="AB14" s="12"/>
      <c r="AC14" s="12"/>
    </row>
    <row r="15" spans="1:29" ht="15.75" customHeight="1" thickBot="1" x14ac:dyDescent="0.3">
      <c r="A15" s="135" t="s">
        <v>142</v>
      </c>
      <c r="B15" s="138">
        <v>45737</v>
      </c>
      <c r="C15" s="141" t="s">
        <v>229</v>
      </c>
      <c r="D15" s="49" t="s">
        <v>118</v>
      </c>
      <c r="E15" s="49">
        <v>202410340</v>
      </c>
      <c r="F15" s="49" t="s">
        <v>143</v>
      </c>
      <c r="G15" s="50">
        <v>1</v>
      </c>
      <c r="H15" s="51">
        <v>2010000</v>
      </c>
      <c r="I15" s="52">
        <v>2010000</v>
      </c>
      <c r="J15" s="53">
        <v>0.1</v>
      </c>
      <c r="K15" s="54">
        <v>1809000</v>
      </c>
      <c r="L15" s="52">
        <v>1809000</v>
      </c>
      <c r="M15" s="55">
        <v>0.21</v>
      </c>
      <c r="N15" s="52">
        <v>379890</v>
      </c>
      <c r="O15" s="52">
        <v>2188890</v>
      </c>
      <c r="P15" s="144">
        <v>2440885</v>
      </c>
      <c r="Q15" s="147">
        <v>2440885</v>
      </c>
      <c r="R15" s="141"/>
      <c r="S15" s="141"/>
      <c r="T15" s="126">
        <v>2440885</v>
      </c>
      <c r="U15" s="129">
        <v>0</v>
      </c>
      <c r="V15" s="132" t="s">
        <v>230</v>
      </c>
      <c r="W15" s="120" t="s">
        <v>231</v>
      </c>
      <c r="X15" s="123" t="s">
        <v>185</v>
      </c>
      <c r="Y15" s="59">
        <v>492296</v>
      </c>
      <c r="Z15" s="59">
        <v>90450</v>
      </c>
      <c r="AA15" s="12"/>
      <c r="AB15" s="12"/>
      <c r="AC15" s="12"/>
    </row>
    <row r="16" spans="1:29" ht="15.75" thickBot="1" x14ac:dyDescent="0.3">
      <c r="A16" s="136"/>
      <c r="B16" s="139"/>
      <c r="C16" s="142"/>
      <c r="D16" s="49" t="s">
        <v>218</v>
      </c>
      <c r="E16" s="49" t="s">
        <v>144</v>
      </c>
      <c r="F16" s="49" t="s">
        <v>144</v>
      </c>
      <c r="G16" s="50">
        <v>1</v>
      </c>
      <c r="H16" s="51">
        <v>91000</v>
      </c>
      <c r="I16" s="52">
        <v>91000</v>
      </c>
      <c r="J16" s="53">
        <v>0.1</v>
      </c>
      <c r="K16" s="54">
        <v>81900</v>
      </c>
      <c r="L16" s="52">
        <v>81900</v>
      </c>
      <c r="M16" s="55">
        <v>0.21</v>
      </c>
      <c r="N16" s="52">
        <v>17199</v>
      </c>
      <c r="O16" s="52">
        <v>99099</v>
      </c>
      <c r="P16" s="145"/>
      <c r="Q16" s="148"/>
      <c r="R16" s="142"/>
      <c r="S16" s="142"/>
      <c r="T16" s="127"/>
      <c r="U16" s="130"/>
      <c r="V16" s="133"/>
      <c r="W16" s="121"/>
      <c r="X16" s="124"/>
      <c r="Y16" s="59">
        <v>30645</v>
      </c>
      <c r="Z16" s="59">
        <v>4095</v>
      </c>
      <c r="AA16" s="12"/>
      <c r="AB16" s="12"/>
      <c r="AC16" s="12"/>
    </row>
    <row r="17" spans="1:29" ht="15.75" thickBot="1" x14ac:dyDescent="0.3">
      <c r="A17" s="136"/>
      <c r="B17" s="139"/>
      <c r="C17" s="142"/>
      <c r="D17" s="49" t="s">
        <v>219</v>
      </c>
      <c r="E17" s="49" t="s">
        <v>144</v>
      </c>
      <c r="F17" s="49" t="s">
        <v>144</v>
      </c>
      <c r="G17" s="50">
        <v>1</v>
      </c>
      <c r="H17" s="51">
        <v>85400</v>
      </c>
      <c r="I17" s="52">
        <v>85400</v>
      </c>
      <c r="J17" s="53">
        <v>0.1</v>
      </c>
      <c r="K17" s="54">
        <v>76860</v>
      </c>
      <c r="L17" s="52">
        <v>76860</v>
      </c>
      <c r="M17" s="55">
        <v>0.21</v>
      </c>
      <c r="N17" s="52">
        <v>16141</v>
      </c>
      <c r="O17" s="52">
        <v>93001</v>
      </c>
      <c r="P17" s="145"/>
      <c r="Q17" s="148"/>
      <c r="R17" s="142"/>
      <c r="S17" s="142"/>
      <c r="T17" s="127"/>
      <c r="U17" s="130"/>
      <c r="V17" s="133"/>
      <c r="W17" s="121"/>
      <c r="X17" s="124"/>
      <c r="Y17" s="59">
        <v>22160</v>
      </c>
      <c r="Z17" s="59">
        <v>3843</v>
      </c>
      <c r="AA17" s="12"/>
      <c r="AB17" s="12"/>
      <c r="AC17" s="12"/>
    </row>
    <row r="18" spans="1:29" ht="26.25" customHeight="1" thickBot="1" x14ac:dyDescent="0.3">
      <c r="A18" s="137"/>
      <c r="B18" s="140"/>
      <c r="C18" s="143"/>
      <c r="D18" s="49" t="s">
        <v>220</v>
      </c>
      <c r="E18" s="49" t="s">
        <v>144</v>
      </c>
      <c r="F18" s="49" t="s">
        <v>144</v>
      </c>
      <c r="G18" s="50">
        <v>1</v>
      </c>
      <c r="H18" s="51">
        <v>55000</v>
      </c>
      <c r="I18" s="52">
        <v>55000</v>
      </c>
      <c r="J18" s="53">
        <v>0.1</v>
      </c>
      <c r="K18" s="54">
        <v>49500</v>
      </c>
      <c r="L18" s="52">
        <v>49500</v>
      </c>
      <c r="M18" s="55">
        <v>0.21</v>
      </c>
      <c r="N18" s="52">
        <v>10395</v>
      </c>
      <c r="O18" s="52">
        <v>59895</v>
      </c>
      <c r="P18" s="146"/>
      <c r="Q18" s="149"/>
      <c r="R18" s="143"/>
      <c r="S18" s="143"/>
      <c r="T18" s="128"/>
      <c r="U18" s="131"/>
      <c r="V18" s="134"/>
      <c r="W18" s="122"/>
      <c r="X18" s="125"/>
      <c r="Y18" s="61"/>
      <c r="Z18" s="89">
        <v>2475</v>
      </c>
      <c r="AA18" s="12"/>
      <c r="AB18" s="12"/>
      <c r="AC18" s="12"/>
    </row>
    <row r="19" spans="1:29" ht="26.25" thickBot="1" x14ac:dyDescent="0.3">
      <c r="A19" s="135" t="s">
        <v>142</v>
      </c>
      <c r="B19" s="138">
        <v>45738</v>
      </c>
      <c r="C19" s="141" t="s">
        <v>232</v>
      </c>
      <c r="D19" s="49" t="s">
        <v>145</v>
      </c>
      <c r="E19" s="49">
        <v>24146016</v>
      </c>
      <c r="F19" s="49" t="s">
        <v>143</v>
      </c>
      <c r="G19" s="50">
        <v>1</v>
      </c>
      <c r="H19" s="51">
        <v>4350000</v>
      </c>
      <c r="I19" s="52">
        <v>4350000</v>
      </c>
      <c r="J19" s="53">
        <v>0</v>
      </c>
      <c r="K19" s="54">
        <v>4350000</v>
      </c>
      <c r="L19" s="52">
        <v>4350000</v>
      </c>
      <c r="M19" s="55">
        <v>0.105</v>
      </c>
      <c r="N19" s="52">
        <v>456750</v>
      </c>
      <c r="O19" s="52">
        <v>4806750</v>
      </c>
      <c r="P19" s="144">
        <v>5013660</v>
      </c>
      <c r="Q19" s="141"/>
      <c r="R19" s="147">
        <v>5013660</v>
      </c>
      <c r="S19" s="141"/>
      <c r="T19" s="126">
        <v>5013660</v>
      </c>
      <c r="U19" s="129">
        <v>0</v>
      </c>
      <c r="V19" s="132" t="s">
        <v>233</v>
      </c>
      <c r="W19" s="120">
        <v>20338132930</v>
      </c>
      <c r="X19" s="123" t="s">
        <v>234</v>
      </c>
      <c r="Y19" s="59">
        <v>1071659</v>
      </c>
      <c r="Z19" s="59">
        <v>217500</v>
      </c>
      <c r="AA19" s="12"/>
      <c r="AB19" s="12"/>
      <c r="AC19" s="12"/>
    </row>
    <row r="20" spans="1:29" ht="15.75" thickBot="1" x14ac:dyDescent="0.3">
      <c r="A20" s="136"/>
      <c r="B20" s="139"/>
      <c r="C20" s="142"/>
      <c r="D20" s="49" t="s">
        <v>218</v>
      </c>
      <c r="E20" s="49" t="s">
        <v>144</v>
      </c>
      <c r="F20" s="49" t="s">
        <v>144</v>
      </c>
      <c r="G20" s="50">
        <v>1</v>
      </c>
      <c r="H20" s="51">
        <v>91000</v>
      </c>
      <c r="I20" s="52">
        <v>91000</v>
      </c>
      <c r="J20" s="53">
        <v>0</v>
      </c>
      <c r="K20" s="54">
        <v>91000</v>
      </c>
      <c r="L20" s="52">
        <v>91000</v>
      </c>
      <c r="M20" s="55">
        <v>0.21</v>
      </c>
      <c r="N20" s="52">
        <v>19110</v>
      </c>
      <c r="O20" s="52">
        <v>110110</v>
      </c>
      <c r="P20" s="145"/>
      <c r="Q20" s="142"/>
      <c r="R20" s="148"/>
      <c r="S20" s="142"/>
      <c r="T20" s="127"/>
      <c r="U20" s="130"/>
      <c r="V20" s="133"/>
      <c r="W20" s="121"/>
      <c r="X20" s="124"/>
      <c r="Y20" s="59">
        <v>30645</v>
      </c>
      <c r="Z20" s="59">
        <v>4550</v>
      </c>
      <c r="AA20" s="12"/>
      <c r="AB20" s="12"/>
      <c r="AC20" s="12"/>
    </row>
    <row r="21" spans="1:29" ht="15.75" thickBot="1" x14ac:dyDescent="0.3">
      <c r="A21" s="150"/>
      <c r="B21" s="151"/>
      <c r="C21" s="152"/>
      <c r="D21" s="64" t="s">
        <v>204</v>
      </c>
      <c r="E21" s="64" t="s">
        <v>144</v>
      </c>
      <c r="F21" s="64" t="s">
        <v>144</v>
      </c>
      <c r="G21" s="65">
        <v>1</v>
      </c>
      <c r="H21" s="66">
        <v>80000</v>
      </c>
      <c r="I21" s="67">
        <v>80000</v>
      </c>
      <c r="J21" s="68">
        <v>0</v>
      </c>
      <c r="K21" s="69">
        <v>80000</v>
      </c>
      <c r="L21" s="67">
        <v>80000</v>
      </c>
      <c r="M21" s="70">
        <v>0.21</v>
      </c>
      <c r="N21" s="67">
        <v>16800</v>
      </c>
      <c r="O21" s="67">
        <v>96800</v>
      </c>
      <c r="P21" s="153"/>
      <c r="Q21" s="152"/>
      <c r="R21" s="156"/>
      <c r="S21" s="152"/>
      <c r="T21" s="157"/>
      <c r="U21" s="158"/>
      <c r="V21" s="159"/>
      <c r="W21" s="154"/>
      <c r="X21" s="155"/>
      <c r="Y21" s="74">
        <v>45666</v>
      </c>
      <c r="Z21" s="75" t="s">
        <v>223</v>
      </c>
      <c r="AA21" s="76">
        <v>672913</v>
      </c>
      <c r="AB21" s="77">
        <v>13538259</v>
      </c>
      <c r="AC21" s="12"/>
    </row>
    <row r="22" spans="1:29" ht="27" thickTop="1" thickBot="1" x14ac:dyDescent="0.3">
      <c r="A22" s="62" t="s">
        <v>117</v>
      </c>
      <c r="B22" s="63">
        <v>45733</v>
      </c>
      <c r="C22" s="64" t="s">
        <v>235</v>
      </c>
      <c r="D22" s="64" t="s">
        <v>212</v>
      </c>
      <c r="E22" s="64">
        <v>202410316</v>
      </c>
      <c r="F22" s="64" t="s">
        <v>143</v>
      </c>
      <c r="G22" s="65">
        <v>1</v>
      </c>
      <c r="H22" s="66">
        <v>1080000</v>
      </c>
      <c r="I22" s="67">
        <v>1080000</v>
      </c>
      <c r="J22" s="68">
        <v>0.05</v>
      </c>
      <c r="K22" s="69">
        <v>1026000</v>
      </c>
      <c r="L22" s="67">
        <v>1026000</v>
      </c>
      <c r="M22" s="70">
        <v>0.21</v>
      </c>
      <c r="N22" s="67">
        <v>215460</v>
      </c>
      <c r="O22" s="67">
        <v>1241460</v>
      </c>
      <c r="P22" s="69">
        <v>1241460</v>
      </c>
      <c r="Q22" s="66">
        <v>1241460</v>
      </c>
      <c r="R22" s="64"/>
      <c r="S22" s="64"/>
      <c r="T22" s="71">
        <v>1241460</v>
      </c>
      <c r="U22" s="72">
        <v>0</v>
      </c>
      <c r="V22" s="64" t="s">
        <v>233</v>
      </c>
      <c r="W22" s="65" t="s">
        <v>236</v>
      </c>
      <c r="X22" s="73" t="s">
        <v>185</v>
      </c>
      <c r="Y22" s="74">
        <v>264354</v>
      </c>
      <c r="Z22" s="73"/>
      <c r="AA22" s="12"/>
      <c r="AB22" s="12"/>
      <c r="AC22" s="12"/>
    </row>
    <row r="23" spans="1:29" ht="27" thickTop="1" thickBot="1" x14ac:dyDescent="0.3">
      <c r="A23" s="62" t="s">
        <v>237</v>
      </c>
      <c r="B23" s="63">
        <v>45735</v>
      </c>
      <c r="C23" s="64" t="s">
        <v>238</v>
      </c>
      <c r="D23" s="64" t="s">
        <v>212</v>
      </c>
      <c r="E23" s="64">
        <v>202410302</v>
      </c>
      <c r="F23" s="64" t="s">
        <v>143</v>
      </c>
      <c r="G23" s="65">
        <v>1</v>
      </c>
      <c r="H23" s="66">
        <v>1080000</v>
      </c>
      <c r="I23" s="67">
        <v>1080000</v>
      </c>
      <c r="J23" s="68">
        <v>0</v>
      </c>
      <c r="K23" s="69">
        <v>1080000</v>
      </c>
      <c r="L23" s="67">
        <v>1080000</v>
      </c>
      <c r="M23" s="70">
        <v>0.21</v>
      </c>
      <c r="N23" s="67">
        <v>226800</v>
      </c>
      <c r="O23" s="67">
        <v>1306800</v>
      </c>
      <c r="P23" s="69">
        <v>1306800</v>
      </c>
      <c r="Q23" s="64"/>
      <c r="R23" s="66">
        <v>1306800</v>
      </c>
      <c r="S23" s="64"/>
      <c r="T23" s="71">
        <v>1306800</v>
      </c>
      <c r="U23" s="72">
        <v>0</v>
      </c>
      <c r="V23" s="64" t="s">
        <v>239</v>
      </c>
      <c r="W23" s="65">
        <v>30182919</v>
      </c>
      <c r="X23" s="73" t="s">
        <v>180</v>
      </c>
      <c r="Y23" s="59">
        <v>264354</v>
      </c>
      <c r="Z23" s="58"/>
      <c r="AA23" s="12"/>
      <c r="AB23" s="12"/>
      <c r="AC23" s="12"/>
    </row>
    <row r="24" spans="1:29" ht="16.5" thickTop="1" thickBot="1" x14ac:dyDescent="0.3">
      <c r="A24" s="92"/>
      <c r="B24" s="93"/>
      <c r="C24" s="93"/>
      <c r="D24" s="93"/>
      <c r="E24" s="93"/>
      <c r="F24" s="93"/>
      <c r="G24" s="93"/>
      <c r="H24" s="93"/>
      <c r="I24" s="94">
        <f>SUM(I2:I23)</f>
        <v>31426799</v>
      </c>
      <c r="J24" s="94">
        <f>+I24-K24</f>
        <v>991280</v>
      </c>
      <c r="K24" s="94">
        <f>SUM(K2:K23)</f>
        <v>30435519</v>
      </c>
      <c r="L24" s="94">
        <v>24779564</v>
      </c>
      <c r="M24" s="93"/>
      <c r="N24" s="94">
        <v>4313046</v>
      </c>
      <c r="O24" s="94">
        <v>29092609</v>
      </c>
      <c r="P24" s="94">
        <v>34746739</v>
      </c>
      <c r="Q24" s="93"/>
      <c r="R24" s="93"/>
      <c r="S24" s="93"/>
      <c r="T24" s="94">
        <v>34745868</v>
      </c>
      <c r="U24" s="95">
        <v>871</v>
      </c>
      <c r="V24" s="93"/>
      <c r="W24" s="93"/>
      <c r="X24" s="96"/>
      <c r="Y24" s="97">
        <f>SUM(Y2:Y23)</f>
        <v>9435025</v>
      </c>
      <c r="Z24" s="96"/>
      <c r="AA24" s="90"/>
      <c r="AB24" s="90"/>
      <c r="AC24" s="90"/>
    </row>
    <row r="25" spans="1:29" ht="16.5" thickTop="1" thickBo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91">
        <v>0.31</v>
      </c>
      <c r="Z25" s="12"/>
      <c r="AA25" s="12"/>
      <c r="AB25" s="12"/>
      <c r="AC25" s="12"/>
    </row>
    <row r="26" spans="1:29" ht="15.75" thickBo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38" t="s">
        <v>187</v>
      </c>
      <c r="V26" s="12"/>
      <c r="W26" s="37">
        <v>1070</v>
      </c>
      <c r="X26" s="12"/>
      <c r="Y26" s="12"/>
      <c r="Z26" s="12"/>
      <c r="AA26" s="12"/>
      <c r="AB26" s="12"/>
      <c r="AC26" s="12"/>
    </row>
    <row r="27" spans="1:29" ht="15.75" thickBo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15.75" thickBo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15.75" thickBo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15.75" thickBo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15.75" thickBo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15.75" thickBo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5.75" thickBo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5.75" thickBo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5.75" thickBo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5.75" thickBo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5.75" thickBo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5.75" thickBo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5.75" thickBo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5.75" thickBo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5.75" thickBo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5.75" thickBo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5.75" thickBo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5.75" thickBo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5.75" thickBo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5.75" thickBo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5.75" thickBo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5.75" thickBo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5.75" thickBo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5.75" thickBo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5.75" thickBo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5.75" thickBo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5.75" thickBo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5.75" thickBo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5.75" thickBo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5.75" thickBo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5.75" thickBo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5.75" thickBo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5.75" thickBo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5.75" thickBo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5.75" thickBo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5.75" thickBo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5.75" thickBo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5.75" thickBo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5.75" thickBo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5.75" thickBo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5.75" thickBo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5.75" thickBo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5.75" thickBo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5.75" thickBo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5.75" thickBo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5.75" thickBo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5.75" thickBo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5.75" thickBo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5.75" thickBo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5.75" thickBo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5.75" thickBo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5.75" thickBo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5.75" thickBo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5.75" thickBo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5.75" thickBo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5.75" thickBo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15.75" thickBo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5.75" thickBo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5.75" thickBo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5.75" thickBo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5.75" thickBo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5.75" thickBo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5.75" thickBo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5.75" thickBo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5.75" thickBo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5.75" thickBo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5.75" thickBo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5.75" thickBo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5.75" thickBo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5.75" thickBo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5.75" thickBo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5.75" thickBo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5.75" thickBo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5.75" thickBo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5.75" thickBo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5.75" thickBo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5.75" thickBo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5.75" thickBo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5.75" thickBo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5.75" thickBo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15.75" thickBo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15.75" thickBo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 spans="1:29" ht="15.75" thickBot="1" x14ac:dyDescent="0.3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 spans="1:29" ht="15.75" thickBot="1" x14ac:dyDescent="0.3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  <row r="1003" spans="1:29" ht="15.75" thickBot="1" x14ac:dyDescent="0.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</row>
    <row r="1004" spans="1:29" ht="15.75" thickBot="1" x14ac:dyDescent="0.3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</row>
    <row r="1005" spans="1:29" ht="15.75" thickBot="1" x14ac:dyDescent="0.3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</row>
    <row r="1006" spans="1:29" ht="15.75" thickBot="1" x14ac:dyDescent="0.3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</row>
    <row r="1007" spans="1:29" ht="15.75" thickBot="1" x14ac:dyDescent="0.3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</row>
    <row r="1008" spans="1:29" ht="15.75" thickBot="1" x14ac:dyDescent="0.3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</row>
    <row r="1009" spans="1:29" ht="15.75" thickBot="1" x14ac:dyDescent="0.3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</row>
    <row r="1010" spans="1:29" ht="15.75" thickBot="1" x14ac:dyDescent="0.3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</row>
    <row r="1011" spans="1:29" ht="15.75" thickBot="1" x14ac:dyDescent="0.3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</row>
    <row r="1012" spans="1:29" ht="15.75" thickBot="1" x14ac:dyDescent="0.3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</row>
    <row r="1013" spans="1:29" ht="15.75" thickBot="1" x14ac:dyDescent="0.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</row>
    <row r="1014" spans="1:29" ht="15.75" thickBot="1" x14ac:dyDescent="0.3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</row>
    <row r="1015" spans="1:29" ht="15.75" thickBot="1" x14ac:dyDescent="0.3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</row>
    <row r="1016" spans="1:29" ht="15.75" thickBot="1" x14ac:dyDescent="0.3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</row>
  </sheetData>
  <mergeCells count="48">
    <mergeCell ref="W19:W21"/>
    <mergeCell ref="X19:X21"/>
    <mergeCell ref="R19:R21"/>
    <mergeCell ref="S19:S21"/>
    <mergeCell ref="T19:T21"/>
    <mergeCell ref="U19:U21"/>
    <mergeCell ref="V19:V21"/>
    <mergeCell ref="A19:A21"/>
    <mergeCell ref="B19:B21"/>
    <mergeCell ref="C19:C21"/>
    <mergeCell ref="P19:P21"/>
    <mergeCell ref="Q19:Q21"/>
    <mergeCell ref="R4:R6"/>
    <mergeCell ref="S4:S6"/>
    <mergeCell ref="A15:A18"/>
    <mergeCell ref="B15:B18"/>
    <mergeCell ref="C15:C18"/>
    <mergeCell ref="P15:P18"/>
    <mergeCell ref="Q15:Q18"/>
    <mergeCell ref="R15:R18"/>
    <mergeCell ref="S15:S18"/>
    <mergeCell ref="R9:R12"/>
    <mergeCell ref="S9:S12"/>
    <mergeCell ref="T9:T12"/>
    <mergeCell ref="U9:U12"/>
    <mergeCell ref="V9:V12"/>
    <mergeCell ref="A9:A12"/>
    <mergeCell ref="B9:B12"/>
    <mergeCell ref="C9:C12"/>
    <mergeCell ref="P9:P12"/>
    <mergeCell ref="Q9:Q12"/>
    <mergeCell ref="A4:A6"/>
    <mergeCell ref="B4:B6"/>
    <mergeCell ref="C4:C6"/>
    <mergeCell ref="P4:P6"/>
    <mergeCell ref="Q4:Q6"/>
    <mergeCell ref="W15:W18"/>
    <mergeCell ref="X15:X18"/>
    <mergeCell ref="T4:T6"/>
    <mergeCell ref="U4:U6"/>
    <mergeCell ref="V4:V6"/>
    <mergeCell ref="W4:W6"/>
    <mergeCell ref="X4:X6"/>
    <mergeCell ref="W9:W12"/>
    <mergeCell ref="X9:X12"/>
    <mergeCell ref="T15:T18"/>
    <mergeCell ref="U15:U18"/>
    <mergeCell ref="V15:V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Mar´25</vt:lpstr>
      <vt:lpstr>Gastos</vt:lpstr>
      <vt:lpstr>Ventas Mar'25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2025-05-14T22:29:22Z</dcterms:modified>
</cp:coreProperties>
</file>