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2" documentId="8_{B2FF3D83-A12E-40DF-84F8-C5A39911F071}" xr6:coauthVersionLast="47" xr6:coauthVersionMax="47" xr10:uidLastSave="{179DF3F0-8270-404F-B6F8-E18D8EBFDC56}"/>
  <bookViews>
    <workbookView xWindow="-120" yWindow="-120" windowWidth="20730" windowHeight="11040" tabRatio="599" xr2:uid="{30A6164E-A0D3-4996-9EF3-92045D51F006}"/>
  </bookViews>
  <sheets>
    <sheet name="Ene´25" sheetId="23" r:id="rId1"/>
    <sheet name="Gastos" sheetId="24" r:id="rId2"/>
    <sheet name="Ventas Ene'24" sheetId="18" r:id="rId3"/>
    <sheet name="LISTA CONCEPTOS" sheetId="15" state="hidden" r:id="rId4"/>
  </sheets>
  <definedNames>
    <definedName name="_xlnm._FilterDatabase" localSheetId="1" hidden="1">Gastos!$A$1:$G$139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23" l="1"/>
  <c r="C10" i="23"/>
  <c r="D142" i="24" l="1"/>
  <c r="B6" i="23"/>
  <c r="I14" i="18"/>
  <c r="J14" i="18" s="1"/>
  <c r="B4" i="23" s="1"/>
  <c r="B21" i="23"/>
  <c r="D140" i="24"/>
  <c r="B3" i="23" l="1"/>
  <c r="B140" i="24" l="1"/>
  <c r="D127" i="24"/>
  <c r="B17" i="23" s="1"/>
  <c r="B127" i="24"/>
  <c r="D125" i="24"/>
  <c r="B20" i="23" s="1"/>
  <c r="B125" i="24"/>
  <c r="D99" i="24"/>
  <c r="B16" i="23" s="1"/>
  <c r="B99" i="24"/>
  <c r="D17" i="24"/>
  <c r="B15" i="23" s="1"/>
  <c r="B17" i="24"/>
  <c r="B15" i="24"/>
  <c r="B11" i="24"/>
  <c r="B7" i="24"/>
  <c r="B5" i="24"/>
  <c r="D15" i="24"/>
  <c r="B14" i="23" s="1"/>
  <c r="D11" i="24"/>
  <c r="B13" i="23" s="1"/>
  <c r="D7" i="24"/>
  <c r="B12" i="23" s="1"/>
  <c r="D5" i="24"/>
  <c r="B11" i="23" s="1"/>
  <c r="B10" i="23" l="1"/>
  <c r="B5" i="23"/>
  <c r="C4" i="23"/>
  <c r="C20" i="23" l="1"/>
  <c r="C17" i="23"/>
  <c r="C11" i="23"/>
  <c r="C12" i="23"/>
  <c r="B7" i="23"/>
  <c r="C7" i="23" s="1"/>
  <c r="C15" i="23"/>
  <c r="C16" i="23"/>
  <c r="C14" i="23" l="1"/>
  <c r="C13" i="23" l="1"/>
  <c r="B19" i="23" l="1"/>
  <c r="B23" i="23" l="1"/>
  <c r="B25" i="23"/>
  <c r="C25" i="23" s="1"/>
  <c r="C21" i="23"/>
</calcChain>
</file>

<file path=xl/sharedStrings.xml><?xml version="1.0" encoding="utf-8"?>
<sst xmlns="http://schemas.openxmlformats.org/spreadsheetml/2006/main" count="629" uniqueCount="298">
  <si>
    <t>CRM</t>
  </si>
  <si>
    <t>FN1 PRO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</si>
  <si>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</si>
  <si>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</si>
  <si>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</si>
  <si>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</si>
  <si>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</si>
  <si>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</si>
  <si>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</si>
  <si>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</si>
  <si>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</si>
  <si>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</si>
  <si>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</si>
  <si>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</si>
  <si>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</si>
  <si>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</si>
  <si>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</si>
  <si>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</si>
  <si>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</si>
  <si>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</si>
  <si>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</si>
  <si>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</si>
  <si>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</si>
  <si>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</si>
  <si>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</si>
  <si>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</si>
  <si>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</si>
  <si>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</si>
  <si>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</si>
  <si>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</si>
  <si>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</si>
  <si>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</si>
  <si>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</si>
  <si>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</si>
  <si>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</si>
  <si>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</si>
  <si>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</si>
  <si>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</si>
  <si>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</si>
  <si>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</si>
  <si>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</si>
  <si>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</si>
  <si>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</si>
  <si>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</si>
  <si>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</si>
  <si>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</si>
  <si>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</si>
  <si>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</si>
  <si>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</si>
  <si>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</si>
  <si>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</si>
  <si>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</si>
  <si>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</si>
  <si>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</si>
  <si>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</si>
  <si>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</si>
  <si>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</si>
  <si>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</si>
  <si>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</si>
  <si>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</si>
  <si>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</si>
  <si>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</si>
  <si>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</si>
  <si>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</si>
  <si>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</si>
  <si>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</si>
  <si>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</si>
  <si>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</si>
  <si>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</si>
  <si>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</si>
  <si>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</si>
  <si>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</si>
  <si>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</si>
  <si>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</si>
  <si>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</si>
  <si>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</si>
  <si>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</si>
  <si>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</si>
  <si>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</si>
  <si>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</si>
  <si>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</si>
  <si>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</si>
  <si>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</si>
  <si>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</si>
  <si>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</si>
  <si>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</si>
  <si>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</si>
  <si>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</si>
  <si>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</si>
  <si>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</si>
  <si>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</si>
  <si>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</si>
  <si>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</si>
  <si>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</si>
  <si>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</si>
  <si>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</si>
  <si>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</si>
  <si>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</si>
  <si>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</si>
  <si>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</si>
  <si>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</si>
  <si>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</si>
  <si>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</si>
  <si>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</si>
  <si>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</si>
  <si>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</si>
  <si>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</si>
  <si>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</si>
  <si>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</si>
  <si>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</si>
  <si>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</si>
  <si>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</si>
  <si>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</si>
  <si>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</si>
  <si>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</si>
  <si>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</si>
  <si>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</si>
  <si>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</si>
  <si>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</si>
  <si>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FN2 PRO</t>
  </si>
  <si>
    <t>Cynthia</t>
  </si>
  <si>
    <t>IVA</t>
  </si>
  <si>
    <t>Impuesto Ley 25.413</t>
  </si>
  <si>
    <t>Regimen SIRCREB</t>
  </si>
  <si>
    <t>Comisión Transferencia Internet</t>
  </si>
  <si>
    <t>Pago | Sueldo | Lelia Bertoni | Dic´24</t>
  </si>
  <si>
    <t>Pago | Sueldo | Cynthia Fernández | Dic´24</t>
  </si>
  <si>
    <t>Pago | Sueldo | Diego Argiró | Dic´24</t>
  </si>
  <si>
    <t>Comisión Mantenimiento de Cuenta</t>
  </si>
  <si>
    <t>Percepción IVA</t>
  </si>
  <si>
    <t>Ingresos Brutos</t>
  </si>
  <si>
    <t>Local</t>
  </si>
  <si>
    <t>Sueldos</t>
  </si>
  <si>
    <t>Impuestos</t>
  </si>
  <si>
    <t>Ley 25.413</t>
  </si>
  <si>
    <t>Sircreb</t>
  </si>
  <si>
    <t>Teléfonos</t>
  </si>
  <si>
    <t>Alquiler</t>
  </si>
  <si>
    <t>Cargas Sociales</t>
  </si>
  <si>
    <t>Faecys</t>
  </si>
  <si>
    <t>Sicore</t>
  </si>
  <si>
    <t>Inacap</t>
  </si>
  <si>
    <t>Internet</t>
  </si>
  <si>
    <t>PayWay</t>
  </si>
  <si>
    <t>Honorarios Contables</t>
  </si>
  <si>
    <t>IIBB</t>
  </si>
  <si>
    <t>Nº Serie</t>
  </si>
  <si>
    <t>N° Despacho</t>
  </si>
  <si>
    <t>#</t>
  </si>
  <si>
    <t>Tipo de IVA</t>
  </si>
  <si>
    <t>MONTO TOTAL</t>
  </si>
  <si>
    <t>CUIT</t>
  </si>
  <si>
    <t>Forma de Pago</t>
  </si>
  <si>
    <t>Costo Contable</t>
  </si>
  <si>
    <t>Lelia</t>
  </si>
  <si>
    <t>24 001 | C04 196596 G</t>
  </si>
  <si>
    <t>PALA</t>
  </si>
  <si>
    <t>N/A</t>
  </si>
  <si>
    <t>PRO GAS 90</t>
  </si>
  <si>
    <t>PRO GAS 106</t>
  </si>
  <si>
    <t>24 001 IC04 0985888 X</t>
  </si>
  <si>
    <t>PALAS</t>
  </si>
  <si>
    <t>MESA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</si>
  <si>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</si>
  <si>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</si>
  <si>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</si>
  <si>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</si>
  <si>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</si>
  <si>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</si>
  <si>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</si>
  <si>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</si>
  <si>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Rubro</t>
  </si>
  <si>
    <t>Extraordinarios</t>
  </si>
  <si>
    <t>FLETES</t>
  </si>
  <si>
    <t>Comisiones Bancarias</t>
  </si>
  <si>
    <t>Reposición Caja Chica</t>
  </si>
  <si>
    <t>CAJA CHICA</t>
  </si>
  <si>
    <t>Comisión 5%</t>
  </si>
  <si>
    <t xml:space="preserve">Descuentos Realizados </t>
  </si>
  <si>
    <t>INVERSIONES (Certificaciones)</t>
  </si>
  <si>
    <t>COMISIONES DISTRIBUIDORES</t>
  </si>
  <si>
    <t>GASTOS VARIABLES</t>
  </si>
  <si>
    <t>GASTOS FIJOS</t>
  </si>
  <si>
    <t>GASTOS TOTALES</t>
  </si>
  <si>
    <t>Estado de Resultados 2025</t>
  </si>
  <si>
    <t>Pago | Débito Automático | Prosegur Alarmas | Fc 0011-01734777</t>
  </si>
  <si>
    <t>Prosegur</t>
  </si>
  <si>
    <t>Gastos Bancarios</t>
  </si>
  <si>
    <t>Pago | Telecom Teléfono | Débito Automático | Fc 4264-04753240</t>
  </si>
  <si>
    <t>Descuento Comercio | PayWay | ARIEL RODRIGUEZ</t>
  </si>
  <si>
    <t>Pago | Edenor | Dic'24 | Fc 0026-42221491</t>
  </si>
  <si>
    <t>Edenor</t>
  </si>
  <si>
    <t>Pago | MCG Ventilador | Fc 00004-00001963</t>
  </si>
  <si>
    <t>Ventilador Local</t>
  </si>
  <si>
    <t>Pago | Débito Automático | Soluciones Online | Xubio | Fc 00002-00397253</t>
  </si>
  <si>
    <t>Xubio</t>
  </si>
  <si>
    <t>Pago | INDUMENTARIA RGS S.R.L. | Chombas | Fc 00002-00000842</t>
  </si>
  <si>
    <t>Uniformes</t>
  </si>
  <si>
    <t>Pago | Mol y Band Fc 00003-00003097 | Base p/Horno</t>
  </si>
  <si>
    <t>Base Horno</t>
  </si>
  <si>
    <t>Pago | Cargas Sindicales | INACAP | 12/2024</t>
  </si>
  <si>
    <t>Pago | Telecom Internet | Débito Automático | Fc 6364-08799773</t>
  </si>
  <si>
    <t>Pago | Cargas Sociales | FAECYS | 12 2024</t>
  </si>
  <si>
    <t>Pago | Impuestos | SICORE | F744 | 12 2024</t>
  </si>
  <si>
    <t>Pago | Cargas Sociales | F931 | 12 2024</t>
  </si>
  <si>
    <t>Fuertes Viviana | Alquiler Ene´25 | Fc 00002-00000224</t>
  </si>
  <si>
    <t>Pago | Petraccia Carlos | Bateria Autoelevador | Fc 00005-00011831</t>
  </si>
  <si>
    <t>Bateria Autoelevador</t>
  </si>
  <si>
    <t>Pago | Repjul | Lagatta Carlos Adrián | Compresor Mesa Fría | Fc 0006-00003182</t>
  </si>
  <si>
    <t>Compresor Mesa Fría</t>
  </si>
  <si>
    <t>Pago | Edenor 2025 01 | Fc 00026-47999630</t>
  </si>
  <si>
    <t>Pago | Cargas Sociales | SEC | Deuda 09 al 12 2024</t>
  </si>
  <si>
    <t>SEC</t>
  </si>
  <si>
    <t>Pago | Destapaciones Monroe | Fc 00003-00000511</t>
  </si>
  <si>
    <t>Destapación Cloacal</t>
  </si>
  <si>
    <t>Pago | Verónica Rigante | Honorarios Contables 12 2024 | Fc 00002-00000875</t>
  </si>
  <si>
    <t>Pago | Millan Carla Vanesa | Herramientas Local | Fc 00004-00000465</t>
  </si>
  <si>
    <t>Herramientas Local</t>
  </si>
  <si>
    <t>Regimen Sircreb</t>
  </si>
  <si>
    <t>Pago | Kotliar Gerardo Ernesto | Seguridad e Higiene | Fc 00002-00000867</t>
  </si>
  <si>
    <t>Honorarios Seguridad e Higiene</t>
  </si>
  <si>
    <t>Pago | Seguro La Mercantil Andina | Póliza Integral de Comercio | Fc 001919207</t>
  </si>
  <si>
    <t>Seguro</t>
  </si>
  <si>
    <t>Matafuegos</t>
  </si>
  <si>
    <t>Pago | INDUMENTARIA RGS S.R.L. | Chombas | Fc 00002_00000901</t>
  </si>
  <si>
    <t>Pago | Reld SACIFIA | Compresor Vitrina | Fc 00005-00221126</t>
  </si>
  <si>
    <t>Compresor</t>
  </si>
  <si>
    <t>Pago | Sueldo | Lelia Bertoni | Ene'25</t>
  </si>
  <si>
    <t>Pago | Sueldo | Cynthia Fernández | Ene'25</t>
  </si>
  <si>
    <t>Categoría</t>
  </si>
  <si>
    <t>SubCategoría</t>
  </si>
  <si>
    <t>Comisiones Cynthia | Dic'24</t>
  </si>
  <si>
    <t>Comisiones Lelia | Dic'24</t>
  </si>
  <si>
    <t>Ciudad Muebles | Escritorios + Flete</t>
  </si>
  <si>
    <t>Raffo Federico César | Candado | Fc 00002-00001185</t>
  </si>
  <si>
    <t>Raffio Federico César | Guantes + Veneno | Fc 00002-00001187</t>
  </si>
  <si>
    <t>Raffo Federico César | Ferretería | Fc 00002-00001188</t>
  </si>
  <si>
    <t>Fletero Daniel</t>
  </si>
  <si>
    <t>Comisiones Lelia | México</t>
  </si>
  <si>
    <t>Comisiones Javier | Dic´24</t>
  </si>
  <si>
    <t>Sueldo Cynthia | Ene´25</t>
  </si>
  <si>
    <t>Sueldo Lelia| Ene´25</t>
  </si>
  <si>
    <t>Sueldo Carolina | Ene´25 | A cuenta</t>
  </si>
  <si>
    <t>Técnico Puestas en Marcha | A Cuenta | Luciano</t>
  </si>
  <si>
    <t>Sueldo Carolina | Ene´25 | Saldo</t>
  </si>
  <si>
    <t>MOBILIARIO</t>
  </si>
  <si>
    <t>FERRETERÍA</t>
  </si>
  <si>
    <t>FLETE</t>
  </si>
  <si>
    <t>PUESTA EN MARCHA</t>
  </si>
  <si>
    <t>TÉCNICO</t>
  </si>
  <si>
    <t>Pago | Matafuegos Maillo | COGGIOLA GABRIEL HECTOR | Fc 00002-00003523</t>
  </si>
  <si>
    <t>Imputar en Febrero</t>
  </si>
  <si>
    <t>Operador</t>
  </si>
  <si>
    <t>Cliente</t>
  </si>
  <si>
    <t>Producto</t>
  </si>
  <si>
    <t>Valor Unitario</t>
  </si>
  <si>
    <t>Valor Total</t>
  </si>
  <si>
    <t>Dto.</t>
  </si>
  <si>
    <t>VALOR COTIZADO</t>
  </si>
  <si>
    <t>Facturado</t>
  </si>
  <si>
    <t>Monto con IVA</t>
  </si>
  <si>
    <t>Galicia Más</t>
  </si>
  <si>
    <t>Mercado Pago</t>
  </si>
  <si>
    <t>Efectivo SmartChain</t>
  </si>
  <si>
    <t>TOTAL PAGADO</t>
  </si>
  <si>
    <t>Pendiente</t>
  </si>
  <si>
    <t>Factura</t>
  </si>
  <si>
    <t>&lt;</t>
  </si>
  <si>
    <t>BRAIAN LEONEL JATAF</t>
  </si>
  <si>
    <t>Fc B 0012</t>
  </si>
  <si>
    <t>Galicia | SmartChain</t>
  </si>
  <si>
    <t>PO24ITA018</t>
  </si>
  <si>
    <t>N/C</t>
  </si>
  <si>
    <t>ORLANDO SAEZ | ACATRAZ SA</t>
  </si>
  <si>
    <t>24146009 24146005</t>
  </si>
  <si>
    <t>Fc A 0056</t>
  </si>
  <si>
    <t>MESA FRIA</t>
  </si>
  <si>
    <t>YX20241009017</t>
  </si>
  <si>
    <t>JUAN NIGRO</t>
  </si>
  <si>
    <t>Fc B 0015</t>
  </si>
  <si>
    <t>Galicia | Mercado Pago | Efectivo</t>
  </si>
  <si>
    <t>JORGE ADRIAN LEYES</t>
  </si>
  <si>
    <t>G24038032015</t>
  </si>
  <si>
    <t>Fc B 0014</t>
  </si>
  <si>
    <t>Galicia</t>
  </si>
  <si>
    <t>EMILIANO ILLESCAS</t>
  </si>
  <si>
    <t>PRO GAS 602</t>
  </si>
  <si>
    <t>Fc B 0018</t>
  </si>
  <si>
    <t>Efectivo</t>
  </si>
  <si>
    <t xml:space="preserve">EMANUEL PEREYRA 
</t>
  </si>
  <si>
    <t>Fc A 0057</t>
  </si>
  <si>
    <t>ARIEL RODRIGUEZ</t>
  </si>
  <si>
    <t>Fc B 0011</t>
  </si>
  <si>
    <t>Visa 3 Cuotas | Efectivo</t>
  </si>
  <si>
    <t>BARBARA GODOY</t>
  </si>
  <si>
    <t>Fc B 0016</t>
  </si>
  <si>
    <t>TIPO DE CAMBIO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</si>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</sst>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0"/>
      <color theme="1"/>
      <name val="Arial"/>
      <family val="2"/>
    </font>
    <font>
      <b/>
      <sz val="14"/>
      <color theme="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8" fontId="9" fillId="0" borderId="5" xfId="0" applyNumberFormat="1" applyFont="1" applyBorder="1" applyAlignment="1">
      <alignment horizontal="right" wrapText="1"/>
    </xf>
    <xf numFmtId="14" fontId="9" fillId="0" borderId="5" xfId="0" applyNumberFormat="1" applyFont="1" applyBorder="1" applyAlignment="1">
      <alignment horizontal="center" wrapText="1"/>
    </xf>
    <xf numFmtId="0" fontId="9" fillId="0" borderId="5" xfId="0" applyFont="1" applyBorder="1" applyAlignment="1">
      <alignment wrapText="1"/>
    </xf>
    <xf numFmtId="0" fontId="9" fillId="0" borderId="5" xfId="0" applyFont="1" applyBorder="1" applyAlignment="1">
      <alignment vertical="center" wrapText="1"/>
    </xf>
    <xf numFmtId="3" fontId="9" fillId="0" borderId="6" xfId="0" applyNumberFormat="1" applyFont="1" applyBorder="1" applyAlignment="1">
      <alignment horizontal="right" vertical="center" wrapText="1"/>
    </xf>
    <xf numFmtId="3" fontId="9" fillId="6" borderId="6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right"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8" fontId="1" fillId="8" borderId="0" xfId="1" applyNumberFormat="1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0" xfId="0" applyFont="1"/>
    <xf numFmtId="0" fontId="8" fillId="0" borderId="0" xfId="0" applyFont="1"/>
    <xf numFmtId="15" fontId="9" fillId="10" borderId="5" xfId="0" applyNumberFormat="1" applyFont="1" applyFill="1" applyBorder="1"/>
    <xf numFmtId="0" fontId="9" fillId="10" borderId="5" xfId="0" applyFont="1" applyFill="1" applyBorder="1"/>
    <xf numFmtId="8" fontId="9" fillId="10" borderId="5" xfId="0" applyNumberFormat="1" applyFont="1" applyFill="1" applyBorder="1"/>
    <xf numFmtId="15" fontId="9" fillId="10" borderId="0" xfId="0" applyNumberFormat="1" applyFont="1" applyFill="1"/>
    <xf numFmtId="0" fontId="9" fillId="10" borderId="0" xfId="0" applyFont="1" applyFill="1"/>
    <xf numFmtId="8" fontId="9" fillId="10" borderId="0" xfId="0" applyNumberFormat="1" applyFont="1" applyFill="1"/>
    <xf numFmtId="14" fontId="9" fillId="9" borderId="5" xfId="0" applyNumberFormat="1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vertical="center" wrapText="1"/>
    </xf>
    <xf numFmtId="8" fontId="9" fillId="9" borderId="5" xfId="0" applyNumberFormat="1" applyFont="1" applyFill="1" applyBorder="1" applyAlignment="1">
      <alignment horizontal="right" vertical="center" wrapText="1"/>
    </xf>
    <xf numFmtId="0" fontId="9" fillId="9" borderId="5" xfId="0" applyFont="1" applyFill="1" applyBorder="1" applyAlignment="1">
      <alignment wrapText="1"/>
    </xf>
    <xf numFmtId="0" fontId="8" fillId="3" borderId="5" xfId="0" applyFont="1" applyFill="1" applyBorder="1" applyAlignment="1">
      <alignment vertical="center" wrapText="1"/>
    </xf>
    <xf numFmtId="8" fontId="8" fillId="3" borderId="5" xfId="0" applyNumberFormat="1" applyFont="1" applyFill="1" applyBorder="1" applyAlignment="1">
      <alignment horizontal="right" vertical="center" wrapText="1"/>
    </xf>
    <xf numFmtId="8" fontId="8" fillId="3" borderId="5" xfId="0" applyNumberFormat="1" applyFont="1" applyFill="1" applyBorder="1" applyAlignment="1">
      <alignment vertical="center" wrapText="1"/>
    </xf>
    <xf numFmtId="14" fontId="9" fillId="9" borderId="12" xfId="0" applyNumberFormat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vertical="center" wrapText="1"/>
    </xf>
    <xf numFmtId="8" fontId="9" fillId="9" borderId="12" xfId="0" applyNumberFormat="1" applyFont="1" applyFill="1" applyBorder="1" applyAlignment="1">
      <alignment horizontal="right" vertical="center" wrapText="1"/>
    </xf>
    <xf numFmtId="14" fontId="9" fillId="9" borderId="0" xfId="0" applyNumberFormat="1" applyFont="1" applyFill="1" applyAlignment="1">
      <alignment horizontal="center" vertical="center" wrapText="1"/>
    </xf>
    <xf numFmtId="0" fontId="9" fillId="9" borderId="0" xfId="0" applyFont="1" applyFill="1" applyAlignment="1">
      <alignment wrapText="1"/>
    </xf>
    <xf numFmtId="0" fontId="9" fillId="9" borderId="0" xfId="0" applyFont="1" applyFill="1" applyAlignment="1">
      <alignment vertical="center" wrapText="1"/>
    </xf>
    <xf numFmtId="8" fontId="9" fillId="9" borderId="0" xfId="0" applyNumberFormat="1" applyFont="1" applyFill="1" applyAlignment="1">
      <alignment horizontal="right" vertical="center" wrapText="1"/>
    </xf>
    <xf numFmtId="0" fontId="8" fillId="3" borderId="0" xfId="0" applyFont="1" applyFill="1"/>
    <xf numFmtId="0" fontId="14" fillId="0" borderId="0" xfId="0" applyFont="1"/>
    <xf numFmtId="0" fontId="8" fillId="11" borderId="13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4" fontId="9" fillId="0" borderId="6" xfId="0" applyNumberFormat="1" applyFont="1" applyBorder="1" applyAlignment="1">
      <alignment horizontal="right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4" fontId="9" fillId="6" borderId="6" xfId="0" applyNumberFormat="1" applyFont="1" applyFill="1" applyBorder="1" applyAlignment="1">
      <alignment horizontal="right" vertical="center" wrapText="1"/>
    </xf>
    <xf numFmtId="10" fontId="9" fillId="0" borderId="6" xfId="0" applyNumberFormat="1" applyFont="1" applyBorder="1" applyAlignment="1">
      <alignment horizontal="center" vertical="center" wrapText="1"/>
    </xf>
    <xf numFmtId="3" fontId="9" fillId="12" borderId="6" xfId="0" applyNumberFormat="1" applyFont="1" applyFill="1" applyBorder="1" applyAlignment="1">
      <alignment horizontal="right" vertical="center" wrapText="1"/>
    </xf>
    <xf numFmtId="0" fontId="9" fillId="0" borderId="11" xfId="0" applyFont="1" applyBorder="1" applyAlignment="1">
      <alignment horizontal="center" vertical="center" wrapText="1"/>
    </xf>
    <xf numFmtId="15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right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right" vertical="center" wrapText="1"/>
    </xf>
    <xf numFmtId="10" fontId="9" fillId="0" borderId="7" xfId="0" applyNumberFormat="1" applyFont="1" applyBorder="1" applyAlignment="1">
      <alignment horizontal="center" vertical="center" wrapText="1"/>
    </xf>
    <xf numFmtId="4" fontId="9" fillId="12" borderId="7" xfId="0" applyNumberFormat="1" applyFont="1" applyFill="1" applyBorder="1" applyAlignment="1">
      <alignment horizontal="right" vertical="center" wrapText="1"/>
    </xf>
    <xf numFmtId="0" fontId="9" fillId="13" borderId="7" xfId="0" applyFont="1" applyFill="1" applyBorder="1" applyAlignment="1">
      <alignment horizontal="right" vertical="center" wrapText="1"/>
    </xf>
    <xf numFmtId="3" fontId="9" fillId="12" borderId="7" xfId="0" applyNumberFormat="1" applyFont="1" applyFill="1" applyBorder="1" applyAlignment="1">
      <alignment horizontal="right" vertical="center" wrapText="1"/>
    </xf>
    <xf numFmtId="3" fontId="8" fillId="12" borderId="5" xfId="0" applyNumberFormat="1" applyFont="1" applyFill="1" applyBorder="1" applyAlignment="1">
      <alignment horizontal="right" vertical="center" wrapText="1"/>
    </xf>
    <xf numFmtId="0" fontId="9" fillId="0" borderId="10" xfId="0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4" fontId="9" fillId="12" borderId="6" xfId="0" applyNumberFormat="1" applyFont="1" applyFill="1" applyBorder="1" applyAlignment="1">
      <alignment horizontal="right" vertical="center" wrapText="1"/>
    </xf>
    <xf numFmtId="0" fontId="9" fillId="13" borderId="6" xfId="0" applyFont="1" applyFill="1" applyBorder="1" applyAlignment="1">
      <alignment horizontal="right" vertical="center" wrapText="1"/>
    </xf>
    <xf numFmtId="15" fontId="9" fillId="0" borderId="6" xfId="0" applyNumberFormat="1" applyFont="1" applyBorder="1" applyAlignment="1">
      <alignment horizontal="center" vertical="center" wrapText="1"/>
    </xf>
    <xf numFmtId="4" fontId="9" fillId="13" borderId="6" xfId="0" applyNumberFormat="1" applyFont="1" applyFill="1" applyBorder="1" applyAlignment="1">
      <alignment horizontal="right" vertical="center" wrapText="1"/>
    </xf>
    <xf numFmtId="0" fontId="9" fillId="7" borderId="10" xfId="0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4" fontId="8" fillId="7" borderId="6" xfId="0" applyNumberFormat="1" applyFont="1" applyFill="1" applyBorder="1" applyAlignment="1">
      <alignment horizontal="right" vertical="center" wrapText="1"/>
    </xf>
    <xf numFmtId="10" fontId="9" fillId="0" borderId="5" xfId="0" applyNumberFormat="1" applyFont="1" applyBorder="1" applyAlignment="1">
      <alignment horizontal="right" vertical="center" wrapText="1"/>
    </xf>
    <xf numFmtId="0" fontId="9" fillId="0" borderId="5" xfId="0" applyFont="1" applyBorder="1" applyAlignment="1">
      <alignment vertical="center"/>
    </xf>
    <xf numFmtId="4" fontId="9" fillId="7" borderId="6" xfId="0" applyNumberFormat="1" applyFont="1" applyFill="1" applyBorder="1" applyAlignment="1">
      <alignment vertical="center" wrapText="1"/>
    </xf>
    <xf numFmtId="4" fontId="8" fillId="7" borderId="6" xfId="0" applyNumberFormat="1" applyFont="1" applyFill="1" applyBorder="1" applyAlignment="1">
      <alignment vertical="center" wrapText="1"/>
    </xf>
    <xf numFmtId="43" fontId="1" fillId="0" borderId="2" xfId="1" applyFont="1" applyBorder="1" applyAlignment="1">
      <alignment vertical="center"/>
    </xf>
    <xf numFmtId="0" fontId="8" fillId="8" borderId="0" xfId="0" applyFont="1" applyFill="1"/>
    <xf numFmtId="8" fontId="8" fillId="8" borderId="0" xfId="0" applyNumberFormat="1" applyFont="1" applyFill="1"/>
    <xf numFmtId="0" fontId="15" fillId="14" borderId="0" xfId="0" applyFont="1" applyFill="1" applyAlignment="1">
      <alignment horizontal="center" vertical="center"/>
    </xf>
    <xf numFmtId="17" fontId="15" fillId="14" borderId="0" xfId="1" applyNumberFormat="1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4" fontId="9" fillId="12" borderId="9" xfId="0" applyNumberFormat="1" applyFont="1" applyFill="1" applyBorder="1" applyAlignment="1">
      <alignment horizontal="right" vertical="center" wrapText="1"/>
    </xf>
    <xf numFmtId="4" fontId="9" fillId="12" borderId="16" xfId="0" applyNumberFormat="1" applyFont="1" applyFill="1" applyBorder="1" applyAlignment="1">
      <alignment horizontal="right" vertical="center" wrapText="1"/>
    </xf>
    <xf numFmtId="0" fontId="9" fillId="13" borderId="9" xfId="0" applyFont="1" applyFill="1" applyBorder="1" applyAlignment="1">
      <alignment horizontal="right" vertical="center" wrapText="1"/>
    </xf>
    <xf numFmtId="0" fontId="9" fillId="13" borderId="16" xfId="0" applyFont="1" applyFill="1" applyBorder="1" applyAlignment="1">
      <alignment horizontal="right" vertical="center" wrapText="1"/>
    </xf>
    <xf numFmtId="0" fontId="9" fillId="0" borderId="9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3" fontId="9" fillId="6" borderId="9" xfId="0" applyNumberFormat="1" applyFont="1" applyFill="1" applyBorder="1" applyAlignment="1">
      <alignment horizontal="right" vertical="center" wrapText="1"/>
    </xf>
    <xf numFmtId="3" fontId="9" fillId="6" borderId="16" xfId="0" applyNumberFormat="1" applyFont="1" applyFill="1" applyBorder="1" applyAlignment="1">
      <alignment horizontal="right" vertical="center" wrapText="1"/>
    </xf>
    <xf numFmtId="4" fontId="9" fillId="0" borderId="9" xfId="0" applyNumberFormat="1" applyFont="1" applyBorder="1" applyAlignment="1">
      <alignment horizontal="right" vertical="center" wrapText="1"/>
    </xf>
    <xf numFmtId="4" fontId="9" fillId="0" borderId="16" xfId="0" applyNumberFormat="1" applyFont="1" applyBorder="1" applyAlignment="1">
      <alignment horizontal="right" vertical="center" wrapText="1"/>
    </xf>
    <xf numFmtId="3" fontId="9" fillId="12" borderId="9" xfId="0" applyNumberFormat="1" applyFont="1" applyFill="1" applyBorder="1" applyAlignment="1">
      <alignment horizontal="right" vertical="center" wrapText="1"/>
    </xf>
    <xf numFmtId="3" fontId="9" fillId="12" borderId="15" xfId="0" applyNumberFormat="1" applyFont="1" applyFill="1" applyBorder="1" applyAlignment="1">
      <alignment horizontal="right" vertical="center" wrapText="1"/>
    </xf>
    <xf numFmtId="3" fontId="9" fillId="12" borderId="8" xfId="0" applyNumberFormat="1" applyFont="1" applyFill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9" fillId="0" borderId="9" xfId="0" applyNumberFormat="1" applyFont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right" vertical="center" wrapText="1"/>
    </xf>
    <xf numFmtId="4" fontId="9" fillId="12" borderId="8" xfId="0" applyNumberFormat="1" applyFont="1" applyFill="1" applyBorder="1" applyAlignment="1">
      <alignment horizontal="right" vertical="center" wrapText="1"/>
    </xf>
    <xf numFmtId="0" fontId="9" fillId="13" borderId="8" xfId="0" applyFont="1" applyFill="1" applyBorder="1" applyAlignment="1">
      <alignment horizontal="right" vertical="center" wrapText="1"/>
    </xf>
    <xf numFmtId="4" fontId="9" fillId="12" borderId="15" xfId="0" applyNumberFormat="1" applyFont="1" applyFill="1" applyBorder="1" applyAlignment="1">
      <alignment horizontal="right" vertical="center" wrapText="1"/>
    </xf>
    <xf numFmtId="0" fontId="9" fillId="13" borderId="15" xfId="0" applyFont="1" applyFill="1" applyBorder="1" applyAlignment="1">
      <alignment horizontal="right" vertical="center" wrapText="1"/>
    </xf>
    <xf numFmtId="0" fontId="9" fillId="0" borderId="15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4" fontId="9" fillId="6" borderId="9" xfId="0" applyNumberFormat="1" applyFont="1" applyFill="1" applyBorder="1" applyAlignment="1">
      <alignment horizontal="right" vertical="center" wrapText="1"/>
    </xf>
    <xf numFmtId="4" fontId="9" fillId="6" borderId="15" xfId="0" applyNumberFormat="1" applyFont="1" applyFill="1" applyBorder="1" applyAlignment="1">
      <alignment horizontal="right" vertical="center" wrapText="1"/>
    </xf>
    <xf numFmtId="4" fontId="9" fillId="6" borderId="8" xfId="0" applyNumberFormat="1" applyFont="1" applyFill="1" applyBorder="1" applyAlignment="1">
      <alignment horizontal="right" vertical="center" wrapText="1"/>
    </xf>
    <xf numFmtId="4" fontId="9" fillId="0" borderId="15" xfId="0" applyNumberFormat="1" applyFont="1" applyBorder="1" applyAlignment="1">
      <alignment horizontal="right" vertical="center" wrapText="1"/>
    </xf>
    <xf numFmtId="4" fontId="9" fillId="0" borderId="8" xfId="0" applyNumberFormat="1" applyFont="1" applyBorder="1" applyAlignment="1">
      <alignment horizontal="right" vertical="center" wrapText="1"/>
    </xf>
    <xf numFmtId="10" fontId="9" fillId="0" borderId="9" xfId="0" applyNumberFormat="1" applyFont="1" applyBorder="1" applyAlignment="1">
      <alignment horizontal="center" vertical="center" wrapText="1"/>
    </xf>
    <xf numFmtId="10" fontId="9" fillId="0" borderId="15" xfId="0" applyNumberFormat="1" applyFont="1" applyBorder="1" applyAlignment="1">
      <alignment horizontal="center" vertical="center" wrapText="1"/>
    </xf>
    <xf numFmtId="10" fontId="9" fillId="0" borderId="8" xfId="0" applyNumberFormat="1" applyFont="1" applyBorder="1" applyAlignment="1">
      <alignment horizontal="center" vertical="center" wrapText="1"/>
    </xf>
    <xf numFmtId="15" fontId="9" fillId="0" borderId="9" xfId="0" applyNumberFormat="1" applyFont="1" applyBorder="1" applyAlignment="1">
      <alignment horizontal="center" vertical="center" wrapText="1"/>
    </xf>
    <xf numFmtId="15" fontId="9" fillId="0" borderId="15" xfId="0" applyNumberFormat="1" applyFont="1" applyBorder="1" applyAlignment="1">
      <alignment horizontal="center" vertical="center" wrapText="1"/>
    </xf>
    <xf numFmtId="15" fontId="9" fillId="0" borderId="8" xfId="0" applyNumberFormat="1" applyFont="1" applyBorder="1" applyAlignment="1">
      <alignment horizontal="center" vertical="center" wrapText="1"/>
    </xf>
    <xf numFmtId="9" fontId="9" fillId="0" borderId="9" xfId="0" applyNumberFormat="1" applyFont="1" applyBorder="1" applyAlignment="1">
      <alignment horizontal="center"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3" fontId="9" fillId="0" borderId="16" xfId="0" applyNumberFormat="1" applyFont="1" applyBorder="1" applyAlignment="1">
      <alignment horizontal="right" vertical="center" wrapText="1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28"/>
  <sheetViews>
    <sheetView tabSelected="1" topLeftCell="A17" zoomScaleNormal="100" workbookViewId="0">
      <selection activeCell="C21" sqref="C21"/>
    </sheetView>
  </sheetViews>
  <sheetFormatPr baseColWidth="10" defaultRowHeight="15" x14ac:dyDescent="0.25"/>
  <cols>
    <col min="1" max="1" width="66.7109375" style="26" customWidth="1"/>
    <col min="2" max="2" width="14.140625" style="28" bestFit="1" customWidth="1"/>
    <col min="3" max="3" width="11.42578125" style="27"/>
    <col min="4" max="4" width="14.28515625" style="25" bestFit="1" customWidth="1"/>
    <col min="5" max="16384" width="11.42578125" style="26"/>
  </cols>
  <sheetData>
    <row r="1" spans="1:5" ht="66.75" customHeight="1" x14ac:dyDescent="0.25">
      <c r="A1" s="2" t="s">
        <v>184</v>
      </c>
      <c r="B1" s="11"/>
      <c r="C1" s="2"/>
    </row>
    <row r="2" spans="1:5" ht="20.25" x14ac:dyDescent="0.25">
      <c r="A2" s="107" t="s">
        <v>25</v>
      </c>
      <c r="B2" s="108">
        <v>45669</v>
      </c>
      <c r="C2" s="109" t="s">
        <v>297</v>
      </c>
    </row>
    <row r="3" spans="1:5" x14ac:dyDescent="0.25">
      <c r="A3" s="26" t="s">
        <v>26</v>
      </c>
      <c r="B3" s="28">
        <f>+'Ventas Ene''24'!I14</f>
        <v>37599001</v>
      </c>
      <c r="C3" s="29">
        <v>1</v>
      </c>
    </row>
    <row r="4" spans="1:5" x14ac:dyDescent="0.25">
      <c r="A4" s="26" t="s">
        <v>178</v>
      </c>
      <c r="B4" s="104">
        <f>+'Ventas Ene''24'!J14</f>
        <v>2960198.049999997</v>
      </c>
      <c r="C4" s="31">
        <f>(B4*C3)/B3</f>
        <v>7.8730763351930466E-2</v>
      </c>
    </row>
    <row r="5" spans="1:5" x14ac:dyDescent="0.25">
      <c r="A5" s="32" t="s">
        <v>27</v>
      </c>
      <c r="B5" s="30">
        <f>B3-B4</f>
        <v>34638802.950000003</v>
      </c>
      <c r="C5" s="29">
        <v>1</v>
      </c>
    </row>
    <row r="6" spans="1:5" x14ac:dyDescent="0.25">
      <c r="A6" s="33" t="s">
        <v>28</v>
      </c>
      <c r="B6" s="28">
        <f>+'Ventas Ene''24'!Z14</f>
        <v>9970388.4000000004</v>
      </c>
      <c r="C6" s="31">
        <v>0.33</v>
      </c>
    </row>
    <row r="7" spans="1:5" x14ac:dyDescent="0.25">
      <c r="A7" s="33" t="s">
        <v>29</v>
      </c>
      <c r="B7" s="30">
        <f>B5-B6</f>
        <v>24668414.550000004</v>
      </c>
      <c r="C7" s="31">
        <f>(B7*C5)/B5</f>
        <v>0.71216128876070184</v>
      </c>
    </row>
    <row r="10" spans="1:5" s="39" customFormat="1" x14ac:dyDescent="0.25">
      <c r="A10" s="34" t="s">
        <v>181</v>
      </c>
      <c r="B10" s="48">
        <f>SUM(B11:B18)</f>
        <v>5704357.1100000003</v>
      </c>
      <c r="C10" s="36">
        <f>(B10*$C$5)/$B$5</f>
        <v>0.16468112706533353</v>
      </c>
      <c r="D10" s="37"/>
      <c r="E10" s="38"/>
    </row>
    <row r="11" spans="1:5" x14ac:dyDescent="0.25">
      <c r="A11" s="40" t="s">
        <v>18</v>
      </c>
      <c r="B11" s="41">
        <f>+Gastos!D5</f>
        <v>215002.42</v>
      </c>
      <c r="C11" s="31">
        <f>(B11*$C$5)/$B$5</f>
        <v>6.2069818148839922E-3</v>
      </c>
    </row>
    <row r="12" spans="1:5" x14ac:dyDescent="0.25">
      <c r="A12" s="40" t="s">
        <v>180</v>
      </c>
      <c r="B12" s="41">
        <f>+Gastos!D7</f>
        <v>800000</v>
      </c>
      <c r="C12" s="31">
        <f>(B12*$C$5)/$B$5</f>
        <v>2.3095486329443145E-2</v>
      </c>
    </row>
    <row r="13" spans="1:5" x14ac:dyDescent="0.25">
      <c r="A13" s="40" t="s">
        <v>167</v>
      </c>
      <c r="B13" s="41">
        <f>+Gastos!D11</f>
        <v>1393700</v>
      </c>
      <c r="C13" s="31">
        <f t="shared" ref="C13:C17" si="0">(B13*$C$5)/$B$5</f>
        <v>4.0235224121681144E-2</v>
      </c>
    </row>
    <row r="14" spans="1:5" x14ac:dyDescent="0.25">
      <c r="A14" s="40" t="s">
        <v>166</v>
      </c>
      <c r="B14" s="41">
        <f>+Gastos!D15</f>
        <v>1558543.4500000002</v>
      </c>
      <c r="C14" s="31">
        <f>(B14*$C$5)/$B$5</f>
        <v>4.4994148679147701E-2</v>
      </c>
    </row>
    <row r="15" spans="1:5" x14ac:dyDescent="0.25">
      <c r="A15" s="40" t="s">
        <v>173</v>
      </c>
      <c r="B15" s="41">
        <f>+Gastos!D17</f>
        <v>80000</v>
      </c>
      <c r="C15" s="31">
        <f t="shared" si="0"/>
        <v>2.3095486329443148E-3</v>
      </c>
    </row>
    <row r="16" spans="1:5" x14ac:dyDescent="0.25">
      <c r="A16" s="40" t="s">
        <v>165</v>
      </c>
      <c r="B16" s="41">
        <f>+Gastos!D99</f>
        <v>657111.24000000011</v>
      </c>
      <c r="C16" s="31">
        <f t="shared" si="0"/>
        <v>1.8970379575429297E-2</v>
      </c>
    </row>
    <row r="17" spans="1:3" x14ac:dyDescent="0.25">
      <c r="A17" s="40" t="s">
        <v>248</v>
      </c>
      <c r="B17" s="41">
        <f>+Gastos!D127</f>
        <v>1000000</v>
      </c>
      <c r="C17" s="31">
        <f t="shared" si="0"/>
        <v>2.8869357911803933E-2</v>
      </c>
    </row>
    <row r="19" spans="1:3" x14ac:dyDescent="0.25">
      <c r="A19" s="34" t="s">
        <v>182</v>
      </c>
      <c r="B19" s="48">
        <f>SUM(B20:B21)</f>
        <v>13609544.27</v>
      </c>
      <c r="C19" s="36">
        <f>(B19*$C$5)/$B$5</f>
        <v>0.39289880454717035</v>
      </c>
    </row>
    <row r="20" spans="1:3" x14ac:dyDescent="0.25">
      <c r="A20" s="40" t="s">
        <v>164</v>
      </c>
      <c r="B20" s="41">
        <f>+Gastos!D125</f>
        <v>7127175.4899999993</v>
      </c>
      <c r="C20" s="31">
        <f>(B20*$C$5)/$B$5</f>
        <v>0.20575698012104654</v>
      </c>
    </row>
    <row r="21" spans="1:3" x14ac:dyDescent="0.25">
      <c r="A21" s="40" t="s">
        <v>163</v>
      </c>
      <c r="B21" s="41">
        <f>+Gastos!D140</f>
        <v>6482368.7800000003</v>
      </c>
      <c r="C21" s="31">
        <f>(B21*$C$5)/$B$5</f>
        <v>0.18714182442612382</v>
      </c>
    </row>
    <row r="22" spans="1:3" x14ac:dyDescent="0.25">
      <c r="A22" s="40"/>
      <c r="C22" s="31"/>
    </row>
    <row r="23" spans="1:3" x14ac:dyDescent="0.25">
      <c r="A23" s="34" t="s">
        <v>183</v>
      </c>
      <c r="B23" s="35">
        <f>+B10+B19</f>
        <v>19313901.379999999</v>
      </c>
      <c r="C23" s="31"/>
    </row>
    <row r="24" spans="1:3" x14ac:dyDescent="0.25">
      <c r="A24" s="40"/>
      <c r="C24" s="31"/>
    </row>
    <row r="25" spans="1:3" x14ac:dyDescent="0.25">
      <c r="A25" s="42" t="s">
        <v>80</v>
      </c>
      <c r="B25" s="43">
        <f>B7-B10-B19</f>
        <v>5354513.1700000055</v>
      </c>
      <c r="C25" s="44">
        <f>(B25*C5)/B5</f>
        <v>0.15458135714819801</v>
      </c>
    </row>
    <row r="28" spans="1:3" x14ac:dyDescent="0.25">
      <c r="A28" s="45" t="s">
        <v>179</v>
      </c>
      <c r="B28" s="46"/>
      <c r="C28" s="47"/>
    </row>
  </sheetData>
  <sortState xmlns:xlrd2="http://schemas.microsoft.com/office/spreadsheetml/2017/richdata2" ref="A11:A18">
    <sortCondition ref="A11:A18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:C17 C19:C24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C10:C17 C19:C24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46"/>
  <sheetViews>
    <sheetView topLeftCell="A43" zoomScale="90" zoomScaleNormal="90" workbookViewId="0">
      <selection activeCell="A5" sqref="A5:XFD5"/>
    </sheetView>
  </sheetViews>
  <sheetFormatPr baseColWidth="10" defaultRowHeight="12.75" x14ac:dyDescent="0.2"/>
  <cols>
    <col min="1" max="1" width="11.28515625" style="49" bestFit="1" customWidth="1"/>
    <col min="2" max="2" width="78.85546875" style="49" customWidth="1"/>
    <col min="3" max="3" width="16.7109375" style="49" customWidth="1"/>
    <col min="4" max="4" width="21.85546875" style="49" customWidth="1"/>
    <col min="5" max="6" width="27.42578125" style="49" bestFit="1" customWidth="1"/>
    <col min="7" max="16384" width="11.42578125" style="49"/>
  </cols>
  <sheetData>
    <row r="1" spans="1:6" ht="14.25" thickTop="1" thickBot="1" x14ac:dyDescent="0.25">
      <c r="A1" s="12" t="s">
        <v>168</v>
      </c>
      <c r="B1" s="13" t="s">
        <v>169</v>
      </c>
      <c r="C1" s="13" t="s">
        <v>170</v>
      </c>
      <c r="D1" s="13" t="s">
        <v>171</v>
      </c>
      <c r="E1" s="13" t="s">
        <v>229</v>
      </c>
      <c r="F1" s="13" t="s">
        <v>230</v>
      </c>
    </row>
    <row r="2" spans="1:6" ht="14.25" thickTop="1" thickBot="1" x14ac:dyDescent="0.25">
      <c r="A2" s="57">
        <v>45663</v>
      </c>
      <c r="B2" s="58" t="s">
        <v>124</v>
      </c>
      <c r="C2" s="58"/>
      <c r="D2" s="59">
        <v>11430</v>
      </c>
      <c r="E2" s="58" t="s">
        <v>174</v>
      </c>
      <c r="F2" s="58" t="s">
        <v>187</v>
      </c>
    </row>
    <row r="3" spans="1:6" ht="13.5" thickBot="1" x14ac:dyDescent="0.25">
      <c r="A3" s="57">
        <v>45664</v>
      </c>
      <c r="B3" s="58" t="s">
        <v>189</v>
      </c>
      <c r="C3" s="58"/>
      <c r="D3" s="59">
        <v>153272.42000000001</v>
      </c>
      <c r="E3" s="58" t="s">
        <v>174</v>
      </c>
      <c r="F3" s="58" t="s">
        <v>143</v>
      </c>
    </row>
    <row r="4" spans="1:6" ht="13.5" thickBot="1" x14ac:dyDescent="0.25">
      <c r="A4" s="57">
        <v>45688</v>
      </c>
      <c r="B4" s="60" t="s">
        <v>128</v>
      </c>
      <c r="C4" s="58"/>
      <c r="D4" s="59">
        <v>50300</v>
      </c>
      <c r="E4" s="60" t="s">
        <v>174</v>
      </c>
      <c r="F4" s="60" t="s">
        <v>174</v>
      </c>
    </row>
    <row r="5" spans="1:6" s="50" customFormat="1" ht="13.5" thickBot="1" x14ac:dyDescent="0.25">
      <c r="A5" s="61"/>
      <c r="B5" s="61" t="str">
        <f>+E2</f>
        <v>Comisiones Bancarias</v>
      </c>
      <c r="C5" s="62"/>
      <c r="D5" s="63">
        <f>SUM(D2:D4)</f>
        <v>215002.42</v>
      </c>
      <c r="E5" s="61"/>
      <c r="F5" s="71"/>
    </row>
    <row r="6" spans="1:6" ht="13.5" thickBot="1" x14ac:dyDescent="0.25">
      <c r="A6" s="51">
        <v>45684</v>
      </c>
      <c r="B6" s="52" t="s">
        <v>239</v>
      </c>
      <c r="C6" s="52"/>
      <c r="D6" s="53">
        <v>800000</v>
      </c>
      <c r="E6" s="52" t="s">
        <v>180</v>
      </c>
      <c r="F6" s="52" t="s">
        <v>180</v>
      </c>
    </row>
    <row r="7" spans="1:6" s="50" customFormat="1" ht="13.5" thickBot="1" x14ac:dyDescent="0.25">
      <c r="A7" s="61"/>
      <c r="B7" s="61" t="str">
        <f>+E6</f>
        <v>COMISIONES DISTRIBUIDORES</v>
      </c>
      <c r="C7" s="62"/>
      <c r="D7" s="63">
        <f>SUM(D6)</f>
        <v>800000</v>
      </c>
      <c r="E7" s="61"/>
      <c r="F7" s="71"/>
    </row>
    <row r="8" spans="1:6" ht="13.5" thickBot="1" x14ac:dyDescent="0.25">
      <c r="A8" s="51">
        <v>45660</v>
      </c>
      <c r="B8" s="52" t="s">
        <v>231</v>
      </c>
      <c r="C8" s="52"/>
      <c r="D8" s="53">
        <v>560000</v>
      </c>
      <c r="E8" s="52" t="s">
        <v>167</v>
      </c>
      <c r="F8" s="52" t="s">
        <v>167</v>
      </c>
    </row>
    <row r="9" spans="1:6" ht="13.5" thickBot="1" x14ac:dyDescent="0.25">
      <c r="A9" s="51">
        <v>45660</v>
      </c>
      <c r="B9" s="52" t="s">
        <v>232</v>
      </c>
      <c r="C9" s="52"/>
      <c r="D9" s="53">
        <v>643700</v>
      </c>
      <c r="E9" s="52" t="s">
        <v>167</v>
      </c>
      <c r="F9" s="52" t="s">
        <v>167</v>
      </c>
    </row>
    <row r="10" spans="1:6" ht="13.5" thickBot="1" x14ac:dyDescent="0.25">
      <c r="A10" s="51">
        <v>45681</v>
      </c>
      <c r="B10" s="52" t="s">
        <v>238</v>
      </c>
      <c r="C10" s="52"/>
      <c r="D10" s="53">
        <v>190000</v>
      </c>
      <c r="E10" s="52" t="s">
        <v>167</v>
      </c>
      <c r="F10" s="52" t="s">
        <v>167</v>
      </c>
    </row>
    <row r="11" spans="1:6" s="50" customFormat="1" ht="13.5" thickBot="1" x14ac:dyDescent="0.25">
      <c r="A11" s="61"/>
      <c r="B11" s="61" t="str">
        <f>+E8</f>
        <v>COMISIONES VENTAS</v>
      </c>
      <c r="C11" s="62"/>
      <c r="D11" s="63">
        <f>SUM(D8:D10)</f>
        <v>1393700</v>
      </c>
      <c r="E11" s="61"/>
      <c r="F11" s="71"/>
    </row>
    <row r="12" spans="1:6" ht="13.5" thickBot="1" x14ac:dyDescent="0.25">
      <c r="A12" s="57">
        <v>45670</v>
      </c>
      <c r="B12" s="58" t="s">
        <v>198</v>
      </c>
      <c r="C12" s="58"/>
      <c r="D12" s="59">
        <v>127000.5</v>
      </c>
      <c r="E12" s="58" t="s">
        <v>172</v>
      </c>
      <c r="F12" s="58" t="s">
        <v>199</v>
      </c>
    </row>
    <row r="13" spans="1:6" ht="13.5" thickBot="1" x14ac:dyDescent="0.25">
      <c r="A13" s="57">
        <v>45673</v>
      </c>
      <c r="B13" s="58" t="s">
        <v>208</v>
      </c>
      <c r="C13" s="58"/>
      <c r="D13" s="59">
        <v>704042.64</v>
      </c>
      <c r="E13" s="58" t="s">
        <v>172</v>
      </c>
      <c r="F13" s="58" t="s">
        <v>209</v>
      </c>
    </row>
    <row r="14" spans="1:6" ht="13.5" thickBot="1" x14ac:dyDescent="0.25">
      <c r="A14" s="57">
        <v>45687</v>
      </c>
      <c r="B14" s="58" t="s">
        <v>225</v>
      </c>
      <c r="C14" s="58"/>
      <c r="D14" s="59">
        <v>727500.31</v>
      </c>
      <c r="E14" s="58" t="s">
        <v>172</v>
      </c>
      <c r="F14" s="58" t="s">
        <v>226</v>
      </c>
    </row>
    <row r="15" spans="1:6" s="50" customFormat="1" ht="13.5" thickBot="1" x14ac:dyDescent="0.25">
      <c r="A15" s="61"/>
      <c r="B15" s="61" t="str">
        <f>+E12</f>
        <v>Extraordinarios</v>
      </c>
      <c r="C15" s="62"/>
      <c r="D15" s="63">
        <f>SUM(D12:D14)</f>
        <v>1558543.4500000002</v>
      </c>
      <c r="E15" s="61"/>
      <c r="F15" s="71"/>
    </row>
    <row r="16" spans="1:6" ht="13.5" thickBot="1" x14ac:dyDescent="0.25">
      <c r="A16" s="51">
        <v>45680</v>
      </c>
      <c r="B16" s="52" t="s">
        <v>237</v>
      </c>
      <c r="C16" s="52"/>
      <c r="D16" s="53">
        <v>80000</v>
      </c>
      <c r="E16" s="52" t="s">
        <v>247</v>
      </c>
      <c r="F16" s="52" t="s">
        <v>247</v>
      </c>
    </row>
    <row r="17" spans="1:6" s="50" customFormat="1" ht="13.5" thickBot="1" x14ac:dyDescent="0.25">
      <c r="A17" s="61"/>
      <c r="B17" s="61" t="str">
        <f>+E16</f>
        <v>FLETE</v>
      </c>
      <c r="C17" s="62"/>
      <c r="D17" s="63">
        <f>SUM(D16)</f>
        <v>80000</v>
      </c>
      <c r="E17" s="61"/>
      <c r="F17" s="71"/>
    </row>
    <row r="18" spans="1:6" ht="13.5" thickBot="1" x14ac:dyDescent="0.25">
      <c r="A18" s="57">
        <v>45659</v>
      </c>
      <c r="B18" s="58" t="s">
        <v>122</v>
      </c>
      <c r="C18" s="58"/>
      <c r="D18" s="59">
        <v>9.0500000000000007</v>
      </c>
      <c r="E18" s="58" t="s">
        <v>133</v>
      </c>
      <c r="F18" s="58" t="s">
        <v>134</v>
      </c>
    </row>
    <row r="19" spans="1:6" ht="13.5" thickBot="1" x14ac:dyDescent="0.25">
      <c r="A19" s="57">
        <v>45659</v>
      </c>
      <c r="B19" s="58" t="s">
        <v>122</v>
      </c>
      <c r="C19" s="58"/>
      <c r="D19" s="59">
        <v>9.0500000000000007</v>
      </c>
      <c r="E19" s="58" t="s">
        <v>133</v>
      </c>
      <c r="F19" s="58" t="s">
        <v>134</v>
      </c>
    </row>
    <row r="20" spans="1:6" ht="13.5" thickBot="1" x14ac:dyDescent="0.25">
      <c r="A20" s="57">
        <v>45659</v>
      </c>
      <c r="B20" s="58" t="s">
        <v>122</v>
      </c>
      <c r="C20" s="58"/>
      <c r="D20" s="59">
        <v>63.38</v>
      </c>
      <c r="E20" s="58" t="s">
        <v>133</v>
      </c>
      <c r="F20" s="58" t="s">
        <v>134</v>
      </c>
    </row>
    <row r="21" spans="1:6" ht="13.5" thickBot="1" x14ac:dyDescent="0.25">
      <c r="A21" s="57">
        <v>45659</v>
      </c>
      <c r="B21" s="58" t="s">
        <v>122</v>
      </c>
      <c r="C21" s="58"/>
      <c r="D21" s="59">
        <v>80.260000000000005</v>
      </c>
      <c r="E21" s="58" t="s">
        <v>133</v>
      </c>
      <c r="F21" s="58" t="s">
        <v>134</v>
      </c>
    </row>
    <row r="22" spans="1:6" ht="13.5" thickBot="1" x14ac:dyDescent="0.25">
      <c r="A22" s="57">
        <v>45659</v>
      </c>
      <c r="B22" s="58" t="s">
        <v>122</v>
      </c>
      <c r="C22" s="58"/>
      <c r="D22" s="59">
        <v>95.31</v>
      </c>
      <c r="E22" s="58" t="s">
        <v>133</v>
      </c>
      <c r="F22" s="58" t="s">
        <v>134</v>
      </c>
    </row>
    <row r="23" spans="1:6" ht="13.5" thickBot="1" x14ac:dyDescent="0.25">
      <c r="A23" s="57">
        <v>45659</v>
      </c>
      <c r="B23" s="58" t="s">
        <v>122</v>
      </c>
      <c r="C23" s="58"/>
      <c r="D23" s="59">
        <v>99</v>
      </c>
      <c r="E23" s="58" t="s">
        <v>133</v>
      </c>
      <c r="F23" s="58" t="s">
        <v>134</v>
      </c>
    </row>
    <row r="24" spans="1:6" ht="13.5" thickBot="1" x14ac:dyDescent="0.25">
      <c r="A24" s="57">
        <v>45659</v>
      </c>
      <c r="B24" s="58" t="s">
        <v>122</v>
      </c>
      <c r="C24" s="58"/>
      <c r="D24" s="59">
        <v>210.69</v>
      </c>
      <c r="E24" s="58" t="s">
        <v>133</v>
      </c>
      <c r="F24" s="58" t="s">
        <v>134</v>
      </c>
    </row>
    <row r="25" spans="1:6" ht="13.5" thickBot="1" x14ac:dyDescent="0.25">
      <c r="A25" s="57">
        <v>45659</v>
      </c>
      <c r="B25" s="58" t="s">
        <v>122</v>
      </c>
      <c r="C25" s="58"/>
      <c r="D25" s="59">
        <v>301.8</v>
      </c>
      <c r="E25" s="58" t="s">
        <v>133</v>
      </c>
      <c r="F25" s="58" t="s">
        <v>134</v>
      </c>
    </row>
    <row r="26" spans="1:6" ht="13.5" thickBot="1" x14ac:dyDescent="0.25">
      <c r="A26" s="57">
        <v>45659</v>
      </c>
      <c r="B26" s="58" t="s">
        <v>122</v>
      </c>
      <c r="C26" s="58"/>
      <c r="D26" s="59">
        <v>720</v>
      </c>
      <c r="E26" s="58" t="s">
        <v>133</v>
      </c>
      <c r="F26" s="58" t="s">
        <v>134</v>
      </c>
    </row>
    <row r="27" spans="1:6" ht="13.5" thickBot="1" x14ac:dyDescent="0.25">
      <c r="A27" s="57">
        <v>45659</v>
      </c>
      <c r="B27" s="58" t="s">
        <v>122</v>
      </c>
      <c r="C27" s="58"/>
      <c r="D27" s="59">
        <v>3031.31</v>
      </c>
      <c r="E27" s="58" t="s">
        <v>133</v>
      </c>
      <c r="F27" s="58" t="s">
        <v>134</v>
      </c>
    </row>
    <row r="28" spans="1:6" ht="13.5" thickBot="1" x14ac:dyDescent="0.25">
      <c r="A28" s="57">
        <v>45659</v>
      </c>
      <c r="B28" s="58" t="s">
        <v>122</v>
      </c>
      <c r="C28" s="58"/>
      <c r="D28" s="59">
        <v>3031.31</v>
      </c>
      <c r="E28" s="58" t="s">
        <v>133</v>
      </c>
      <c r="F28" s="58" t="s">
        <v>134</v>
      </c>
    </row>
    <row r="29" spans="1:6" ht="13.5" thickBot="1" x14ac:dyDescent="0.25">
      <c r="A29" s="57">
        <v>45659</v>
      </c>
      <c r="B29" s="58" t="s">
        <v>122</v>
      </c>
      <c r="C29" s="58"/>
      <c r="D29" s="59">
        <v>18716.900000000001</v>
      </c>
      <c r="E29" s="58" t="s">
        <v>133</v>
      </c>
      <c r="F29" s="58" t="s">
        <v>134</v>
      </c>
    </row>
    <row r="30" spans="1:6" ht="13.5" thickBot="1" x14ac:dyDescent="0.25">
      <c r="A30" s="57">
        <v>45660</v>
      </c>
      <c r="B30" s="58" t="s">
        <v>122</v>
      </c>
      <c r="C30" s="58"/>
      <c r="D30" s="59">
        <v>481.19</v>
      </c>
      <c r="E30" s="58" t="s">
        <v>133</v>
      </c>
      <c r="F30" s="58" t="s">
        <v>134</v>
      </c>
    </row>
    <row r="31" spans="1:6" ht="13.5" thickBot="1" x14ac:dyDescent="0.25">
      <c r="A31" s="57">
        <v>45664</v>
      </c>
      <c r="B31" s="58" t="s">
        <v>122</v>
      </c>
      <c r="C31" s="58"/>
      <c r="D31" s="59">
        <v>68.58</v>
      </c>
      <c r="E31" s="58" t="s">
        <v>133</v>
      </c>
      <c r="F31" s="58" t="s">
        <v>134</v>
      </c>
    </row>
    <row r="32" spans="1:6" ht="13.5" thickBot="1" x14ac:dyDescent="0.25">
      <c r="A32" s="57">
        <v>45664</v>
      </c>
      <c r="B32" s="58" t="s">
        <v>122</v>
      </c>
      <c r="C32" s="58"/>
      <c r="D32" s="59">
        <v>157.56</v>
      </c>
      <c r="E32" s="58" t="s">
        <v>133</v>
      </c>
      <c r="F32" s="58" t="s">
        <v>134</v>
      </c>
    </row>
    <row r="33" spans="1:6" ht="13.5" thickBot="1" x14ac:dyDescent="0.25">
      <c r="A33" s="57">
        <v>45664</v>
      </c>
      <c r="B33" s="58" t="s">
        <v>122</v>
      </c>
      <c r="C33" s="58"/>
      <c r="D33" s="59">
        <v>3000</v>
      </c>
      <c r="E33" s="58" t="s">
        <v>133</v>
      </c>
      <c r="F33" s="58" t="s">
        <v>134</v>
      </c>
    </row>
    <row r="34" spans="1:6" ht="13.5" thickBot="1" x14ac:dyDescent="0.25">
      <c r="A34" s="57">
        <v>45664</v>
      </c>
      <c r="B34" s="58" t="s">
        <v>122</v>
      </c>
      <c r="C34" s="58"/>
      <c r="D34" s="59">
        <v>3000</v>
      </c>
      <c r="E34" s="58" t="s">
        <v>133</v>
      </c>
      <c r="F34" s="58" t="s">
        <v>134</v>
      </c>
    </row>
    <row r="35" spans="1:6" ht="13.5" thickBot="1" x14ac:dyDescent="0.25">
      <c r="A35" s="57">
        <v>45664</v>
      </c>
      <c r="B35" s="58" t="s">
        <v>123</v>
      </c>
      <c r="C35" s="58"/>
      <c r="D35" s="59">
        <v>9000</v>
      </c>
      <c r="E35" s="58" t="s">
        <v>133</v>
      </c>
      <c r="F35" s="58" t="s">
        <v>135</v>
      </c>
    </row>
    <row r="36" spans="1:6" ht="13.5" thickBot="1" x14ac:dyDescent="0.25">
      <c r="A36" s="57">
        <v>45664</v>
      </c>
      <c r="B36" s="58" t="s">
        <v>123</v>
      </c>
      <c r="C36" s="58"/>
      <c r="D36" s="59">
        <v>9000</v>
      </c>
      <c r="E36" s="58" t="s">
        <v>133</v>
      </c>
      <c r="F36" s="58" t="s">
        <v>135</v>
      </c>
    </row>
    <row r="37" spans="1:6" ht="13.5" thickBot="1" x14ac:dyDescent="0.25">
      <c r="A37" s="57">
        <v>45665</v>
      </c>
      <c r="B37" s="58" t="s">
        <v>122</v>
      </c>
      <c r="C37" s="58"/>
      <c r="D37" s="59">
        <v>54</v>
      </c>
      <c r="E37" s="58" t="s">
        <v>133</v>
      </c>
      <c r="F37" s="58" t="s">
        <v>134</v>
      </c>
    </row>
    <row r="38" spans="1:6" ht="13.5" thickBot="1" x14ac:dyDescent="0.25">
      <c r="A38" s="57">
        <v>45665</v>
      </c>
      <c r="B38" s="58" t="s">
        <v>122</v>
      </c>
      <c r="C38" s="58"/>
      <c r="D38" s="59">
        <v>54</v>
      </c>
      <c r="E38" s="58" t="s">
        <v>133</v>
      </c>
      <c r="F38" s="58" t="s">
        <v>134</v>
      </c>
    </row>
    <row r="39" spans="1:6" ht="13.5" thickBot="1" x14ac:dyDescent="0.25">
      <c r="A39" s="57">
        <v>45665</v>
      </c>
      <c r="B39" s="58" t="s">
        <v>122</v>
      </c>
      <c r="C39" s="58"/>
      <c r="D39" s="59">
        <v>919.63</v>
      </c>
      <c r="E39" s="58" t="s">
        <v>133</v>
      </c>
      <c r="F39" s="58" t="s">
        <v>134</v>
      </c>
    </row>
    <row r="40" spans="1:6" ht="13.5" thickBot="1" x14ac:dyDescent="0.25">
      <c r="A40" s="57">
        <v>45665</v>
      </c>
      <c r="B40" s="58" t="s">
        <v>122</v>
      </c>
      <c r="C40" s="58"/>
      <c r="D40" s="59">
        <v>12763.91</v>
      </c>
      <c r="E40" s="58" t="s">
        <v>133</v>
      </c>
      <c r="F40" s="58" t="s">
        <v>134</v>
      </c>
    </row>
    <row r="41" spans="1:6" ht="13.5" thickBot="1" x14ac:dyDescent="0.25">
      <c r="A41" s="57">
        <v>45665</v>
      </c>
      <c r="B41" s="58" t="s">
        <v>123</v>
      </c>
      <c r="C41" s="58"/>
      <c r="D41" s="59">
        <v>38291.72</v>
      </c>
      <c r="E41" s="58" t="s">
        <v>133</v>
      </c>
      <c r="F41" s="58" t="s">
        <v>135</v>
      </c>
    </row>
    <row r="42" spans="1:6" ht="13.5" thickBot="1" x14ac:dyDescent="0.25">
      <c r="A42" s="57">
        <v>45666</v>
      </c>
      <c r="B42" s="58" t="s">
        <v>122</v>
      </c>
      <c r="C42" s="58"/>
      <c r="D42" s="59">
        <v>229.75</v>
      </c>
      <c r="E42" s="58" t="s">
        <v>133</v>
      </c>
      <c r="F42" s="58" t="s">
        <v>134</v>
      </c>
    </row>
    <row r="43" spans="1:6" ht="13.5" thickBot="1" x14ac:dyDescent="0.25">
      <c r="A43" s="57">
        <v>45666</v>
      </c>
      <c r="B43" s="58" t="s">
        <v>122</v>
      </c>
      <c r="C43" s="58"/>
      <c r="D43" s="59">
        <v>1923.28</v>
      </c>
      <c r="E43" s="58" t="s">
        <v>133</v>
      </c>
      <c r="F43" s="58" t="s">
        <v>134</v>
      </c>
    </row>
    <row r="44" spans="1:6" ht="13.5" thickBot="1" x14ac:dyDescent="0.25">
      <c r="A44" s="57">
        <v>45670</v>
      </c>
      <c r="B44" s="58" t="s">
        <v>122</v>
      </c>
      <c r="C44" s="58"/>
      <c r="D44" s="59">
        <v>747.78</v>
      </c>
      <c r="E44" s="58" t="s">
        <v>133</v>
      </c>
      <c r="F44" s="58" t="s">
        <v>134</v>
      </c>
    </row>
    <row r="45" spans="1:6" ht="13.5" thickBot="1" x14ac:dyDescent="0.25">
      <c r="A45" s="57">
        <v>45670</v>
      </c>
      <c r="B45" s="58" t="s">
        <v>122</v>
      </c>
      <c r="C45" s="58"/>
      <c r="D45" s="59">
        <v>1429.49</v>
      </c>
      <c r="E45" s="58" t="s">
        <v>133</v>
      </c>
      <c r="F45" s="58" t="s">
        <v>134</v>
      </c>
    </row>
    <row r="46" spans="1:6" ht="13.5" thickBot="1" x14ac:dyDescent="0.25">
      <c r="A46" s="57">
        <v>45671</v>
      </c>
      <c r="B46" s="58" t="s">
        <v>122</v>
      </c>
      <c r="C46" s="58"/>
      <c r="D46" s="59">
        <v>53.9</v>
      </c>
      <c r="E46" s="58" t="s">
        <v>133</v>
      </c>
      <c r="F46" s="58" t="s">
        <v>134</v>
      </c>
    </row>
    <row r="47" spans="1:6" ht="13.5" thickBot="1" x14ac:dyDescent="0.25">
      <c r="A47" s="57">
        <v>45671</v>
      </c>
      <c r="B47" s="58" t="s">
        <v>122</v>
      </c>
      <c r="C47" s="58"/>
      <c r="D47" s="59">
        <v>600</v>
      </c>
      <c r="E47" s="58" t="s">
        <v>133</v>
      </c>
      <c r="F47" s="58" t="s">
        <v>134</v>
      </c>
    </row>
    <row r="48" spans="1:6" ht="13.5" thickBot="1" x14ac:dyDescent="0.25">
      <c r="A48" s="57">
        <v>45671</v>
      </c>
      <c r="B48" s="58" t="s">
        <v>122</v>
      </c>
      <c r="C48" s="58"/>
      <c r="D48" s="59">
        <v>762</v>
      </c>
      <c r="E48" s="58" t="s">
        <v>133</v>
      </c>
      <c r="F48" s="58" t="s">
        <v>134</v>
      </c>
    </row>
    <row r="49" spans="1:6" ht="13.5" thickBot="1" x14ac:dyDescent="0.25">
      <c r="A49" s="57">
        <v>45671</v>
      </c>
      <c r="B49" s="58" t="s">
        <v>122</v>
      </c>
      <c r="C49" s="58"/>
      <c r="D49" s="59">
        <v>821.42</v>
      </c>
      <c r="E49" s="58" t="s">
        <v>133</v>
      </c>
      <c r="F49" s="58" t="s">
        <v>134</v>
      </c>
    </row>
    <row r="50" spans="1:6" ht="13.5" thickBot="1" x14ac:dyDescent="0.25">
      <c r="A50" s="57">
        <v>45671</v>
      </c>
      <c r="B50" s="58" t="s">
        <v>122</v>
      </c>
      <c r="C50" s="58"/>
      <c r="D50" s="59">
        <v>5627.95</v>
      </c>
      <c r="E50" s="58" t="s">
        <v>133</v>
      </c>
      <c r="F50" s="58" t="s">
        <v>134</v>
      </c>
    </row>
    <row r="51" spans="1:6" ht="13.5" thickBot="1" x14ac:dyDescent="0.25">
      <c r="A51" s="57">
        <v>45671</v>
      </c>
      <c r="B51" s="58" t="s">
        <v>123</v>
      </c>
      <c r="C51" s="58"/>
      <c r="D51" s="59">
        <v>16883.86</v>
      </c>
      <c r="E51" s="58" t="s">
        <v>133</v>
      </c>
      <c r="F51" s="58" t="s">
        <v>135</v>
      </c>
    </row>
    <row r="52" spans="1:6" ht="13.5" thickBot="1" x14ac:dyDescent="0.25">
      <c r="A52" s="57">
        <v>45672</v>
      </c>
      <c r="B52" s="58" t="s">
        <v>122</v>
      </c>
      <c r="C52" s="58"/>
      <c r="D52" s="59">
        <v>51.5</v>
      </c>
      <c r="E52" s="58" t="s">
        <v>133</v>
      </c>
      <c r="F52" s="58" t="s">
        <v>134</v>
      </c>
    </row>
    <row r="53" spans="1:6" ht="13.5" thickBot="1" x14ac:dyDescent="0.25">
      <c r="A53" s="57">
        <v>45672</v>
      </c>
      <c r="B53" s="58" t="s">
        <v>122</v>
      </c>
      <c r="C53" s="58"/>
      <c r="D53" s="59">
        <v>101.3</v>
      </c>
      <c r="E53" s="58" t="s">
        <v>133</v>
      </c>
      <c r="F53" s="58" t="s">
        <v>134</v>
      </c>
    </row>
    <row r="54" spans="1:6" ht="13.5" thickBot="1" x14ac:dyDescent="0.25">
      <c r="A54" s="57">
        <v>45672</v>
      </c>
      <c r="B54" s="58" t="s">
        <v>122</v>
      </c>
      <c r="C54" s="58"/>
      <c r="D54" s="59">
        <v>483.1</v>
      </c>
      <c r="E54" s="58" t="s">
        <v>133</v>
      </c>
      <c r="F54" s="58" t="s">
        <v>134</v>
      </c>
    </row>
    <row r="55" spans="1:6" ht="13.5" thickBot="1" x14ac:dyDescent="0.25">
      <c r="A55" s="57">
        <v>45672</v>
      </c>
      <c r="B55" s="58" t="s">
        <v>122</v>
      </c>
      <c r="C55" s="58"/>
      <c r="D55" s="59">
        <v>1506.54</v>
      </c>
      <c r="E55" s="58" t="s">
        <v>133</v>
      </c>
      <c r="F55" s="58" t="s">
        <v>134</v>
      </c>
    </row>
    <row r="56" spans="1:6" ht="13.5" thickBot="1" x14ac:dyDescent="0.25">
      <c r="A56" s="57">
        <v>45672</v>
      </c>
      <c r="B56" s="58" t="s">
        <v>122</v>
      </c>
      <c r="C56" s="58"/>
      <c r="D56" s="59">
        <v>4151.74</v>
      </c>
      <c r="E56" s="58" t="s">
        <v>133</v>
      </c>
      <c r="F56" s="58" t="s">
        <v>134</v>
      </c>
    </row>
    <row r="57" spans="1:6" ht="13.5" thickBot="1" x14ac:dyDescent="0.25">
      <c r="A57" s="57">
        <v>45672</v>
      </c>
      <c r="B57" s="58" t="s">
        <v>122</v>
      </c>
      <c r="C57" s="58"/>
      <c r="D57" s="59">
        <v>8928</v>
      </c>
      <c r="E57" s="58" t="s">
        <v>133</v>
      </c>
      <c r="F57" s="58" t="s">
        <v>134</v>
      </c>
    </row>
    <row r="58" spans="1:6" ht="13.5" thickBot="1" x14ac:dyDescent="0.25">
      <c r="A58" s="57">
        <v>45674</v>
      </c>
      <c r="B58" s="58" t="s">
        <v>122</v>
      </c>
      <c r="C58" s="58"/>
      <c r="D58" s="59">
        <v>4224.26</v>
      </c>
      <c r="E58" s="58" t="s">
        <v>133</v>
      </c>
      <c r="F58" s="58" t="s">
        <v>134</v>
      </c>
    </row>
    <row r="59" spans="1:6" ht="13.5" thickBot="1" x14ac:dyDescent="0.25">
      <c r="A59" s="57">
        <v>45677</v>
      </c>
      <c r="B59" s="58" t="s">
        <v>122</v>
      </c>
      <c r="C59" s="58"/>
      <c r="D59" s="59">
        <v>674.45</v>
      </c>
      <c r="E59" s="58" t="s">
        <v>133</v>
      </c>
      <c r="F59" s="58" t="s">
        <v>134</v>
      </c>
    </row>
    <row r="60" spans="1:6" ht="13.5" thickBot="1" x14ac:dyDescent="0.25">
      <c r="A60" s="57">
        <v>45677</v>
      </c>
      <c r="B60" s="58" t="s">
        <v>122</v>
      </c>
      <c r="C60" s="58"/>
      <c r="D60" s="59">
        <v>1266</v>
      </c>
      <c r="E60" s="58" t="s">
        <v>133</v>
      </c>
      <c r="F60" s="58" t="s">
        <v>134</v>
      </c>
    </row>
    <row r="61" spans="1:6" ht="13.5" thickBot="1" x14ac:dyDescent="0.25">
      <c r="A61" s="57">
        <v>45677</v>
      </c>
      <c r="B61" s="58" t="s">
        <v>122</v>
      </c>
      <c r="C61" s="58"/>
      <c r="D61" s="59">
        <v>1320</v>
      </c>
      <c r="E61" s="58" t="s">
        <v>133</v>
      </c>
      <c r="F61" s="58" t="s">
        <v>134</v>
      </c>
    </row>
    <row r="62" spans="1:6" ht="13.5" thickBot="1" x14ac:dyDescent="0.25">
      <c r="A62" s="57">
        <v>45677</v>
      </c>
      <c r="B62" s="58" t="s">
        <v>122</v>
      </c>
      <c r="C62" s="58"/>
      <c r="D62" s="59">
        <v>2529.4</v>
      </c>
      <c r="E62" s="58" t="s">
        <v>133</v>
      </c>
      <c r="F62" s="58" t="s">
        <v>134</v>
      </c>
    </row>
    <row r="63" spans="1:6" ht="13.5" thickBot="1" x14ac:dyDescent="0.25">
      <c r="A63" s="57">
        <v>45678</v>
      </c>
      <c r="B63" s="58" t="s">
        <v>122</v>
      </c>
      <c r="C63" s="58"/>
      <c r="D63" s="59">
        <v>1888.2</v>
      </c>
      <c r="E63" s="58" t="s">
        <v>133</v>
      </c>
      <c r="F63" s="58" t="s">
        <v>134</v>
      </c>
    </row>
    <row r="64" spans="1:6" ht="13.5" thickBot="1" x14ac:dyDescent="0.25">
      <c r="A64" s="57">
        <v>45678</v>
      </c>
      <c r="B64" s="58" t="s">
        <v>122</v>
      </c>
      <c r="C64" s="58"/>
      <c r="D64" s="59">
        <v>3000</v>
      </c>
      <c r="E64" s="58" t="s">
        <v>133</v>
      </c>
      <c r="F64" s="58" t="s">
        <v>134</v>
      </c>
    </row>
    <row r="65" spans="1:6" ht="13.5" thickBot="1" x14ac:dyDescent="0.25">
      <c r="A65" s="57">
        <v>45678</v>
      </c>
      <c r="B65" s="58" t="s">
        <v>122</v>
      </c>
      <c r="C65" s="58"/>
      <c r="D65" s="59">
        <v>3000</v>
      </c>
      <c r="E65" s="58" t="s">
        <v>133</v>
      </c>
      <c r="F65" s="58" t="s">
        <v>134</v>
      </c>
    </row>
    <row r="66" spans="1:6" ht="13.5" thickBot="1" x14ac:dyDescent="0.25">
      <c r="A66" s="57">
        <v>45678</v>
      </c>
      <c r="B66" s="58" t="s">
        <v>122</v>
      </c>
      <c r="C66" s="58"/>
      <c r="D66" s="59">
        <v>6000</v>
      </c>
      <c r="E66" s="58" t="s">
        <v>133</v>
      </c>
      <c r="F66" s="58" t="s">
        <v>134</v>
      </c>
    </row>
    <row r="67" spans="1:6" ht="13.5" thickBot="1" x14ac:dyDescent="0.25">
      <c r="A67" s="57">
        <v>45678</v>
      </c>
      <c r="B67" s="58" t="s">
        <v>122</v>
      </c>
      <c r="C67" s="58"/>
      <c r="D67" s="59">
        <v>6480</v>
      </c>
      <c r="E67" s="58" t="s">
        <v>133</v>
      </c>
      <c r="F67" s="58" t="s">
        <v>134</v>
      </c>
    </row>
    <row r="68" spans="1:6" ht="13.5" thickBot="1" x14ac:dyDescent="0.25">
      <c r="A68" s="57">
        <v>45678</v>
      </c>
      <c r="B68" s="58" t="s">
        <v>122</v>
      </c>
      <c r="C68" s="58"/>
      <c r="D68" s="59">
        <v>8518.2000000000007</v>
      </c>
      <c r="E68" s="58" t="s">
        <v>133</v>
      </c>
      <c r="F68" s="58" t="s">
        <v>134</v>
      </c>
    </row>
    <row r="69" spans="1:6" ht="13.5" thickBot="1" x14ac:dyDescent="0.25">
      <c r="A69" s="57">
        <v>45678</v>
      </c>
      <c r="B69" s="58" t="s">
        <v>218</v>
      </c>
      <c r="C69" s="58"/>
      <c r="D69" s="59">
        <v>9000</v>
      </c>
      <c r="E69" s="58" t="s">
        <v>133</v>
      </c>
      <c r="F69" s="58" t="s">
        <v>135</v>
      </c>
    </row>
    <row r="70" spans="1:6" ht="13.5" thickBot="1" x14ac:dyDescent="0.25">
      <c r="A70" s="57">
        <v>45678</v>
      </c>
      <c r="B70" s="58" t="s">
        <v>218</v>
      </c>
      <c r="C70" s="58"/>
      <c r="D70" s="59">
        <v>9000</v>
      </c>
      <c r="E70" s="58" t="s">
        <v>133</v>
      </c>
      <c r="F70" s="58" t="s">
        <v>135</v>
      </c>
    </row>
    <row r="71" spans="1:6" ht="13.5" thickBot="1" x14ac:dyDescent="0.25">
      <c r="A71" s="57">
        <v>45678</v>
      </c>
      <c r="B71" s="58" t="s">
        <v>218</v>
      </c>
      <c r="C71" s="58"/>
      <c r="D71" s="59">
        <v>18000</v>
      </c>
      <c r="E71" s="58" t="s">
        <v>133</v>
      </c>
      <c r="F71" s="58" t="s">
        <v>135</v>
      </c>
    </row>
    <row r="72" spans="1:6" ht="13.5" thickBot="1" x14ac:dyDescent="0.25">
      <c r="A72" s="57">
        <v>45678</v>
      </c>
      <c r="B72" s="58" t="s">
        <v>218</v>
      </c>
      <c r="C72" s="58"/>
      <c r="D72" s="59">
        <v>19440</v>
      </c>
      <c r="E72" s="58" t="s">
        <v>133</v>
      </c>
      <c r="F72" s="58" t="s">
        <v>135</v>
      </c>
    </row>
    <row r="73" spans="1:6" ht="13.5" thickBot="1" x14ac:dyDescent="0.25">
      <c r="A73" s="57">
        <v>45678</v>
      </c>
      <c r="B73" s="58" t="s">
        <v>218</v>
      </c>
      <c r="C73" s="58"/>
      <c r="D73" s="59">
        <v>25554.6</v>
      </c>
      <c r="E73" s="58" t="s">
        <v>133</v>
      </c>
      <c r="F73" s="58" t="s">
        <v>135</v>
      </c>
    </row>
    <row r="74" spans="1:6" ht="13.5" thickBot="1" x14ac:dyDescent="0.25">
      <c r="A74" s="57">
        <v>45679</v>
      </c>
      <c r="B74" s="58" t="s">
        <v>122</v>
      </c>
      <c r="C74" s="58"/>
      <c r="D74" s="59">
        <v>54</v>
      </c>
      <c r="E74" s="58" t="s">
        <v>133</v>
      </c>
      <c r="F74" s="58" t="s">
        <v>134</v>
      </c>
    </row>
    <row r="75" spans="1:6" ht="13.5" thickBot="1" x14ac:dyDescent="0.25">
      <c r="A75" s="57">
        <v>45679</v>
      </c>
      <c r="B75" s="58" t="s">
        <v>122</v>
      </c>
      <c r="C75" s="58"/>
      <c r="D75" s="59">
        <v>54</v>
      </c>
      <c r="E75" s="58" t="s">
        <v>133</v>
      </c>
      <c r="F75" s="58" t="s">
        <v>134</v>
      </c>
    </row>
    <row r="76" spans="1:6" ht="13.5" thickBot="1" x14ac:dyDescent="0.25">
      <c r="A76" s="57">
        <v>45679</v>
      </c>
      <c r="B76" s="58" t="s">
        <v>122</v>
      </c>
      <c r="C76" s="58"/>
      <c r="D76" s="59">
        <v>108</v>
      </c>
      <c r="E76" s="58" t="s">
        <v>133</v>
      </c>
      <c r="F76" s="58" t="s">
        <v>134</v>
      </c>
    </row>
    <row r="77" spans="1:6" ht="13.5" thickBot="1" x14ac:dyDescent="0.25">
      <c r="A77" s="57">
        <v>45679</v>
      </c>
      <c r="B77" s="58" t="s">
        <v>122</v>
      </c>
      <c r="C77" s="58"/>
      <c r="D77" s="59">
        <v>116.64</v>
      </c>
      <c r="E77" s="58" t="s">
        <v>133</v>
      </c>
      <c r="F77" s="58" t="s">
        <v>134</v>
      </c>
    </row>
    <row r="78" spans="1:6" ht="13.5" thickBot="1" x14ac:dyDescent="0.25">
      <c r="A78" s="57">
        <v>45679</v>
      </c>
      <c r="B78" s="58" t="s">
        <v>122</v>
      </c>
      <c r="C78" s="58"/>
      <c r="D78" s="59">
        <v>153.33000000000001</v>
      </c>
      <c r="E78" s="58" t="s">
        <v>133</v>
      </c>
      <c r="F78" s="58" t="s">
        <v>134</v>
      </c>
    </row>
    <row r="79" spans="1:6" ht="13.5" thickBot="1" x14ac:dyDescent="0.25">
      <c r="A79" s="57">
        <v>45679</v>
      </c>
      <c r="B79" s="58" t="s">
        <v>122</v>
      </c>
      <c r="C79" s="58"/>
      <c r="D79" s="59">
        <v>68173.47</v>
      </c>
      <c r="E79" s="58" t="s">
        <v>133</v>
      </c>
      <c r="F79" s="58" t="s">
        <v>134</v>
      </c>
    </row>
    <row r="80" spans="1:6" ht="13.5" thickBot="1" x14ac:dyDescent="0.25">
      <c r="A80" s="57">
        <v>45679</v>
      </c>
      <c r="B80" s="58" t="s">
        <v>218</v>
      </c>
      <c r="C80" s="58"/>
      <c r="D80" s="59">
        <v>204520.41</v>
      </c>
      <c r="E80" s="58" t="s">
        <v>133</v>
      </c>
      <c r="F80" s="58" t="s">
        <v>135</v>
      </c>
    </row>
    <row r="81" spans="1:6" ht="13.5" thickBot="1" x14ac:dyDescent="0.25">
      <c r="A81" s="57">
        <v>45680</v>
      </c>
      <c r="B81" s="58" t="s">
        <v>122</v>
      </c>
      <c r="C81" s="58"/>
      <c r="D81" s="59">
        <v>1227.1199999999999</v>
      </c>
      <c r="E81" s="58" t="s">
        <v>133</v>
      </c>
      <c r="F81" s="58" t="s">
        <v>134</v>
      </c>
    </row>
    <row r="82" spans="1:6" ht="13.5" thickBot="1" x14ac:dyDescent="0.25">
      <c r="A82" s="57">
        <v>45681</v>
      </c>
      <c r="B82" s="58" t="s">
        <v>122</v>
      </c>
      <c r="C82" s="58"/>
      <c r="D82" s="59">
        <v>1800</v>
      </c>
      <c r="E82" s="58" t="s">
        <v>133</v>
      </c>
      <c r="F82" s="58" t="s">
        <v>134</v>
      </c>
    </row>
    <row r="83" spans="1:6" ht="13.5" thickBot="1" x14ac:dyDescent="0.25">
      <c r="A83" s="57">
        <v>45681</v>
      </c>
      <c r="B83" s="58" t="s">
        <v>122</v>
      </c>
      <c r="C83" s="58"/>
      <c r="D83" s="59">
        <v>6586.62</v>
      </c>
      <c r="E83" s="58" t="s">
        <v>133</v>
      </c>
      <c r="F83" s="58" t="s">
        <v>134</v>
      </c>
    </row>
    <row r="84" spans="1:6" ht="13.5" thickBot="1" x14ac:dyDescent="0.25">
      <c r="A84" s="57">
        <v>45684</v>
      </c>
      <c r="B84" s="58" t="s">
        <v>122</v>
      </c>
      <c r="C84" s="58"/>
      <c r="D84" s="59">
        <v>3000</v>
      </c>
      <c r="E84" s="58" t="s">
        <v>133</v>
      </c>
      <c r="F84" s="58" t="s">
        <v>134</v>
      </c>
    </row>
    <row r="85" spans="1:6" ht="13.5" thickBot="1" x14ac:dyDescent="0.25">
      <c r="A85" s="57">
        <v>45684</v>
      </c>
      <c r="B85" s="58" t="s">
        <v>218</v>
      </c>
      <c r="C85" s="58"/>
      <c r="D85" s="59">
        <v>9000</v>
      </c>
      <c r="E85" s="58" t="s">
        <v>133</v>
      </c>
      <c r="F85" s="58" t="s">
        <v>135</v>
      </c>
    </row>
    <row r="86" spans="1:6" ht="13.5" thickBot="1" x14ac:dyDescent="0.25">
      <c r="A86" s="57">
        <v>45685</v>
      </c>
      <c r="B86" s="58" t="s">
        <v>122</v>
      </c>
      <c r="C86" s="58"/>
      <c r="D86" s="59">
        <v>54</v>
      </c>
      <c r="E86" s="58" t="s">
        <v>133</v>
      </c>
      <c r="F86" s="58" t="s">
        <v>134</v>
      </c>
    </row>
    <row r="87" spans="1:6" ht="13.5" thickBot="1" x14ac:dyDescent="0.25">
      <c r="A87" s="57">
        <v>45685</v>
      </c>
      <c r="B87" s="58" t="s">
        <v>122</v>
      </c>
      <c r="C87" s="58"/>
      <c r="D87" s="59">
        <v>15357.4</v>
      </c>
      <c r="E87" s="58" t="s">
        <v>133</v>
      </c>
      <c r="F87" s="58" t="s">
        <v>134</v>
      </c>
    </row>
    <row r="88" spans="1:6" ht="13.5" thickBot="1" x14ac:dyDescent="0.25">
      <c r="A88" s="57">
        <v>45685</v>
      </c>
      <c r="B88" s="58" t="s">
        <v>218</v>
      </c>
      <c r="C88" s="58"/>
      <c r="D88" s="59">
        <v>46072.19</v>
      </c>
      <c r="E88" s="58" t="s">
        <v>133</v>
      </c>
      <c r="F88" s="58" t="s">
        <v>135</v>
      </c>
    </row>
    <row r="89" spans="1:6" ht="13.5" thickBot="1" x14ac:dyDescent="0.25">
      <c r="A89" s="57">
        <v>45686</v>
      </c>
      <c r="B89" s="58" t="s">
        <v>122</v>
      </c>
      <c r="C89" s="58"/>
      <c r="D89" s="59">
        <v>276.43</v>
      </c>
      <c r="E89" s="58" t="s">
        <v>133</v>
      </c>
      <c r="F89" s="58" t="s">
        <v>134</v>
      </c>
    </row>
    <row r="90" spans="1:6" ht="13.5" thickBot="1" x14ac:dyDescent="0.25">
      <c r="A90" s="57">
        <v>45686</v>
      </c>
      <c r="B90" s="58" t="s">
        <v>122</v>
      </c>
      <c r="C90" s="58"/>
      <c r="D90" s="59">
        <v>2100</v>
      </c>
      <c r="E90" s="58" t="s">
        <v>133</v>
      </c>
      <c r="F90" s="58" t="s">
        <v>134</v>
      </c>
    </row>
    <row r="91" spans="1:6" ht="13.5" thickBot="1" x14ac:dyDescent="0.25">
      <c r="A91" s="57">
        <v>45686</v>
      </c>
      <c r="B91" s="58" t="s">
        <v>218</v>
      </c>
      <c r="C91" s="58"/>
      <c r="D91" s="59">
        <v>6300</v>
      </c>
      <c r="E91" s="58" t="s">
        <v>133</v>
      </c>
      <c r="F91" s="58" t="s">
        <v>135</v>
      </c>
    </row>
    <row r="92" spans="1:6" ht="13.5" thickBot="1" x14ac:dyDescent="0.25">
      <c r="A92" s="57">
        <v>45687</v>
      </c>
      <c r="B92" s="58" t="s">
        <v>122</v>
      </c>
      <c r="C92" s="58"/>
      <c r="D92" s="59">
        <v>37.799999999999997</v>
      </c>
      <c r="E92" s="58" t="s">
        <v>133</v>
      </c>
      <c r="F92" s="58" t="s">
        <v>134</v>
      </c>
    </row>
    <row r="93" spans="1:6" ht="13.5" thickBot="1" x14ac:dyDescent="0.25">
      <c r="A93" s="57">
        <v>45687</v>
      </c>
      <c r="B93" s="58" t="s">
        <v>122</v>
      </c>
      <c r="C93" s="58"/>
      <c r="D93" s="59">
        <v>2790</v>
      </c>
      <c r="E93" s="58" t="s">
        <v>133</v>
      </c>
      <c r="F93" s="58" t="s">
        <v>134</v>
      </c>
    </row>
    <row r="94" spans="1:6" ht="13.5" thickBot="1" x14ac:dyDescent="0.25">
      <c r="A94" s="57">
        <v>45688</v>
      </c>
      <c r="B94" s="58" t="s">
        <v>122</v>
      </c>
      <c r="C94" s="58"/>
      <c r="D94" s="59">
        <v>4028.46</v>
      </c>
      <c r="E94" s="58" t="s">
        <v>133</v>
      </c>
      <c r="F94" s="58" t="s">
        <v>134</v>
      </c>
    </row>
    <row r="95" spans="1:6" ht="13.5" thickBot="1" x14ac:dyDescent="0.25">
      <c r="A95" s="57">
        <v>45688</v>
      </c>
      <c r="B95" s="58" t="s">
        <v>122</v>
      </c>
      <c r="C95" s="58"/>
      <c r="D95" s="59">
        <v>4365</v>
      </c>
      <c r="E95" s="58" t="s">
        <v>133</v>
      </c>
      <c r="F95" s="58" t="s">
        <v>134</v>
      </c>
    </row>
    <row r="96" spans="1:6" ht="13.5" thickBot="1" x14ac:dyDescent="0.25">
      <c r="A96" s="57">
        <v>45688</v>
      </c>
      <c r="B96" s="60" t="s">
        <v>121</v>
      </c>
      <c r="C96" s="58"/>
      <c r="D96" s="59">
        <v>10563</v>
      </c>
      <c r="E96" s="60" t="s">
        <v>133</v>
      </c>
      <c r="F96" s="60" t="s">
        <v>121</v>
      </c>
    </row>
    <row r="97" spans="1:6" ht="13.5" thickBot="1" x14ac:dyDescent="0.25">
      <c r="A97" s="57">
        <v>45688</v>
      </c>
      <c r="B97" s="60" t="s">
        <v>129</v>
      </c>
      <c r="C97" s="58"/>
      <c r="D97" s="59">
        <v>1509</v>
      </c>
      <c r="E97" s="60" t="s">
        <v>133</v>
      </c>
      <c r="F97" s="60" t="s">
        <v>121</v>
      </c>
    </row>
    <row r="98" spans="1:6" ht="13.5" thickBot="1" x14ac:dyDescent="0.25">
      <c r="A98" s="57">
        <v>45688</v>
      </c>
      <c r="B98" s="60" t="s">
        <v>130</v>
      </c>
      <c r="C98" s="58"/>
      <c r="D98" s="59">
        <v>1509</v>
      </c>
      <c r="E98" s="60" t="s">
        <v>133</v>
      </c>
      <c r="F98" s="60" t="s">
        <v>145</v>
      </c>
    </row>
    <row r="99" spans="1:6" s="50" customFormat="1" ht="13.5" thickBot="1" x14ac:dyDescent="0.25">
      <c r="A99" s="61"/>
      <c r="B99" s="61" t="str">
        <f>+E18</f>
        <v>Impuestos</v>
      </c>
      <c r="C99" s="62"/>
      <c r="D99" s="63">
        <f>SUM(D18:D98)</f>
        <v>657111.24000000011</v>
      </c>
      <c r="E99" s="61"/>
      <c r="F99" s="71"/>
    </row>
    <row r="100" spans="1:6" ht="13.5" thickBot="1" x14ac:dyDescent="0.25">
      <c r="A100" s="57">
        <v>45659</v>
      </c>
      <c r="B100" s="58" t="s">
        <v>185</v>
      </c>
      <c r="C100" s="58"/>
      <c r="D100" s="59">
        <v>80198.259999999995</v>
      </c>
      <c r="E100" s="58" t="s">
        <v>131</v>
      </c>
      <c r="F100" s="58" t="s">
        <v>186</v>
      </c>
    </row>
    <row r="101" spans="1:6" ht="13.5" thickBot="1" x14ac:dyDescent="0.25">
      <c r="A101" s="57">
        <v>45663</v>
      </c>
      <c r="B101" s="58" t="s">
        <v>188</v>
      </c>
      <c r="C101" s="58"/>
      <c r="D101" s="59">
        <v>26260.44</v>
      </c>
      <c r="E101" s="58" t="s">
        <v>131</v>
      </c>
      <c r="F101" s="58" t="s">
        <v>136</v>
      </c>
    </row>
    <row r="102" spans="1:6" ht="13.5" thickBot="1" x14ac:dyDescent="0.25">
      <c r="A102" s="57">
        <v>45665</v>
      </c>
      <c r="B102" s="58" t="s">
        <v>190</v>
      </c>
      <c r="C102" s="58"/>
      <c r="D102" s="59">
        <v>320546.39</v>
      </c>
      <c r="E102" s="58" t="s">
        <v>131</v>
      </c>
      <c r="F102" s="58" t="s">
        <v>191</v>
      </c>
    </row>
    <row r="103" spans="1:6" ht="13.5" thickBot="1" x14ac:dyDescent="0.25">
      <c r="A103" s="57">
        <v>45667</v>
      </c>
      <c r="B103" s="58" t="s">
        <v>192</v>
      </c>
      <c r="C103" s="58"/>
      <c r="D103" s="59">
        <v>238249</v>
      </c>
      <c r="E103" s="58" t="s">
        <v>131</v>
      </c>
      <c r="F103" s="58" t="s">
        <v>193</v>
      </c>
    </row>
    <row r="104" spans="1:6" ht="13.5" thickBot="1" x14ac:dyDescent="0.25">
      <c r="A104" s="57">
        <v>45667</v>
      </c>
      <c r="B104" s="58" t="s">
        <v>194</v>
      </c>
      <c r="C104" s="58"/>
      <c r="D104" s="59">
        <v>124630</v>
      </c>
      <c r="E104" s="58" t="s">
        <v>131</v>
      </c>
      <c r="F104" s="58" t="s">
        <v>195</v>
      </c>
    </row>
    <row r="105" spans="1:6" ht="13.5" thickBot="1" x14ac:dyDescent="0.25">
      <c r="A105" s="57">
        <v>45670</v>
      </c>
      <c r="B105" s="58" t="s">
        <v>196</v>
      </c>
      <c r="C105" s="58"/>
      <c r="D105" s="59">
        <v>100000</v>
      </c>
      <c r="E105" s="58" t="s">
        <v>131</v>
      </c>
      <c r="F105" s="58" t="s">
        <v>197</v>
      </c>
    </row>
    <row r="106" spans="1:6" ht="13.5" thickBot="1" x14ac:dyDescent="0.25">
      <c r="A106" s="57">
        <v>45670</v>
      </c>
      <c r="B106" s="58" t="s">
        <v>201</v>
      </c>
      <c r="C106" s="58"/>
      <c r="D106" s="59">
        <v>136902.53</v>
      </c>
      <c r="E106" s="58" t="s">
        <v>131</v>
      </c>
      <c r="F106" s="58" t="s">
        <v>142</v>
      </c>
    </row>
    <row r="107" spans="1:6" ht="13.5" thickBot="1" x14ac:dyDescent="0.25">
      <c r="A107" s="57">
        <v>45671</v>
      </c>
      <c r="B107" s="58" t="s">
        <v>205</v>
      </c>
      <c r="C107" s="58"/>
      <c r="D107" s="59">
        <v>251090</v>
      </c>
      <c r="E107" s="58" t="s">
        <v>131</v>
      </c>
      <c r="F107" s="58" t="s">
        <v>137</v>
      </c>
    </row>
    <row r="108" spans="1:6" ht="13.5" thickBot="1" x14ac:dyDescent="0.25">
      <c r="A108" s="57">
        <v>45671</v>
      </c>
      <c r="B108" s="58" t="s">
        <v>206</v>
      </c>
      <c r="C108" s="58"/>
      <c r="D108" s="59">
        <v>1488000</v>
      </c>
      <c r="E108" s="58" t="s">
        <v>131</v>
      </c>
      <c r="F108" s="58" t="s">
        <v>207</v>
      </c>
    </row>
    <row r="109" spans="1:6" ht="13.5" thickBot="1" x14ac:dyDescent="0.25">
      <c r="A109" s="57">
        <v>45674</v>
      </c>
      <c r="B109" s="58" t="s">
        <v>210</v>
      </c>
      <c r="C109" s="58"/>
      <c r="D109" s="59">
        <v>421566.27</v>
      </c>
      <c r="E109" s="58" t="s">
        <v>131</v>
      </c>
      <c r="F109" s="58" t="s">
        <v>191</v>
      </c>
    </row>
    <row r="110" spans="1:6" ht="13.5" thickBot="1" x14ac:dyDescent="0.25">
      <c r="A110" s="57">
        <v>45674</v>
      </c>
      <c r="B110" s="58" t="s">
        <v>213</v>
      </c>
      <c r="C110" s="58"/>
      <c r="D110" s="59">
        <v>211000</v>
      </c>
      <c r="E110" s="58" t="s">
        <v>131</v>
      </c>
      <c r="F110" s="58" t="s">
        <v>214</v>
      </c>
    </row>
    <row r="111" spans="1:6" ht="13.5" thickBot="1" x14ac:dyDescent="0.25">
      <c r="A111" s="57">
        <v>45674</v>
      </c>
      <c r="B111" s="58" t="s">
        <v>215</v>
      </c>
      <c r="C111" s="58"/>
      <c r="D111" s="59">
        <v>220000</v>
      </c>
      <c r="E111" s="58" t="s">
        <v>131</v>
      </c>
      <c r="F111" s="58" t="s">
        <v>144</v>
      </c>
    </row>
    <row r="112" spans="1:6" ht="13.5" thickBot="1" x14ac:dyDescent="0.25">
      <c r="A112" s="57">
        <v>45677</v>
      </c>
      <c r="B112" s="58" t="s">
        <v>216</v>
      </c>
      <c r="C112" s="58"/>
      <c r="D112" s="59">
        <v>314700</v>
      </c>
      <c r="E112" s="58" t="s">
        <v>131</v>
      </c>
      <c r="F112" s="58" t="s">
        <v>217</v>
      </c>
    </row>
    <row r="113" spans="1:6" ht="13.5" thickBot="1" x14ac:dyDescent="0.25">
      <c r="A113" s="57">
        <v>45680</v>
      </c>
      <c r="B113" s="58" t="s">
        <v>219</v>
      </c>
      <c r="C113" s="58"/>
      <c r="D113" s="59">
        <v>300000</v>
      </c>
      <c r="E113" s="58" t="s">
        <v>131</v>
      </c>
      <c r="F113" s="58" t="s">
        <v>220</v>
      </c>
    </row>
    <row r="114" spans="1:6" ht="13.5" thickBot="1" x14ac:dyDescent="0.25">
      <c r="A114" s="57">
        <v>45680</v>
      </c>
      <c r="B114" s="58" t="s">
        <v>221</v>
      </c>
      <c r="C114" s="58"/>
      <c r="D114" s="59">
        <v>1097770.6000000001</v>
      </c>
      <c r="E114" s="58" t="s">
        <v>131</v>
      </c>
      <c r="F114" s="58" t="s">
        <v>222</v>
      </c>
    </row>
    <row r="115" spans="1:6" ht="13.5" thickBot="1" x14ac:dyDescent="0.25">
      <c r="A115" s="57">
        <v>45686</v>
      </c>
      <c r="B115" s="58" t="s">
        <v>250</v>
      </c>
      <c r="C115" s="58"/>
      <c r="D115" s="59">
        <v>465000.01</v>
      </c>
      <c r="E115" s="58" t="s">
        <v>131</v>
      </c>
      <c r="F115" s="58" t="s">
        <v>223</v>
      </c>
    </row>
    <row r="116" spans="1:6" ht="13.5" thickBot="1" x14ac:dyDescent="0.25">
      <c r="A116" s="57">
        <v>45687</v>
      </c>
      <c r="B116" s="58" t="s">
        <v>224</v>
      </c>
      <c r="C116" s="58"/>
      <c r="D116" s="59">
        <v>671410.09</v>
      </c>
      <c r="E116" s="58" t="s">
        <v>131</v>
      </c>
      <c r="F116" s="58" t="s">
        <v>197</v>
      </c>
    </row>
    <row r="117" spans="1:6" ht="13.5" thickBot="1" x14ac:dyDescent="0.25">
      <c r="A117" s="51">
        <v>45663</v>
      </c>
      <c r="B117" s="52" t="s">
        <v>233</v>
      </c>
      <c r="C117" s="52"/>
      <c r="D117" s="53">
        <v>507100</v>
      </c>
      <c r="E117" s="52" t="s">
        <v>164</v>
      </c>
      <c r="F117" s="52" t="s">
        <v>245</v>
      </c>
    </row>
    <row r="118" spans="1:6" ht="13.5" thickBot="1" x14ac:dyDescent="0.25">
      <c r="A118" s="51">
        <v>45674</v>
      </c>
      <c r="B118" s="52" t="s">
        <v>175</v>
      </c>
      <c r="C118" s="52"/>
      <c r="D118" s="53">
        <v>20000</v>
      </c>
      <c r="E118" s="52" t="s">
        <v>164</v>
      </c>
      <c r="F118" s="52" t="s">
        <v>176</v>
      </c>
    </row>
    <row r="119" spans="1:6" ht="13.5" thickBot="1" x14ac:dyDescent="0.25">
      <c r="A119" s="51">
        <v>45677</v>
      </c>
      <c r="B119" s="52" t="s">
        <v>234</v>
      </c>
      <c r="C119" s="52"/>
      <c r="D119" s="53">
        <v>8000.01</v>
      </c>
      <c r="E119" s="52" t="s">
        <v>164</v>
      </c>
      <c r="F119" s="52" t="s">
        <v>246</v>
      </c>
    </row>
    <row r="120" spans="1:6" ht="13.5" thickBot="1" x14ac:dyDescent="0.25">
      <c r="A120" s="51">
        <v>45679</v>
      </c>
      <c r="B120" s="52" t="s">
        <v>235</v>
      </c>
      <c r="C120" s="52"/>
      <c r="D120" s="53">
        <v>22001.39</v>
      </c>
      <c r="E120" s="52" t="s">
        <v>164</v>
      </c>
      <c r="F120" s="52" t="s">
        <v>246</v>
      </c>
    </row>
    <row r="121" spans="1:6" ht="13.5" thickBot="1" x14ac:dyDescent="0.25">
      <c r="A121" s="51">
        <v>45680</v>
      </c>
      <c r="B121" s="52" t="s">
        <v>236</v>
      </c>
      <c r="C121" s="52"/>
      <c r="D121" s="53">
        <v>18750.5</v>
      </c>
      <c r="E121" s="52" t="s">
        <v>164</v>
      </c>
      <c r="F121" s="52" t="s">
        <v>246</v>
      </c>
    </row>
    <row r="122" spans="1:6" ht="13.5" thickBot="1" x14ac:dyDescent="0.25">
      <c r="A122" s="51">
        <v>45681</v>
      </c>
      <c r="B122" s="52" t="s">
        <v>175</v>
      </c>
      <c r="C122" s="52"/>
      <c r="D122" s="53">
        <v>30000</v>
      </c>
      <c r="E122" s="52" t="s">
        <v>164</v>
      </c>
      <c r="F122" s="52" t="s">
        <v>176</v>
      </c>
    </row>
    <row r="123" spans="1:6" ht="13.5" thickBot="1" x14ac:dyDescent="0.25">
      <c r="A123" s="51">
        <v>45688</v>
      </c>
      <c r="B123" s="52" t="s">
        <v>175</v>
      </c>
      <c r="C123" s="52"/>
      <c r="D123" s="53">
        <v>4000</v>
      </c>
      <c r="E123" s="52" t="s">
        <v>164</v>
      </c>
      <c r="F123" s="52" t="s">
        <v>176</v>
      </c>
    </row>
    <row r="124" spans="1:6" ht="13.5" thickBot="1" x14ac:dyDescent="0.25">
      <c r="A124" s="51">
        <v>45688</v>
      </c>
      <c r="B124" s="52" t="s">
        <v>175</v>
      </c>
      <c r="C124" s="52"/>
      <c r="D124" s="53">
        <v>50000</v>
      </c>
      <c r="E124" s="52" t="s">
        <v>164</v>
      </c>
      <c r="F124" s="52" t="s">
        <v>176</v>
      </c>
    </row>
    <row r="125" spans="1:6" s="50" customFormat="1" ht="13.5" thickBot="1" x14ac:dyDescent="0.25">
      <c r="A125" s="61"/>
      <c r="B125" s="61" t="str">
        <f>+E100</f>
        <v>Local</v>
      </c>
      <c r="C125" s="62"/>
      <c r="D125" s="63">
        <f>SUM(D100:D124)</f>
        <v>7127175.4899999993</v>
      </c>
      <c r="E125" s="61"/>
      <c r="F125" s="71"/>
    </row>
    <row r="126" spans="1:6" ht="13.5" thickBot="1" x14ac:dyDescent="0.25">
      <c r="A126" s="51">
        <v>45688</v>
      </c>
      <c r="B126" s="52" t="s">
        <v>243</v>
      </c>
      <c r="C126" s="52"/>
      <c r="D126" s="53">
        <v>1000000</v>
      </c>
      <c r="E126" s="52" t="s">
        <v>248</v>
      </c>
      <c r="F126" s="52" t="s">
        <v>249</v>
      </c>
    </row>
    <row r="127" spans="1:6" s="50" customFormat="1" ht="13.5" thickBot="1" x14ac:dyDescent="0.25">
      <c r="A127" s="61"/>
      <c r="B127" s="61" t="str">
        <f>+E126</f>
        <v>PUESTA EN MARCHA</v>
      </c>
      <c r="C127" s="62"/>
      <c r="D127" s="63">
        <f>SUM(D126)</f>
        <v>1000000</v>
      </c>
      <c r="E127" s="61"/>
      <c r="F127" s="71"/>
    </row>
    <row r="128" spans="1:6" ht="13.5" thickBot="1" x14ac:dyDescent="0.25">
      <c r="A128" s="57">
        <v>45670</v>
      </c>
      <c r="B128" s="58" t="s">
        <v>200</v>
      </c>
      <c r="C128" s="58"/>
      <c r="D128" s="59">
        <v>8984.02</v>
      </c>
      <c r="E128" s="58" t="s">
        <v>132</v>
      </c>
      <c r="F128" s="58" t="s">
        <v>141</v>
      </c>
    </row>
    <row r="129" spans="1:6" ht="13.5" thickBot="1" x14ac:dyDescent="0.25">
      <c r="A129" s="57">
        <v>45671</v>
      </c>
      <c r="B129" s="58" t="s">
        <v>202</v>
      </c>
      <c r="C129" s="58"/>
      <c r="D129" s="59">
        <v>8584.1200000000008</v>
      </c>
      <c r="E129" s="58" t="s">
        <v>132</v>
      </c>
      <c r="F129" s="58" t="s">
        <v>139</v>
      </c>
    </row>
    <row r="130" spans="1:6" ht="13.5" thickBot="1" x14ac:dyDescent="0.25">
      <c r="A130" s="57">
        <v>45671</v>
      </c>
      <c r="B130" s="58" t="s">
        <v>203</v>
      </c>
      <c r="C130" s="58"/>
      <c r="D130" s="59">
        <v>80516.59</v>
      </c>
      <c r="E130" s="58" t="s">
        <v>132</v>
      </c>
      <c r="F130" s="58" t="s">
        <v>140</v>
      </c>
    </row>
    <row r="131" spans="1:6" ht="13.5" thickBot="1" x14ac:dyDescent="0.25">
      <c r="A131" s="57">
        <v>45671</v>
      </c>
      <c r="B131" s="58" t="s">
        <v>204</v>
      </c>
      <c r="C131" s="58"/>
      <c r="D131" s="59">
        <v>691956.48</v>
      </c>
      <c r="E131" s="58" t="s">
        <v>132</v>
      </c>
      <c r="F131" s="58" t="s">
        <v>138</v>
      </c>
    </row>
    <row r="132" spans="1:6" ht="13.5" thickBot="1" x14ac:dyDescent="0.25">
      <c r="A132" s="64">
        <v>45674</v>
      </c>
      <c r="B132" s="65" t="s">
        <v>211</v>
      </c>
      <c r="C132" s="65"/>
      <c r="D132" s="66">
        <v>112407.57</v>
      </c>
      <c r="E132" s="65" t="s">
        <v>132</v>
      </c>
      <c r="F132" s="65" t="s">
        <v>212</v>
      </c>
    </row>
    <row r="133" spans="1:6" s="6" customFormat="1" ht="14.25" thickBot="1" x14ac:dyDescent="0.3">
      <c r="A133" s="15">
        <v>46021</v>
      </c>
      <c r="B133" s="16" t="s">
        <v>126</v>
      </c>
      <c r="D133" s="14">
        <v>505218</v>
      </c>
      <c r="E133" s="16" t="s">
        <v>132</v>
      </c>
      <c r="F133" s="16" t="s">
        <v>132</v>
      </c>
    </row>
    <row r="134" spans="1:6" s="6" customFormat="1" ht="14.25" thickBot="1" x14ac:dyDescent="0.3">
      <c r="A134" s="15">
        <v>46021</v>
      </c>
      <c r="B134" s="16" t="s">
        <v>125</v>
      </c>
      <c r="D134" s="14">
        <v>505218</v>
      </c>
      <c r="E134" s="16" t="s">
        <v>132</v>
      </c>
      <c r="F134" s="16" t="s">
        <v>132</v>
      </c>
    </row>
    <row r="135" spans="1:6" s="6" customFormat="1" ht="14.25" thickBot="1" x14ac:dyDescent="0.3">
      <c r="A135" s="15">
        <v>46021</v>
      </c>
      <c r="B135" s="16" t="s">
        <v>127</v>
      </c>
      <c r="D135" s="14">
        <v>3119484</v>
      </c>
      <c r="E135" s="16" t="s">
        <v>132</v>
      </c>
      <c r="F135" s="16" t="s">
        <v>132</v>
      </c>
    </row>
    <row r="136" spans="1:6" x14ac:dyDescent="0.2">
      <c r="A136" s="54">
        <v>45684</v>
      </c>
      <c r="B136" s="55" t="s">
        <v>240</v>
      </c>
      <c r="C136" s="55"/>
      <c r="D136" s="56">
        <v>250000</v>
      </c>
      <c r="E136" s="55" t="s">
        <v>163</v>
      </c>
      <c r="F136" s="55" t="s">
        <v>163</v>
      </c>
    </row>
    <row r="137" spans="1:6" x14ac:dyDescent="0.2">
      <c r="A137" s="54">
        <v>45684</v>
      </c>
      <c r="B137" s="55" t="s">
        <v>241</v>
      </c>
      <c r="C137" s="55"/>
      <c r="D137" s="56">
        <v>200000</v>
      </c>
      <c r="E137" s="55" t="s">
        <v>163</v>
      </c>
      <c r="F137" s="55" t="s">
        <v>163</v>
      </c>
    </row>
    <row r="138" spans="1:6" x14ac:dyDescent="0.2">
      <c r="A138" s="54">
        <v>45684</v>
      </c>
      <c r="B138" s="55" t="s">
        <v>242</v>
      </c>
      <c r="C138" s="55"/>
      <c r="D138" s="56">
        <v>250000</v>
      </c>
      <c r="E138" s="55" t="s">
        <v>163</v>
      </c>
      <c r="F138" s="55" t="s">
        <v>163</v>
      </c>
    </row>
    <row r="139" spans="1:6" ht="13.5" thickBot="1" x14ac:dyDescent="0.25">
      <c r="A139" s="54">
        <v>45688</v>
      </c>
      <c r="B139" s="55" t="s">
        <v>244</v>
      </c>
      <c r="C139" s="55"/>
      <c r="D139" s="56">
        <v>750000</v>
      </c>
      <c r="E139" s="55" t="s">
        <v>163</v>
      </c>
      <c r="F139" s="55" t="s">
        <v>163</v>
      </c>
    </row>
    <row r="140" spans="1:6" s="50" customFormat="1" ht="13.5" thickBot="1" x14ac:dyDescent="0.25">
      <c r="A140" s="61"/>
      <c r="B140" s="61" t="str">
        <f>+E128</f>
        <v>Sueldos</v>
      </c>
      <c r="C140" s="62"/>
      <c r="D140" s="63">
        <f>SUM(D128:D139)</f>
        <v>6482368.7800000003</v>
      </c>
      <c r="E140" s="61"/>
      <c r="F140" s="71"/>
    </row>
    <row r="142" spans="1:6" s="50" customFormat="1" x14ac:dyDescent="0.2">
      <c r="A142" s="105"/>
      <c r="B142" s="105"/>
      <c r="C142" s="105"/>
      <c r="D142" s="106">
        <f>+D5+D7+D11+D15+D17+D99+D125+D127+D140</f>
        <v>19313901.379999999</v>
      </c>
      <c r="E142" s="105"/>
      <c r="F142" s="105"/>
    </row>
    <row r="144" spans="1:6" x14ac:dyDescent="0.2">
      <c r="A144" s="72" t="s">
        <v>251</v>
      </c>
    </row>
    <row r="145" spans="1:6" x14ac:dyDescent="0.2">
      <c r="A145" s="67">
        <v>45688</v>
      </c>
      <c r="B145" s="68" t="s">
        <v>227</v>
      </c>
      <c r="C145" s="69"/>
      <c r="D145" s="70">
        <v>511825</v>
      </c>
      <c r="E145" s="69" t="s">
        <v>132</v>
      </c>
      <c r="F145" s="69" t="s">
        <v>132</v>
      </c>
    </row>
    <row r="146" spans="1:6" x14ac:dyDescent="0.2">
      <c r="A146" s="67">
        <v>45688</v>
      </c>
      <c r="B146" s="68" t="s">
        <v>228</v>
      </c>
      <c r="C146" s="69"/>
      <c r="D146" s="70">
        <v>511825</v>
      </c>
      <c r="E146" s="69" t="s">
        <v>132</v>
      </c>
      <c r="F146" s="69" t="s">
        <v>132</v>
      </c>
    </row>
  </sheetData>
  <autoFilter ref="A1:G139" xr:uid="{7D39FC09-67B1-4389-93ED-E9AE970AAC6E}"/>
  <sortState xmlns:xlrd2="http://schemas.microsoft.com/office/spreadsheetml/2017/richdata2" ref="A2:G139">
    <sortCondition ref="E2:E1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AD1013"/>
  <sheetViews>
    <sheetView topLeftCell="E1" zoomScale="90" zoomScaleNormal="90" workbookViewId="0">
      <selection activeCell="Z2" sqref="Z2"/>
    </sheetView>
  </sheetViews>
  <sheetFormatPr baseColWidth="10" defaultRowHeight="15" x14ac:dyDescent="0.25"/>
  <cols>
    <col min="2" max="2" width="11" bestFit="1" customWidth="1"/>
    <col min="4" max="4" width="11" bestFit="1" customWidth="1"/>
    <col min="6" max="6" width="12.140625" bestFit="1" customWidth="1"/>
    <col min="7" max="7" width="11" bestFit="1" customWidth="1"/>
    <col min="8" max="8" width="14.140625" bestFit="1" customWidth="1"/>
    <col min="9" max="9" width="14.85546875" bestFit="1" customWidth="1"/>
    <col min="10" max="10" width="14.140625" bestFit="1" customWidth="1"/>
    <col min="11" max="12" width="13.5703125" bestFit="1" customWidth="1"/>
    <col min="13" max="14" width="14.140625" bestFit="1" customWidth="1"/>
    <col min="15" max="15" width="13.5703125" bestFit="1" customWidth="1"/>
    <col min="16" max="16" width="18" customWidth="1"/>
    <col min="17" max="19" width="0" hidden="1" customWidth="1"/>
    <col min="20" max="20" width="12.140625" hidden="1" customWidth="1"/>
    <col min="21" max="21" width="13.5703125" hidden="1" customWidth="1"/>
    <col min="22" max="22" width="17.140625" hidden="1" customWidth="1"/>
    <col min="23" max="25" width="0" hidden="1" customWidth="1"/>
    <col min="26" max="26" width="12.5703125" bestFit="1" customWidth="1"/>
    <col min="27" max="28" width="0" hidden="1" customWidth="1"/>
  </cols>
  <sheetData>
    <row r="1" spans="1:30" ht="26.25" thickBot="1" x14ac:dyDescent="0.3">
      <c r="A1" s="73" t="s">
        <v>252</v>
      </c>
      <c r="B1" s="74" t="s">
        <v>168</v>
      </c>
      <c r="C1" s="74" t="s">
        <v>253</v>
      </c>
      <c r="D1" s="74" t="s">
        <v>254</v>
      </c>
      <c r="E1" s="74" t="s">
        <v>146</v>
      </c>
      <c r="F1" s="74" t="s">
        <v>147</v>
      </c>
      <c r="G1" s="74" t="s">
        <v>148</v>
      </c>
      <c r="H1" s="74" t="s">
        <v>255</v>
      </c>
      <c r="I1" s="74" t="s">
        <v>256</v>
      </c>
      <c r="J1" s="74" t="s">
        <v>257</v>
      </c>
      <c r="K1" s="74" t="s">
        <v>258</v>
      </c>
      <c r="L1" s="74" t="s">
        <v>259</v>
      </c>
      <c r="M1" s="74" t="s">
        <v>149</v>
      </c>
      <c r="N1" s="74" t="s">
        <v>121</v>
      </c>
      <c r="O1" s="74" t="s">
        <v>260</v>
      </c>
      <c r="P1" s="74" t="s">
        <v>150</v>
      </c>
      <c r="Q1" s="74" t="s">
        <v>261</v>
      </c>
      <c r="R1" s="74" t="s">
        <v>262</v>
      </c>
      <c r="S1" s="74" t="s">
        <v>143</v>
      </c>
      <c r="T1" s="74" t="s">
        <v>263</v>
      </c>
      <c r="U1" s="74" t="s">
        <v>264</v>
      </c>
      <c r="V1" s="74" t="s">
        <v>265</v>
      </c>
      <c r="W1" s="74" t="s">
        <v>266</v>
      </c>
      <c r="X1" s="74" t="s">
        <v>151</v>
      </c>
      <c r="Y1" s="74" t="s">
        <v>152</v>
      </c>
      <c r="Z1" s="74" t="s">
        <v>153</v>
      </c>
      <c r="AA1" s="74" t="s">
        <v>177</v>
      </c>
      <c r="AB1" s="75" t="s">
        <v>267</v>
      </c>
      <c r="AC1" s="17"/>
      <c r="AD1" s="17"/>
    </row>
    <row r="2" spans="1:30" ht="37.5" customHeight="1" thickBot="1" x14ac:dyDescent="0.3">
      <c r="A2" s="116" t="s">
        <v>154</v>
      </c>
      <c r="B2" s="147">
        <v>45670</v>
      </c>
      <c r="C2" s="114" t="s">
        <v>268</v>
      </c>
      <c r="D2" s="20" t="s">
        <v>1</v>
      </c>
      <c r="E2" s="20">
        <v>202410318</v>
      </c>
      <c r="F2" s="20" t="s">
        <v>155</v>
      </c>
      <c r="G2" s="21">
        <v>1</v>
      </c>
      <c r="H2" s="76">
        <v>1080000</v>
      </c>
      <c r="I2" s="139">
        <v>1632001</v>
      </c>
      <c r="J2" s="150">
        <v>0.05</v>
      </c>
      <c r="K2" s="139">
        <v>1550400.95</v>
      </c>
      <c r="L2" s="122">
        <v>775200</v>
      </c>
      <c r="M2" s="144">
        <v>0.21</v>
      </c>
      <c r="N2" s="122">
        <v>162792</v>
      </c>
      <c r="O2" s="122">
        <v>937992</v>
      </c>
      <c r="P2" s="139">
        <v>1713192.95</v>
      </c>
      <c r="Q2" s="122">
        <v>937992</v>
      </c>
      <c r="R2" s="114"/>
      <c r="S2" s="114"/>
      <c r="T2" s="122">
        <v>775200</v>
      </c>
      <c r="U2" s="110">
        <v>1713192</v>
      </c>
      <c r="V2" s="112">
        <v>0.95</v>
      </c>
      <c r="W2" s="114" t="s">
        <v>269</v>
      </c>
      <c r="X2" s="116">
        <v>20356126778</v>
      </c>
      <c r="Y2" s="114" t="s">
        <v>270</v>
      </c>
      <c r="Z2" s="18">
        <v>264354</v>
      </c>
      <c r="AA2" s="124">
        <v>77520</v>
      </c>
      <c r="AB2" s="17"/>
      <c r="AC2" s="17"/>
      <c r="AD2" s="17"/>
    </row>
    <row r="3" spans="1:30" ht="26.25" thickBot="1" x14ac:dyDescent="0.3">
      <c r="A3" s="138"/>
      <c r="B3" s="148"/>
      <c r="C3" s="137"/>
      <c r="D3" s="20" t="s">
        <v>162</v>
      </c>
      <c r="E3" s="20" t="s">
        <v>271</v>
      </c>
      <c r="F3" s="20" t="s">
        <v>160</v>
      </c>
      <c r="G3" s="21">
        <v>1</v>
      </c>
      <c r="H3" s="76">
        <v>370000</v>
      </c>
      <c r="I3" s="140"/>
      <c r="J3" s="151"/>
      <c r="K3" s="140"/>
      <c r="L3" s="142"/>
      <c r="M3" s="145"/>
      <c r="N3" s="142"/>
      <c r="O3" s="142"/>
      <c r="P3" s="140"/>
      <c r="Q3" s="142"/>
      <c r="R3" s="137"/>
      <c r="S3" s="137"/>
      <c r="T3" s="142"/>
      <c r="U3" s="135"/>
      <c r="V3" s="136"/>
      <c r="W3" s="137"/>
      <c r="X3" s="138"/>
      <c r="Y3" s="137"/>
      <c r="Z3" s="18">
        <v>115357</v>
      </c>
      <c r="AA3" s="125"/>
      <c r="AB3" s="17"/>
      <c r="AC3" s="17"/>
      <c r="AD3" s="17"/>
    </row>
    <row r="4" spans="1:30" ht="15.75" thickBot="1" x14ac:dyDescent="0.3">
      <c r="A4" s="127"/>
      <c r="B4" s="149"/>
      <c r="C4" s="129"/>
      <c r="D4" s="20" t="s">
        <v>161</v>
      </c>
      <c r="E4" s="20" t="s">
        <v>272</v>
      </c>
      <c r="F4" s="20" t="s">
        <v>272</v>
      </c>
      <c r="G4" s="21">
        <v>2</v>
      </c>
      <c r="H4" s="76">
        <v>91000</v>
      </c>
      <c r="I4" s="141"/>
      <c r="J4" s="152"/>
      <c r="K4" s="141"/>
      <c r="L4" s="143"/>
      <c r="M4" s="146"/>
      <c r="N4" s="143"/>
      <c r="O4" s="143"/>
      <c r="P4" s="141"/>
      <c r="Q4" s="143"/>
      <c r="R4" s="129"/>
      <c r="S4" s="129"/>
      <c r="T4" s="143"/>
      <c r="U4" s="133"/>
      <c r="V4" s="134"/>
      <c r="W4" s="129"/>
      <c r="X4" s="127"/>
      <c r="Y4" s="129"/>
      <c r="Z4" s="18">
        <v>61290</v>
      </c>
      <c r="AA4" s="126"/>
      <c r="AB4" s="17"/>
      <c r="AC4" s="17"/>
      <c r="AD4" s="17"/>
    </row>
    <row r="5" spans="1:30" ht="26.25" thickBot="1" x14ac:dyDescent="0.3">
      <c r="A5" s="116" t="s">
        <v>154</v>
      </c>
      <c r="B5" s="118">
        <v>45675</v>
      </c>
      <c r="C5" s="114" t="s">
        <v>273</v>
      </c>
      <c r="D5" s="20" t="s">
        <v>158</v>
      </c>
      <c r="E5" s="20" t="s">
        <v>274</v>
      </c>
      <c r="F5" s="20" t="s">
        <v>155</v>
      </c>
      <c r="G5" s="21">
        <v>2</v>
      </c>
      <c r="H5" s="76">
        <v>4350000</v>
      </c>
      <c r="I5" s="78">
        <v>8700000</v>
      </c>
      <c r="J5" s="77">
        <v>0.15</v>
      </c>
      <c r="K5" s="78">
        <v>7395000</v>
      </c>
      <c r="L5" s="76">
        <v>7395000</v>
      </c>
      <c r="M5" s="79">
        <v>0.105</v>
      </c>
      <c r="N5" s="76">
        <v>776475</v>
      </c>
      <c r="O5" s="76">
        <v>8171475</v>
      </c>
      <c r="P5" s="120">
        <v>13999245</v>
      </c>
      <c r="Q5" s="131">
        <v>11362245</v>
      </c>
      <c r="R5" s="114"/>
      <c r="S5" s="114"/>
      <c r="T5" s="131">
        <v>2637000</v>
      </c>
      <c r="U5" s="110">
        <v>13999245</v>
      </c>
      <c r="V5" s="112">
        <v>0</v>
      </c>
      <c r="W5" s="114" t="s">
        <v>275</v>
      </c>
      <c r="X5" s="116">
        <v>30702226216</v>
      </c>
      <c r="Y5" s="114" t="s">
        <v>270</v>
      </c>
      <c r="Z5" s="18">
        <v>2143317</v>
      </c>
      <c r="AA5" s="80">
        <v>369750</v>
      </c>
      <c r="AB5" s="17"/>
      <c r="AC5" s="17"/>
      <c r="AD5" s="17"/>
    </row>
    <row r="6" spans="1:30" ht="26.25" thickBot="1" x14ac:dyDescent="0.3">
      <c r="A6" s="127"/>
      <c r="B6" s="128"/>
      <c r="C6" s="129"/>
      <c r="D6" s="20" t="s">
        <v>276</v>
      </c>
      <c r="E6" s="20" t="s">
        <v>277</v>
      </c>
      <c r="F6" s="20" t="s">
        <v>155</v>
      </c>
      <c r="G6" s="21">
        <v>1</v>
      </c>
      <c r="H6" s="76">
        <v>5860000</v>
      </c>
      <c r="I6" s="78">
        <v>5860000</v>
      </c>
      <c r="J6" s="77">
        <v>0.1</v>
      </c>
      <c r="K6" s="78">
        <v>5274000</v>
      </c>
      <c r="L6" s="76">
        <v>2637000</v>
      </c>
      <c r="M6" s="79">
        <v>0.21</v>
      </c>
      <c r="N6" s="76">
        <v>553770</v>
      </c>
      <c r="O6" s="76">
        <v>3190770</v>
      </c>
      <c r="P6" s="130"/>
      <c r="Q6" s="132"/>
      <c r="R6" s="129"/>
      <c r="S6" s="129"/>
      <c r="T6" s="132"/>
      <c r="U6" s="133"/>
      <c r="V6" s="134"/>
      <c r="W6" s="129"/>
      <c r="X6" s="127"/>
      <c r="Y6" s="129"/>
      <c r="Z6" s="18">
        <v>2071520</v>
      </c>
      <c r="AA6" s="80">
        <v>263700</v>
      </c>
      <c r="AB6" s="17"/>
      <c r="AC6" s="17"/>
      <c r="AD6" s="17"/>
    </row>
    <row r="7" spans="1:30" ht="51.75" thickBot="1" x14ac:dyDescent="0.3">
      <c r="A7" s="81" t="s">
        <v>154</v>
      </c>
      <c r="B7" s="82">
        <v>45681</v>
      </c>
      <c r="C7" s="22" t="s">
        <v>278</v>
      </c>
      <c r="D7" s="22" t="s">
        <v>119</v>
      </c>
      <c r="E7" s="22">
        <v>202403604</v>
      </c>
      <c r="F7" s="22" t="s">
        <v>155</v>
      </c>
      <c r="G7" s="23">
        <v>1</v>
      </c>
      <c r="H7" s="83">
        <v>2010000</v>
      </c>
      <c r="I7" s="85">
        <v>2010000</v>
      </c>
      <c r="J7" s="84">
        <v>0.1</v>
      </c>
      <c r="K7" s="85">
        <v>1809000</v>
      </c>
      <c r="L7" s="83">
        <v>1809000</v>
      </c>
      <c r="M7" s="86">
        <v>0.21</v>
      </c>
      <c r="N7" s="83">
        <v>379890</v>
      </c>
      <c r="O7" s="83">
        <v>2188890</v>
      </c>
      <c r="P7" s="85">
        <v>2188890</v>
      </c>
      <c r="Q7" s="24">
        <v>500000</v>
      </c>
      <c r="R7" s="24">
        <v>1500000</v>
      </c>
      <c r="S7" s="22"/>
      <c r="T7" s="24">
        <v>188890</v>
      </c>
      <c r="U7" s="87">
        <v>2188890</v>
      </c>
      <c r="V7" s="88">
        <v>0</v>
      </c>
      <c r="W7" s="22" t="s">
        <v>279</v>
      </c>
      <c r="X7" s="23">
        <v>20141876989</v>
      </c>
      <c r="Y7" s="22" t="s">
        <v>280</v>
      </c>
      <c r="Z7" s="24">
        <v>492296</v>
      </c>
      <c r="AA7" s="89">
        <v>90450</v>
      </c>
      <c r="AB7" s="90">
        <v>801420</v>
      </c>
      <c r="AC7" s="17"/>
      <c r="AD7" s="17"/>
    </row>
    <row r="8" spans="1:30" ht="39.75" thickTop="1" thickBot="1" x14ac:dyDescent="0.3">
      <c r="A8" s="91" t="s">
        <v>120</v>
      </c>
      <c r="B8" s="92">
        <v>45677</v>
      </c>
      <c r="C8" s="20" t="s">
        <v>281</v>
      </c>
      <c r="D8" s="20" t="s">
        <v>159</v>
      </c>
      <c r="E8" s="20" t="s">
        <v>282</v>
      </c>
      <c r="F8" s="20" t="s">
        <v>160</v>
      </c>
      <c r="G8" s="21">
        <v>1</v>
      </c>
      <c r="H8" s="76">
        <v>3210000</v>
      </c>
      <c r="I8" s="78">
        <v>3210000</v>
      </c>
      <c r="J8" s="77">
        <v>0.05</v>
      </c>
      <c r="K8" s="78">
        <v>3179502</v>
      </c>
      <c r="L8" s="76">
        <v>3179502</v>
      </c>
      <c r="M8" s="79">
        <v>0.105</v>
      </c>
      <c r="N8" s="76">
        <v>320198</v>
      </c>
      <c r="O8" s="76">
        <v>3499700</v>
      </c>
      <c r="P8" s="19">
        <v>3499700</v>
      </c>
      <c r="Q8" s="76">
        <v>3499700</v>
      </c>
      <c r="R8" s="20"/>
      <c r="S8" s="20"/>
      <c r="T8" s="20"/>
      <c r="U8" s="93">
        <v>3499700</v>
      </c>
      <c r="V8" s="94">
        <v>0</v>
      </c>
      <c r="W8" s="20" t="s">
        <v>283</v>
      </c>
      <c r="X8" s="21">
        <v>23407978269</v>
      </c>
      <c r="Y8" s="20" t="s">
        <v>284</v>
      </c>
      <c r="Z8" s="18">
        <v>748743</v>
      </c>
      <c r="AA8" s="80">
        <v>158975</v>
      </c>
      <c r="AB8" s="17"/>
      <c r="AC8" s="17"/>
      <c r="AD8" s="17"/>
    </row>
    <row r="9" spans="1:30" ht="26.25" thickBot="1" x14ac:dyDescent="0.3">
      <c r="A9" s="91" t="s">
        <v>120</v>
      </c>
      <c r="B9" s="92">
        <v>45672</v>
      </c>
      <c r="C9" s="20" t="s">
        <v>285</v>
      </c>
      <c r="D9" s="20" t="s">
        <v>286</v>
      </c>
      <c r="E9" s="20">
        <v>202410349</v>
      </c>
      <c r="F9" s="20" t="s">
        <v>155</v>
      </c>
      <c r="G9" s="21">
        <v>1</v>
      </c>
      <c r="H9" s="76">
        <v>5386000</v>
      </c>
      <c r="I9" s="78">
        <v>5386000</v>
      </c>
      <c r="J9" s="77">
        <v>0.1</v>
      </c>
      <c r="K9" s="78">
        <v>4847400</v>
      </c>
      <c r="L9" s="76">
        <v>2423700</v>
      </c>
      <c r="M9" s="79">
        <v>0.105</v>
      </c>
      <c r="N9" s="76">
        <v>254488.5</v>
      </c>
      <c r="O9" s="76">
        <v>2678188.5</v>
      </c>
      <c r="P9" s="19">
        <v>5101889</v>
      </c>
      <c r="Q9" s="20"/>
      <c r="R9" s="20"/>
      <c r="S9" s="20"/>
      <c r="T9" s="18">
        <v>5101889</v>
      </c>
      <c r="U9" s="93">
        <v>5101889</v>
      </c>
      <c r="V9" s="94">
        <v>-0.5</v>
      </c>
      <c r="W9" s="20" t="s">
        <v>287</v>
      </c>
      <c r="X9" s="21">
        <v>20280954560</v>
      </c>
      <c r="Y9" s="20" t="s">
        <v>288</v>
      </c>
      <c r="Z9" s="18">
        <v>1407253</v>
      </c>
      <c r="AA9" s="80">
        <v>242370</v>
      </c>
      <c r="AB9" s="17"/>
      <c r="AC9" s="17"/>
      <c r="AD9" s="17"/>
    </row>
    <row r="10" spans="1:30" ht="26.25" thickBot="1" x14ac:dyDescent="0.3">
      <c r="A10" s="116" t="s">
        <v>120</v>
      </c>
      <c r="B10" s="118">
        <v>45668</v>
      </c>
      <c r="C10" s="114" t="s">
        <v>289</v>
      </c>
      <c r="D10" s="20" t="s">
        <v>158</v>
      </c>
      <c r="E10" s="20">
        <v>24146015</v>
      </c>
      <c r="F10" s="20" t="s">
        <v>155</v>
      </c>
      <c r="G10" s="21">
        <v>1</v>
      </c>
      <c r="H10" s="76">
        <v>4350000</v>
      </c>
      <c r="I10" s="78">
        <v>4350000</v>
      </c>
      <c r="J10" s="77">
        <v>0.05</v>
      </c>
      <c r="K10" s="78">
        <v>4132500</v>
      </c>
      <c r="L10" s="76">
        <v>2066250</v>
      </c>
      <c r="M10" s="79">
        <v>0.105</v>
      </c>
      <c r="N10" s="76">
        <v>216956.25</v>
      </c>
      <c r="O10" s="76">
        <v>2283206.25</v>
      </c>
      <c r="P10" s="120">
        <v>4459566</v>
      </c>
      <c r="Q10" s="122">
        <v>2559566.25</v>
      </c>
      <c r="R10" s="114"/>
      <c r="S10" s="114"/>
      <c r="T10" s="131">
        <v>1900000</v>
      </c>
      <c r="U10" s="110">
        <v>4459566.25</v>
      </c>
      <c r="V10" s="112">
        <v>0</v>
      </c>
      <c r="W10" s="114" t="s">
        <v>290</v>
      </c>
      <c r="X10" s="116">
        <v>20274975734</v>
      </c>
      <c r="Y10" s="114" t="s">
        <v>288</v>
      </c>
      <c r="Z10" s="18">
        <v>1071659</v>
      </c>
      <c r="AA10" s="80">
        <v>206625</v>
      </c>
      <c r="AB10" s="17"/>
      <c r="AC10" s="17"/>
      <c r="AD10" s="17"/>
    </row>
    <row r="11" spans="1:30" ht="25.5" customHeight="1" thickBot="1" x14ac:dyDescent="0.3">
      <c r="A11" s="117"/>
      <c r="B11" s="119"/>
      <c r="C11" s="115"/>
      <c r="D11" s="22" t="s">
        <v>156</v>
      </c>
      <c r="E11" s="22" t="s">
        <v>157</v>
      </c>
      <c r="F11" s="22" t="s">
        <v>157</v>
      </c>
      <c r="G11" s="23">
        <v>1</v>
      </c>
      <c r="H11" s="83">
        <v>91000</v>
      </c>
      <c r="I11" s="85">
        <v>91000</v>
      </c>
      <c r="J11" s="84">
        <v>0</v>
      </c>
      <c r="K11" s="85">
        <v>91000</v>
      </c>
      <c r="L11" s="83">
        <v>91000</v>
      </c>
      <c r="M11" s="86">
        <v>0.21</v>
      </c>
      <c r="N11" s="83">
        <v>19110</v>
      </c>
      <c r="O11" s="83">
        <v>110110</v>
      </c>
      <c r="P11" s="121"/>
      <c r="Q11" s="123"/>
      <c r="R11" s="115"/>
      <c r="S11" s="115"/>
      <c r="T11" s="153"/>
      <c r="U11" s="111"/>
      <c r="V11" s="113"/>
      <c r="W11" s="115"/>
      <c r="X11" s="117"/>
      <c r="Y11" s="115"/>
      <c r="Z11" s="24">
        <v>30645</v>
      </c>
      <c r="AA11" s="89">
        <v>4550</v>
      </c>
      <c r="AB11" s="90">
        <v>612520</v>
      </c>
      <c r="AC11" s="17"/>
      <c r="AD11" s="17"/>
    </row>
    <row r="12" spans="1:30" ht="26.25" customHeight="1" thickTop="1" thickBot="1" x14ac:dyDescent="0.3">
      <c r="A12" s="91" t="s">
        <v>118</v>
      </c>
      <c r="B12" s="95">
        <v>45660</v>
      </c>
      <c r="C12" s="20" t="s">
        <v>291</v>
      </c>
      <c r="D12" s="20" t="s">
        <v>158</v>
      </c>
      <c r="E12" s="20">
        <v>24146011</v>
      </c>
      <c r="F12" s="20" t="s">
        <v>155</v>
      </c>
      <c r="G12" s="21">
        <v>1</v>
      </c>
      <c r="H12" s="76">
        <v>4350000</v>
      </c>
      <c r="I12" s="78">
        <v>4350000</v>
      </c>
      <c r="J12" s="20"/>
      <c r="K12" s="78">
        <v>4350000</v>
      </c>
      <c r="L12" s="76">
        <v>2175000</v>
      </c>
      <c r="M12" s="79">
        <v>0.105</v>
      </c>
      <c r="N12" s="76">
        <v>228375</v>
      </c>
      <c r="O12" s="76">
        <v>2403375</v>
      </c>
      <c r="P12" s="78">
        <v>4578375</v>
      </c>
      <c r="Q12" s="20"/>
      <c r="R12" s="20"/>
      <c r="S12" s="76">
        <v>2403375</v>
      </c>
      <c r="T12" s="18">
        <v>2059200</v>
      </c>
      <c r="U12" s="93">
        <v>4462575</v>
      </c>
      <c r="V12" s="96">
        <v>115800</v>
      </c>
      <c r="W12" s="20" t="s">
        <v>292</v>
      </c>
      <c r="X12" s="21">
        <v>20407945442</v>
      </c>
      <c r="Y12" s="20" t="s">
        <v>293</v>
      </c>
      <c r="Z12" s="18">
        <v>1071659</v>
      </c>
      <c r="AA12" s="20"/>
      <c r="AB12" s="17"/>
      <c r="AC12" s="17"/>
      <c r="AD12" s="17"/>
    </row>
    <row r="13" spans="1:30" ht="26.25" thickBot="1" x14ac:dyDescent="0.3">
      <c r="A13" s="91" t="s">
        <v>118</v>
      </c>
      <c r="B13" s="95">
        <v>45682</v>
      </c>
      <c r="C13" s="20" t="s">
        <v>294</v>
      </c>
      <c r="D13" s="20" t="s">
        <v>119</v>
      </c>
      <c r="E13" s="20">
        <v>202403592</v>
      </c>
      <c r="F13" s="20" t="s">
        <v>155</v>
      </c>
      <c r="G13" s="21">
        <v>1</v>
      </c>
      <c r="H13" s="76">
        <v>2010000</v>
      </c>
      <c r="I13" s="78">
        <v>2010000</v>
      </c>
      <c r="J13" s="20"/>
      <c r="K13" s="78">
        <v>2010000</v>
      </c>
      <c r="L13" s="76">
        <v>703500</v>
      </c>
      <c r="M13" s="79">
        <v>0.21</v>
      </c>
      <c r="N13" s="76">
        <v>147735</v>
      </c>
      <c r="O13" s="76">
        <v>851235</v>
      </c>
      <c r="P13" s="78">
        <v>2157735</v>
      </c>
      <c r="Q13" s="20"/>
      <c r="R13" s="20"/>
      <c r="S13" s="20"/>
      <c r="T13" s="18">
        <v>1500000</v>
      </c>
      <c r="U13" s="93">
        <v>1500000</v>
      </c>
      <c r="V13" s="96">
        <v>657735</v>
      </c>
      <c r="W13" s="20" t="s">
        <v>295</v>
      </c>
      <c r="X13" s="21">
        <v>27318849167</v>
      </c>
      <c r="Y13" s="20" t="s">
        <v>288</v>
      </c>
      <c r="Z13" s="18">
        <v>492296</v>
      </c>
      <c r="AA13" s="20"/>
      <c r="AB13" s="17"/>
      <c r="AC13" s="17"/>
      <c r="AD13" s="17"/>
    </row>
    <row r="14" spans="1:30" ht="15.75" thickBot="1" x14ac:dyDescent="0.3">
      <c r="A14" s="97"/>
      <c r="B14" s="98"/>
      <c r="C14" s="98"/>
      <c r="D14" s="98"/>
      <c r="E14" s="98"/>
      <c r="F14" s="98"/>
      <c r="G14" s="98"/>
      <c r="H14" s="98"/>
      <c r="I14" s="103">
        <f>SUM(I2:I13)</f>
        <v>37599001</v>
      </c>
      <c r="J14" s="102">
        <f>+I14-K14</f>
        <v>2960198.049999997</v>
      </c>
      <c r="K14" s="99">
        <v>34638802.950000003</v>
      </c>
      <c r="L14" s="99">
        <v>23255152</v>
      </c>
      <c r="M14" s="98"/>
      <c r="N14" s="99">
        <v>3059789.75</v>
      </c>
      <c r="O14" s="99">
        <v>26314941.75</v>
      </c>
      <c r="P14" s="99">
        <v>37698592.700000003</v>
      </c>
      <c r="Q14" s="98"/>
      <c r="R14" s="98"/>
      <c r="S14" s="98"/>
      <c r="T14" s="98"/>
      <c r="U14" s="99">
        <v>36925057.25</v>
      </c>
      <c r="V14" s="99">
        <v>773535.45</v>
      </c>
      <c r="W14" s="98"/>
      <c r="X14" s="98"/>
      <c r="Y14" s="98"/>
      <c r="Z14" s="99">
        <v>9970388.4000000004</v>
      </c>
      <c r="AA14" s="98"/>
      <c r="AB14" s="17"/>
      <c r="AC14" s="17"/>
      <c r="AD14" s="17"/>
    </row>
    <row r="15" spans="1:30" ht="15.75" thickBo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00">
        <v>0.2878</v>
      </c>
      <c r="AA15" s="17"/>
      <c r="AB15" s="17"/>
      <c r="AC15" s="17"/>
      <c r="AD15" s="17"/>
    </row>
    <row r="16" spans="1:30" ht="15.75" thickBo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01" t="s">
        <v>296</v>
      </c>
      <c r="W16" s="17"/>
      <c r="X16" s="75">
        <v>1070</v>
      </c>
      <c r="Y16" s="17"/>
      <c r="Z16" s="17"/>
      <c r="AA16" s="17"/>
      <c r="AB16" s="17"/>
      <c r="AC16" s="17"/>
      <c r="AD16" s="17"/>
    </row>
    <row r="17" spans="1:30" ht="15.75" thickBo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ht="15.75" thickBot="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ht="15.75" thickBo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ht="15.75" thickBo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ht="15.75" thickBo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ht="15.75" thickBo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ht="15.75" thickBo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ht="15.75" thickBo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ht="15.75" thickBo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ht="15.75" thickBo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ht="15.75" thickBo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ht="15.75" thickBo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ht="15.75" thickBo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ht="15.75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ht="15.75" thickBo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ht="15.75" thickBo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ht="15.75" thickBo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ht="15.75" thickBo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0" ht="15.75" thickBo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ht="15.75" thickBo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ht="15.75" thickBo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ht="15.75" thickBo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ht="15.75" thickBo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ht="15.75" thickBo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ht="15.75" thickBo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ht="15.75" thickBo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ht="15.75" thickBo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ht="15.75" thickBo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ht="15.75" thickBo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ht="15.75" thickBo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ht="15.75" thickBo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0" ht="15.75" thickBo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spans="1:30" ht="15.75" thickBo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spans="1:30" ht="15.75" thickBo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spans="1:30" ht="15.75" thickBo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spans="1:30" ht="15.75" thickBo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spans="1:30" ht="15.75" thickBo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spans="1:30" ht="15.75" thickBo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spans="1:30" ht="15.75" thickBo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spans="1:30" ht="15.75" thickBo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spans="1:30" ht="15.75" thickBo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spans="1:30" ht="15.75" thickBo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spans="1:30" ht="15.75" thickBo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spans="1:30" ht="15.75" thickBo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spans="1:30" ht="15.75" thickBo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spans="1:30" ht="15.75" thickBo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spans="1:30" ht="15.75" thickBo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spans="1:30" ht="15.75" thickBo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spans="1:30" ht="15.75" thickBo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spans="1:30" ht="15.75" thickBo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spans="1:30" ht="15.75" thickBo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spans="1:30" ht="15.75" thickBo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spans="1:30" ht="15.75" thickBo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spans="1:30" ht="15.75" thickBo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spans="1:30" ht="15.75" thickBo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spans="1:30" ht="15.75" thickBo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spans="1:30" ht="15.75" thickBo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spans="1:30" ht="15.75" thickBo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spans="1:30" ht="15.75" thickBo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spans="1:30" ht="15.75" thickBo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spans="1:30" ht="15.75" thickBo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spans="1:30" ht="15.75" thickBo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spans="1:30" ht="15.75" thickBo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spans="1:30" ht="15.75" thickBot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spans="1:30" ht="15.75" thickBo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spans="1:30" ht="15.75" thickBot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spans="1:30" ht="15.75" thickBo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spans="1:30" ht="15.75" thickBot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spans="1:30" ht="15.75" thickBo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spans="1:30" ht="15.75" thickBo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spans="1:30" ht="15.7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spans="1:30" ht="15.75" thickBo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spans="1:30" ht="15.75" thickBo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spans="1:30" ht="15.75" thickBo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spans="1:30" ht="15.75" thickBo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spans="1:30" ht="15.75" thickBo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spans="1:30" ht="15.75" thickBo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spans="1:30" ht="15.75" thickBot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spans="1:30" ht="15.75" thickBo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spans="1:30" ht="15.75" thickBo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spans="1:30" ht="15.75" thickBo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spans="1:30" ht="15.75" thickBot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spans="1:30" ht="15.75" thickBo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spans="1:30" ht="15.75" thickBo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spans="1:30" ht="15.75" thickBo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spans="1:30" ht="15.75" thickBo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spans="1:30" ht="15.75" thickBo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spans="1:30" ht="15.75" thickBo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spans="1:30" ht="15.75" thickBo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spans="1:30" ht="15.75" thickBot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spans="1:30" ht="15.75" thickBo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spans="1:30" ht="15.75" thickBot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spans="1:30" ht="15.75" thickBo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spans="1:30" ht="15.75" thickBot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spans="1:30" ht="15.75" thickBo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spans="1:30" ht="15.75" thickBot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spans="1:30" ht="15.75" thickBo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spans="1:30" ht="15.75" thickBo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spans="1:30" ht="15.75" thickBo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spans="1:30" ht="15.75" thickBo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spans="1:30" ht="15.75" thickBo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spans="1:30" ht="15.75" thickBo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spans="1:30" ht="15.75" thickBo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spans="1:30" ht="15.75" thickBo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spans="1:30" ht="15.75" thickBo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spans="1:30" ht="15.75" thickBo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spans="1:30" ht="15.75" thickBo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spans="1:30" ht="15.75" thickBot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spans="1:30" ht="15.75" thickBo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spans="1:30" ht="15.75" thickBot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spans="1:30" ht="15.75" thickBo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spans="1:30" ht="15.75" thickBot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spans="1:30" ht="15.75" thickBo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spans="1:30" ht="15.75" thickBot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spans="1:30" ht="15.75" thickBo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spans="1:30" ht="15.75" thickBot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spans="1:30" ht="15.75" thickBo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spans="1:30" ht="15.75" thickBo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spans="1:30" ht="15.75" thickBo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spans="1:30" ht="15.75" thickBot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spans="1:30" ht="15.75" thickBo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spans="1:30" ht="15.75" thickBot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spans="1:30" ht="15.75" thickBo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spans="1:30" ht="15.75" thickBot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spans="1:30" ht="15.75" thickBo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spans="1:30" ht="15.75" thickBo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spans="1:30" ht="15.75" thickBo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spans="1:30" ht="15.75" thickBot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spans="1:30" ht="15.75" thickBo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spans="1:30" ht="15.75" thickBot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spans="1:30" ht="15.75" thickBo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spans="1:30" ht="15.75" thickBot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spans="1:30" ht="15.75" thickBo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spans="1:30" ht="15.75" thickBot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spans="1:30" ht="15.75" thickBo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spans="1:30" ht="15.75" thickBot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spans="1:30" ht="15.75" thickBo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spans="1:30" ht="15.75" thickBo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spans="1:30" ht="15.75" thickBo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 spans="1:30" ht="15.75" thickBot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spans="1:30" ht="15.75" thickBo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spans="1:30" ht="15.75" thickBo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spans="1:30" ht="15.75" thickBo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spans="1:30" ht="15.75" thickBot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spans="1:30" ht="15.75" thickBo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spans="1:30" ht="15.75" thickBot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spans="1:30" ht="15.75" thickBo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 spans="1:30" ht="15.75" thickBot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 spans="1:30" ht="15.75" thickBo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 spans="1:30" ht="15.75" thickBot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 spans="1:30" ht="15.75" thickBo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 spans="1:30" ht="15.75" thickBo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 spans="1:30" ht="15.75" thickBo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 spans="1:30" ht="15.75" thickBo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 spans="1:30" ht="15.75" thickBo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spans="1:30" ht="15.75" thickBo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 spans="1:30" ht="15.75" thickBo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 spans="1:30" ht="15.75" thickBot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spans="1:30" ht="15.75" thickBo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spans="1:30" ht="15.75" thickBo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spans="1:30" ht="15.75" thickBo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spans="1:30" ht="15.75" thickBot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spans="1:30" ht="15.75" thickBo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spans="1:30" ht="15.75" thickBot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spans="1:30" ht="15.75" thickBo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spans="1:30" ht="15.75" thickBot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spans="1:30" ht="15.75" thickBo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spans="1:30" ht="15.75" thickBo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spans="1:30" ht="15.75" thickBo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spans="1:30" ht="15.75" thickBo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spans="1:30" ht="15.75" thickBo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 spans="1:30" ht="15.75" thickBot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spans="1:30" ht="15.75" thickBo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 spans="1:30" ht="15.75" thickBo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 spans="1:30" ht="15.75" thickBo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 spans="1:30" ht="15.75" thickBot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spans="1:30" ht="15.75" thickBo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 spans="1:30" ht="15.75" thickBo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spans="1:30" ht="15.75" thickBo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spans="1:30" ht="15.75" thickBo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spans="1:30" ht="15.75" thickBo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 spans="1:30" ht="15.75" thickBo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spans="1:30" ht="15.75" thickBo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spans="1:30" ht="15.75" thickBo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spans="1:30" ht="15.75" thickBo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spans="1:30" ht="15.75" thickBo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 spans="1:30" ht="15.75" thickBo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spans="1:30" ht="15.75" thickBo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spans="1:30" ht="15.75" thickBo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 spans="1:30" ht="15.75" thickBo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spans="1:30" ht="15.75" thickBo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spans="1:30" ht="15.75" thickBo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spans="1:30" ht="15.75" thickBo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spans="1:30" ht="15.75" thickBo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spans="1:30" ht="15.75" thickBo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spans="1:30" ht="15.75" thickBo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 spans="1:30" ht="15.75" thickBo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spans="1:30" ht="15.75" thickBo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spans="1:30" ht="15.75" thickBo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spans="1:30" ht="15.75" thickBo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 spans="1:30" ht="15.75" thickBo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 spans="1:30" ht="15.75" thickBo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 spans="1:30" ht="15.75" thickBo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spans="1:30" ht="15.75" thickBo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spans="1:30" ht="15.75" thickBo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spans="1:30" ht="15.75" thickBo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spans="1:30" ht="15.75" thickBo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spans="1:30" ht="15.75" thickBo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spans="1:30" ht="15.75" thickBo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spans="1:30" ht="15.75" thickBo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spans="1:30" ht="15.75" thickBo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spans="1:30" ht="15.75" thickBo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spans="1:30" ht="15.75" thickBo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spans="1:30" ht="15.75" thickBo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spans="1:30" ht="15.75" thickBo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spans="1:30" ht="15.75" thickBo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spans="1:30" ht="15.75" thickBo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spans="1:30" ht="15.75" thickBo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spans="1:30" ht="15.75" thickBo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spans="1:30" ht="15.75" thickBo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spans="1:30" ht="15.75" thickBo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spans="1:30" ht="15.75" thickBo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spans="1:30" ht="15.75" thickBo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spans="1:30" ht="15.75" thickBo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spans="1:30" ht="15.75" thickBo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spans="1:30" ht="15.75" thickBo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spans="1:30" ht="15.75" thickBo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spans="1:30" ht="15.75" thickBo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spans="1:30" ht="15.75" thickBo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spans="1:30" ht="15.75" thickBo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spans="1:30" ht="15.75" thickBo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spans="1:30" ht="15.75" thickBo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spans="1:30" ht="15.75" thickBo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spans="1:30" ht="15.75" thickBo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spans="1:30" ht="15.75" thickBo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spans="1:30" ht="15.75" thickBo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spans="1:30" ht="15.75" thickBo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spans="1:30" ht="15.75" thickBo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spans="1:30" ht="15.75" thickBo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spans="1:30" ht="15.75" thickBo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spans="1:30" ht="15.75" thickBo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spans="1:30" ht="15.75" thickBo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spans="1:30" ht="15.75" thickBo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spans="1:30" ht="15.75" thickBo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spans="1:30" ht="15.75" thickBo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spans="1:30" ht="15.75" thickBo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5.75" thickBo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spans="1:30" ht="15.75" thickBo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spans="1:30" ht="15.75" thickBo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spans="1:30" ht="15.75" thickBo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spans="1:30" ht="15.75" thickBo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spans="1:30" ht="15.75" thickBo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spans="1:30" ht="15.75" thickBo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spans="1:30" ht="15.75" thickBo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spans="1:30" ht="15.75" thickBo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spans="1:30" ht="15.75" thickBo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spans="1:30" ht="15.75" thickBo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5.75" thickBo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 ht="15.75" thickBo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spans="1:30" ht="15.75" thickBo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spans="1:30" ht="15.75" thickBo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spans="1:30" ht="15.75" thickBo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spans="1:30" ht="15.75" thickBo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spans="1:30" ht="15.75" thickBo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spans="1:30" ht="15.75" thickBo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spans="1:30" ht="15.75" thickBo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spans="1:30" ht="15.75" thickBo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spans="1:30" ht="15.75" thickBo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spans="1:30" ht="15.75" thickBo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spans="1:30" ht="15.75" thickBo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spans="1:30" ht="15.75" thickBo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spans="1:30" ht="15.75" thickBo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spans="1:30" ht="15.75" thickBo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spans="1:30" ht="15.75" thickBo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spans="1:30" ht="15.75" thickBo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spans="1:30" ht="15.75" thickBo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spans="1:30" ht="15.75" thickBo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spans="1:30" ht="15.75" thickBo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spans="1:30" ht="15.75" thickBo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spans="1:30" ht="15.75" thickBo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spans="1:30" ht="15.75" thickBo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spans="1:30" ht="15.75" thickBo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spans="1:30" ht="15.75" thickBo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spans="1:30" ht="15.75" thickBo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spans="1:30" ht="15.75" thickBo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spans="1:30" ht="15.75" thickBo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spans="1:30" ht="15.75" thickBo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spans="1:30" ht="15.75" thickBo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spans="1:30" ht="15.75" thickBo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spans="1:30" ht="15.75" thickBo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spans="1:30" ht="15.75" thickBo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spans="1:30" ht="15.75" thickBo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spans="1:30" ht="15.75" thickBo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spans="1:30" ht="15.75" thickBo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spans="1:30" ht="15.75" thickBo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spans="1:30" ht="15.75" thickBo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spans="1:30" ht="15.75" thickBo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spans="1:30" ht="15.75" thickBo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spans="1:30" ht="15.75" thickBo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spans="1:30" ht="15.75" thickBo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spans="1:30" ht="15.75" thickBo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spans="1:30" ht="15.75" thickBo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spans="1:30" ht="15.75" thickBo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spans="1:30" ht="15.75" thickBo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spans="1:30" ht="15.75" thickBo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spans="1:30" ht="15.75" thickBo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spans="1:30" ht="15.75" thickBo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spans="1:30" ht="15.75" thickBo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spans="1:30" ht="15.75" thickBo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spans="1:30" ht="15.75" thickBo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spans="1:30" ht="15.75" thickBo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spans="1:30" ht="15.75" thickBo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spans="1:30" ht="15.75" thickBo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spans="1:30" ht="15.75" thickBo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spans="1:30" ht="15.75" thickBo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spans="1:30" ht="15.75" thickBo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spans="1:30" ht="15.75" thickBo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spans="1:30" ht="15.75" thickBo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spans="1:30" ht="15.75" thickBo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spans="1:30" ht="15.75" thickBo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spans="1:30" ht="15.75" thickBo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spans="1:30" ht="15.75" thickBo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spans="1:30" ht="15.75" thickBo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spans="1:30" ht="15.75" thickBo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spans="1:30" ht="15.75" thickBo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spans="1:30" ht="15.75" thickBo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5.75" thickBo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spans="1:30" ht="15.75" thickBo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spans="1:30" ht="15.75" thickBo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spans="1:30" ht="15.75" thickBo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spans="1:30" ht="15.75" thickBo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spans="1:30" ht="15.75" thickBo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spans="1:30" ht="15.75" thickBo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spans="1:30" ht="15.75" thickBo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spans="1:30" ht="15.75" thickBo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spans="1:30" ht="15.75" thickBo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spans="1:30" ht="15.75" thickBo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spans="1:30" ht="15.75" thickBo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spans="1:30" ht="15.75" thickBo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spans="1:30" ht="15.75" thickBo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spans="1:30" ht="15.75" thickBo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spans="1:30" ht="15.75" thickBo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spans="1:30" ht="15.75" thickBo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spans="1:30" ht="15.75" thickBo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spans="1:30" ht="15.75" thickBo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spans="1:30" ht="15.75" thickBo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spans="1:30" ht="15.75" thickBo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spans="1:30" ht="15.75" thickBo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spans="1:30" ht="15.75" thickBo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spans="1:30" ht="15.75" thickBo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spans="1:30" ht="15.75" thickBo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spans="1:30" ht="15.75" thickBo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spans="1:30" ht="15.75" thickBo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spans="1:30" ht="15.75" thickBo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spans="1:30" ht="15.75" thickBo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spans="1:30" ht="15.75" thickBo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spans="1:30" ht="15.75" thickBo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spans="1:30" ht="15.75" thickBo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spans="1:30" ht="15.75" thickBo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spans="1:30" ht="15.75" thickBo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spans="1:30" ht="15.75" thickBo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spans="1:30" ht="15.75" thickBo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spans="1:30" ht="15.75" thickBo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5.75" thickBo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spans="1:30" ht="15.75" thickBo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spans="1:30" ht="15.75" thickBo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15.75" thickBo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spans="1:30" ht="15.75" thickBo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spans="1:30" ht="15.75" thickBo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spans="1:30" ht="15.75" thickBo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spans="1:30" ht="15.75" thickBo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spans="1:30" ht="15.75" thickBo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15.75" thickBo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spans="1:30" ht="15.75" thickBo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spans="1:30" ht="15.75" thickBo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5.75" thickBo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spans="1:30" ht="15.75" thickBo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spans="1:30" ht="15.75" thickBo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spans="1:30" ht="15.75" thickBo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spans="1:30" ht="15.75" thickBo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spans="1:30" ht="15.75" thickBo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spans="1:30" ht="15.75" thickBo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spans="1:30" ht="15.75" thickBo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spans="1:30" ht="15.75" thickBo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spans="1:30" ht="15.75" thickBo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spans="1:30" ht="15.75" thickBo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spans="1:30" ht="15.75" thickBo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spans="1:30" ht="15.75" thickBo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spans="1:30" ht="15.75" thickBo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spans="1:30" ht="15.75" thickBo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5.75" thickBo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spans="1:30" ht="15.75" thickBo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spans="1:30" ht="15.75" thickBo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spans="1:30" ht="15.75" thickBo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spans="1:30" ht="15.75" thickBo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spans="1:30" ht="15.75" thickBo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spans="1:30" ht="15.75" thickBo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spans="1:30" ht="15.75" thickBo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spans="1:30" ht="15.75" thickBo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spans="1:30" ht="15.75" thickBo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spans="1:30" ht="15.75" thickBo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spans="1:30" ht="15.75" thickBo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spans="1:30" ht="15.75" thickBo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spans="1:30" ht="15.75" thickBo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spans="1:30" ht="15.75" thickBo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spans="1:30" ht="15.75" thickBo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spans="1:30" ht="15.75" thickBo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spans="1:30" ht="15.75" thickBo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spans="1:30" ht="15.75" thickBo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spans="1:30" ht="15.75" thickBo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spans="1:30" ht="15.75" thickBo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spans="1:30" ht="15.75" thickBo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spans="1:30" ht="15.75" thickBo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spans="1:30" ht="15.75" thickBo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spans="1:30" ht="15.75" thickBo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spans="1:30" ht="15.75" thickBo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spans="1:30" ht="15.75" thickBo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spans="1:30" ht="15.75" thickBo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spans="1:30" ht="15.75" thickBo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spans="1:30" ht="15.75" thickBo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spans="1:30" ht="15.75" thickBo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spans="1:30" ht="15.75" thickBo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spans="1:30" ht="15.75" thickBo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spans="1:30" ht="15.75" thickBo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spans="1:30" ht="15.75" thickBo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spans="1:30" ht="15.75" thickBo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spans="1:30" ht="15.75" thickBo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spans="1:30" ht="15.75" thickBo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spans="1:30" ht="15.75" thickBo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spans="1:30" ht="15.75" thickBo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spans="1:30" ht="15.75" thickBo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spans="1:30" ht="15.75" thickBo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spans="1:30" ht="15.75" thickBo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5.75" thickBo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spans="1:30" ht="15.75" thickBo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spans="1:30" ht="15.75" thickBo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spans="1:30" ht="15.75" thickBo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spans="1:30" ht="15.75" thickBo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spans="1:30" ht="15.75" thickBo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spans="1:30" ht="15.75" thickBo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spans="1:30" ht="15.75" thickBo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spans="1:30" ht="15.75" thickBo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spans="1:30" ht="15.75" thickBo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spans="1:30" ht="15.75" thickBo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spans="1:30" ht="15.75" thickBo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spans="1:30" ht="15.75" thickBo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spans="1:30" ht="15.75" thickBo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spans="1:30" ht="15.75" thickBo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spans="1:30" ht="15.75" thickBo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spans="1:30" ht="15.75" thickBo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spans="1:30" ht="15.75" thickBo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spans="1:30" ht="15.75" thickBo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spans="1:30" ht="15.75" thickBo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spans="1:30" ht="15.75" thickBo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5.75" thickBo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spans="1:30" ht="15.75" thickBo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spans="1:30" ht="15.75" thickBo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spans="1:30" ht="15.75" thickBo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spans="1:30" ht="15.75" thickBo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spans="1:30" ht="15.75" thickBo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spans="1:30" ht="15.75" thickBo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spans="1:30" ht="15.75" thickBo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spans="1:30" ht="15.75" thickBo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spans="1:30" ht="15.75" thickBo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spans="1:30" ht="15.75" thickBo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spans="1:30" ht="15.75" thickBo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spans="1:30" ht="15.75" thickBo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spans="1:30" ht="15.75" thickBo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spans="1:30" ht="15.75" thickBo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spans="1:30" ht="15.75" thickBo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spans="1:30" ht="15.75" thickBo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spans="1:30" ht="15.75" thickBo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spans="1:30" ht="15.75" thickBo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spans="1:30" ht="15.75" thickBo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spans="1:30" ht="15.75" thickBo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spans="1:30" ht="15.75" thickBo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spans="1:30" ht="15.75" thickBo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spans="1:30" ht="15.75" thickBo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spans="1:30" ht="15.75" thickBo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spans="1:30" ht="15.75" thickBo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spans="1:30" ht="15.75" thickBo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spans="1:30" ht="15.75" thickBo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spans="1:30" ht="15.75" thickBo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spans="1:30" ht="15.75" thickBo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spans="1:30" ht="15.75" thickBo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spans="1:30" ht="15.75" thickBo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spans="1:30" ht="15.75" thickBo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spans="1:30" ht="15.75" thickBo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spans="1:30" ht="15.75" thickBo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spans="1:30" ht="15.75" thickBo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spans="1:30" ht="15.75" thickBo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spans="1:30" ht="15.75" thickBo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spans="1:30" ht="15.75" thickBo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spans="1:30" ht="15.75" thickBo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spans="1:30" ht="15.75" thickBo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spans="1:30" ht="15.75" thickBo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spans="1:30" ht="15.75" thickBo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spans="1:30" ht="15.75" thickBo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spans="1:30" ht="15.75" thickBo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spans="1:30" ht="15.75" thickBo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spans="1:30" ht="15.75" thickBo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spans="1:30" ht="15.75" thickBo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spans="1:30" ht="15.75" thickBo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spans="1:30" ht="15.75" thickBo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spans="1:30" ht="15.75" thickBo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spans="1:30" ht="15.75" thickBo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spans="1:30" ht="15.75" thickBo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spans="1:30" ht="15.75" thickBo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spans="1:30" ht="15.75" thickBo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spans="1:30" ht="15.75" thickBo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spans="1:30" ht="15.75" thickBo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spans="1:30" ht="15.75" thickBo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spans="1:30" ht="15.75" thickBo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spans="1:30" ht="15.75" thickBo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spans="1:30" ht="15.75" thickBo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spans="1:30" ht="15.75" thickBo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5.75" thickBo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spans="1:30" ht="15.75" thickBo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spans="1:30" ht="15.75" thickBo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spans="1:30" ht="15.75" thickBo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spans="1:30" ht="15.75" thickBo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spans="1:30" ht="15.75" thickBo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spans="1:30" ht="15.75" thickBo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spans="1:30" ht="15.75" thickBo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spans="1:30" ht="15.75" thickBo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spans="1:30" ht="15.75" thickBo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spans="1:30" ht="15.75" thickBo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spans="1:30" ht="15.75" thickBo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spans="1:30" ht="15.75" thickBo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spans="1:30" ht="15.75" thickBo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spans="1:30" ht="15.75" thickBo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spans="1:30" ht="15.75" thickBo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spans="1:30" ht="15.75" thickBo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spans="1:30" ht="15.75" thickBo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spans="1:30" ht="15.75" thickBo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spans="1:30" ht="15.75" thickBo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spans="1:30" ht="15.75" thickBo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spans="1:30" ht="15.75" thickBo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spans="1:30" ht="15.75" thickBo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spans="1:30" ht="15.75" thickBo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spans="1:30" ht="15.75" thickBo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spans="1:30" ht="15.75" thickBo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spans="1:30" ht="15.75" thickBo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spans="1:30" ht="15.75" thickBo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spans="1:30" ht="15.75" thickBo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spans="1:30" ht="15.75" thickBo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spans="1:30" ht="15.75" thickBo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spans="1:30" ht="15.75" thickBo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spans="1:30" ht="15.75" thickBo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spans="1:30" ht="15.75" thickBo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spans="1:30" ht="15.75" thickBo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spans="1:30" ht="15.75" thickBo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spans="1:30" ht="15.75" thickBo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spans="1:30" ht="15.75" thickBo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spans="1:30" ht="15.75" thickBo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spans="1:30" ht="15.75" thickBo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spans="1:30" ht="15.75" thickBo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spans="1:30" ht="15.75" thickBo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spans="1:30" ht="15.75" thickBo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spans="1:30" ht="15.75" thickBo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spans="1:30" ht="15.75" thickBo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spans="1:30" ht="15.75" thickBo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spans="1:30" ht="15.75" thickBo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spans="1:30" ht="15.75" thickBo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spans="1:30" ht="15.75" thickBo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spans="1:30" ht="15.75" thickBo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spans="1:30" ht="15.75" thickBo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spans="1:30" ht="15.75" thickBo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spans="1:30" ht="15.75" thickBo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spans="1:30" ht="15.75" thickBo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spans="1:30" ht="15.75" thickBo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spans="1:30" ht="15.75" thickBo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spans="1:30" ht="15.75" thickBo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spans="1:30" ht="15.75" thickBo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spans="1:30" ht="15.75" thickBo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spans="1:30" ht="15.75" thickBo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spans="1:30" ht="15.75" thickBo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spans="1:30" ht="15.75" thickBo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spans="1:30" ht="15.75" thickBo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spans="1:30" ht="15.75" thickBo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spans="1:30" ht="15.75" thickBo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spans="1:30" ht="15.75" thickBo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spans="1:30" ht="15.75" thickBo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spans="1:30" ht="15.75" thickBo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spans="1:30" ht="15.75" thickBo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spans="1:30" ht="15.75" thickBo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5.75" thickBo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spans="1:30" ht="15.75" thickBo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spans="1:30" ht="15.75" thickBo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spans="1:30" ht="15.75" thickBo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spans="1:30" ht="15.75" thickBo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spans="1:30" ht="15.75" thickBo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spans="1:30" ht="15.75" thickBo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spans="1:30" ht="15.75" thickBo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spans="1:30" ht="15.75" thickBo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spans="1:30" ht="15.75" thickBo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spans="1:30" ht="15.75" thickBo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spans="1:30" ht="15.75" thickBo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spans="1:30" ht="15.75" thickBo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spans="1:30" ht="15.75" thickBo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spans="1:30" ht="15.75" thickBo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spans="1:30" ht="15.75" thickBo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spans="1:30" ht="15.75" thickBo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spans="1:30" ht="15.75" thickBo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spans="1:30" ht="15.75" thickBo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spans="1:30" ht="15.75" thickBo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spans="1:30" ht="15.75" thickBo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spans="1:30" ht="15.75" thickBo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spans="1:30" ht="15.75" thickBo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spans="1:30" ht="15.75" thickBo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spans="1:30" ht="15.75" thickBo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spans="1:30" ht="15.75" thickBo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spans="1:30" ht="15.75" thickBo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spans="1:30" ht="15.75" thickBo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spans="1:30" ht="15.75" thickBo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spans="1:30" ht="15.75" thickBo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spans="1:30" ht="15.75" thickBo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spans="1:30" ht="15.75" thickBo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spans="1:30" ht="15.75" thickBo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spans="1:30" ht="15.75" thickBo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spans="1:30" ht="15.75" thickBo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15.75" thickBo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spans="1:30" ht="15.75" thickBo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spans="1:30" ht="15.75" thickBo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spans="1:30" ht="15.75" thickBo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spans="1:30" ht="15.75" thickBo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spans="1:30" ht="15.75" thickBo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5.75" thickBo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spans="1:30" ht="15.75" thickBo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spans="1:30" ht="15.75" thickBo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spans="1:30" ht="15.75" thickBo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spans="1:30" ht="15.75" thickBo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spans="1:30" ht="15.75" thickBo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spans="1:30" ht="15.75" thickBo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spans="1:30" ht="15.75" thickBo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spans="1:30" ht="15.75" thickBo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spans="1:30" ht="15.75" thickBo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spans="1:30" ht="15.75" thickBo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spans="1:30" ht="15.75" thickBo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spans="1:30" ht="15.75" thickBo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spans="1:30" ht="15.75" thickBo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spans="1:30" ht="15.75" thickBo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spans="1:30" ht="15.75" thickBo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spans="1:30" ht="15.75" thickBo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spans="1:30" ht="15.75" thickBo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spans="1:30" ht="15.75" thickBo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spans="1:30" ht="15.75" thickBo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spans="1:30" ht="15.75" thickBo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spans="1:30" ht="15.75" thickBo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spans="1:30" ht="15.75" thickBo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spans="1:30" ht="15.75" thickBo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spans="1:30" ht="15.75" thickBo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spans="1:30" ht="15.75" thickBo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spans="1:30" ht="15.75" thickBo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spans="1:30" ht="15.75" thickBo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spans="1:30" ht="15.75" thickBo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spans="1:30" ht="15.75" thickBo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spans="1:30" ht="15.75" thickBo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5.75" thickBo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spans="1:30" ht="15.75" thickBo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spans="1:30" ht="15.75" thickBo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spans="1:30" ht="15.75" thickBo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spans="1:30" ht="15.75" thickBo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spans="1:30" ht="15.75" thickBo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spans="1:30" ht="15.75" thickBo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spans="1:30" ht="15.75" thickBo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spans="1:30" ht="15.75" thickBo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spans="1:30" ht="15.75" thickBo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spans="1:30" ht="15.75" thickBo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spans="1:30" ht="15.75" thickBo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spans="1:30" ht="15.75" thickBo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spans="1:30" ht="15.75" thickBo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spans="1:30" ht="15.75" thickBo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spans="1:30" ht="15.75" thickBo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spans="1:30" ht="15.75" thickBo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spans="1:30" ht="15.75" thickBo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spans="1:30" ht="15.75" thickBo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spans="1:30" ht="15.75" thickBo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spans="1:30" ht="15.75" thickBo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spans="1:30" ht="15.75" thickBo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spans="1:30" ht="15.75" thickBo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spans="1:30" ht="15.75" thickBo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spans="1:30" ht="15.75" thickBo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spans="1:30" ht="15.75" thickBo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spans="1:30" ht="15.75" thickBo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spans="1:30" ht="15.75" thickBo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spans="1:30" ht="15.75" thickBo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spans="1:30" ht="15.75" thickBo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spans="1:30" ht="15.75" thickBo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spans="1:30" ht="15.75" thickBo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spans="1:30" ht="15.75" thickBo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5.75" thickBo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spans="1:30" ht="15.75" thickBo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spans="1:30" ht="15.75" thickBo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spans="1:30" ht="15.75" thickBo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spans="1:30" ht="15.75" thickBo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spans="1:30" ht="15.75" thickBo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spans="1:30" ht="15.75" thickBo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spans="1:30" ht="15.75" thickBo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spans="1:30" ht="15.75" thickBo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spans="1:30" ht="15.75" thickBo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spans="1:30" ht="15.75" thickBo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spans="1:30" ht="15.75" thickBo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spans="1:30" ht="15.75" thickBo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spans="1:30" ht="15.75" thickBo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spans="1:30" ht="15.75" thickBo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spans="1:30" ht="15.75" thickBo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spans="1:30" ht="15.75" thickBo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spans="1:30" ht="15.75" thickBo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spans="1:30" ht="15.75" thickBo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spans="1:30" ht="15.75" thickBo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spans="1:30" ht="15.75" thickBo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spans="1:30" ht="15.75" thickBo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spans="1:30" ht="15.75" thickBo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spans="1:30" ht="15.75" thickBo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spans="1:30" ht="15.75" thickBo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spans="1:30" ht="15.75" thickBo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spans="1:30" ht="15.75" thickBo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spans="1:30" ht="15.75" thickBo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spans="1:30" ht="15.75" thickBo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spans="1:30" ht="15.75" thickBo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spans="1:30" ht="15.75" thickBo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spans="1:30" ht="15.75" thickBo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spans="1:30" ht="15.75" thickBo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spans="1:30" ht="15.75" thickBo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5.75" thickBo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spans="1:30" ht="15.75" thickBo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spans="1:30" ht="15.75" thickBo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spans="1:30" ht="15.75" thickBo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spans="1:30" ht="15.75" thickBo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spans="1:30" ht="15.75" thickBo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spans="1:30" ht="15.75" thickBo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spans="1:30" ht="15.75" thickBo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spans="1:30" ht="15.75" thickBo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spans="1:30" ht="15.75" thickBo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spans="1:30" ht="15.75" thickBo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spans="1:30" ht="15.75" thickBo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spans="1:30" ht="15.75" thickBo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spans="1:30" ht="15.75" thickBo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spans="1:30" ht="15.75" thickBo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spans="1:30" ht="15.75" thickBo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spans="1:30" ht="15.75" thickBo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spans="1:30" ht="15.75" thickBo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spans="1:30" ht="15.75" thickBo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spans="1:30" ht="15.75" thickBo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spans="1:30" ht="15.75" thickBo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spans="1:30" ht="15.75" thickBo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spans="1:30" ht="15.75" thickBo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spans="1:30" ht="15.75" thickBo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spans="1:30" ht="15.75" thickBo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spans="1:30" ht="15.75" thickBo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spans="1:30" ht="15.75" thickBo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spans="1:30" ht="15.75" thickBo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spans="1:30" ht="15.75" thickBo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spans="1:30" ht="15.75" thickBo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spans="1:30" ht="15.75" thickBo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spans="1:30" ht="15.75" thickBo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spans="1:30" ht="15.75" thickBo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spans="1:30" ht="15.75" thickBo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spans="1:30" ht="15.75" thickBo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spans="1:30" ht="15.75" thickBo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spans="1:30" ht="15.75" thickBo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spans="1:30" ht="15.75" thickBo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spans="1:30" ht="15.75" thickBo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spans="1:30" ht="15.75" thickBo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spans="1:30" ht="15.75" thickBo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spans="1:30" ht="15.75" thickBo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spans="1:30" ht="15.75" thickBo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spans="1:30" ht="15.75" thickBo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spans="1:30" ht="15.75" thickBo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spans="1:30" ht="15.75" thickBo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spans="1:30" ht="15.75" thickBo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spans="1:30" ht="15.75" thickBo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spans="1:30" ht="15.75" thickBo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spans="1:30" ht="15.75" thickBo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spans="1:30" ht="15.75" thickBo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spans="1:30" ht="15.75" thickBo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spans="1:30" ht="15.75" thickBo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spans="1:30" ht="15.75" thickBo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spans="1:30" ht="15.75" thickBo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spans="1:30" ht="15.75" thickBo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spans="1:30" ht="15.75" thickBo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spans="1:30" ht="15.75" thickBo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spans="1:30" ht="15.75" thickBo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spans="1:30" ht="15.75" thickBo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spans="1:30" ht="15.75" thickBo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spans="1:30" ht="15.75" thickBo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spans="1:30" ht="15.75" thickBo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spans="1:30" ht="15.75" thickBo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spans="1:30" ht="15.75" thickBo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spans="1:30" ht="15.75" thickBo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spans="1:30" ht="15.75" thickBo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5.75" thickBo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spans="1:30" ht="15.75" thickBo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spans="1:30" ht="15.75" thickBo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spans="1:30" ht="15.75" thickBo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spans="1:30" ht="15.75" thickBo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spans="1:30" ht="15.75" thickBo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spans="1:30" ht="15.75" thickBo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spans="1:30" ht="15.75" thickBo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spans="1:30" ht="15.75" thickBo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spans="1:30" ht="15.75" thickBo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spans="1:30" ht="15.75" thickBo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spans="1:30" ht="15.75" thickBo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spans="1:30" ht="15.75" thickBo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spans="1:30" ht="15.75" thickBo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spans="1:30" ht="15.75" thickBo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spans="1:30" ht="15.75" thickBo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spans="1:30" ht="15.75" thickBo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spans="1:30" ht="15.75" thickBo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spans="1:30" ht="15.75" thickBo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spans="1:30" ht="15.75" thickBo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spans="1:30" ht="15.75" thickBo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spans="1:30" ht="15.75" thickBo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spans="1:30" ht="15.75" thickBo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spans="1:30" ht="15.75" thickBo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spans="1:30" ht="15.75" thickBo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15.75" thickBo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spans="1:30" ht="15.75" thickBo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15.75" thickBo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spans="1:30" ht="15.75" thickBo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spans="1:30" ht="15.75" thickBo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spans="1:30" ht="15.75" thickBo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spans="1:30" ht="15.75" thickBo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spans="1:30" ht="15.75" thickBo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spans="1:30" ht="15.75" thickBo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spans="1:30" ht="15.75" thickBo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spans="1:30" ht="15.75" thickBo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spans="1:30" ht="15.75" thickBo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spans="1:30" ht="15.75" thickBo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spans="1:30" ht="15.75" thickBo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spans="1:30" ht="15.75" thickBo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spans="1:30" ht="15.75" thickBo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spans="1:30" ht="15.75" thickBo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spans="1:30" ht="15.75" thickBo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spans="1:30" ht="15.75" thickBo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spans="1:30" ht="15.75" thickBo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spans="1:30" ht="15.75" thickBo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spans="1:30" ht="15.75" thickBo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spans="1:30" ht="15.75" thickBo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spans="1:30" ht="15.75" thickBo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spans="1:30" ht="15.75" thickBo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spans="1:30" ht="15.75" thickBo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spans="1:30" ht="15.75" thickBo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spans="1:30" ht="15.75" thickBo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spans="1:30" ht="15.75" thickBo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spans="1:30" ht="15.75" thickBo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spans="1:30" ht="15.75" thickBo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spans="1:30" ht="15.75" thickBo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spans="1:30" ht="15.75" thickBo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spans="1:30" ht="15.75" thickBo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spans="1:30" ht="15.75" thickBo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spans="1:30" ht="15.75" thickBo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spans="1:30" ht="15.75" thickBo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spans="1:30" ht="15.75" thickBo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spans="1:30" ht="15.75" thickBo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spans="1:30" ht="15.75" thickBo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5.75" thickBo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spans="1:30" ht="15.75" thickBo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spans="1:30" ht="15.75" thickBo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spans="1:30" ht="15.75" thickBo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spans="1:30" ht="15.75" thickBo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spans="1:30" ht="15.75" thickBo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spans="1:30" ht="15.75" thickBo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spans="1:30" ht="15.75" thickBo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spans="1:30" ht="15.75" thickBo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spans="1:30" ht="15.75" thickBo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spans="1:30" ht="15.75" thickBo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spans="1:30" ht="15.75" thickBo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spans="1:30" ht="15.75" thickBo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spans="1:30" ht="15.75" thickBo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spans="1:30" ht="15.75" thickBo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spans="1:30" ht="15.75" thickBo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spans="1:30" ht="15.75" thickBo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spans="1:30" ht="15.75" thickBo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spans="1:30" ht="15.75" thickBo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spans="1:30" ht="15.75" thickBo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spans="1:30" ht="15.75" thickBo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spans="1:30" ht="15.75" thickBo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spans="1:30" ht="15.75" thickBo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spans="1:30" ht="15.75" thickBo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spans="1:30" ht="15.75" thickBo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spans="1:30" ht="15.75" thickBo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spans="1:30" ht="15.75" thickBo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spans="1:30" ht="15.75" thickBo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spans="1:30" ht="15.75" thickBo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spans="1:30" ht="15.75" thickBo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spans="1:30" ht="15.75" thickBo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spans="1:30" ht="15.75" thickBo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spans="1:30" ht="15.75" thickBo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15.75" thickBo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spans="1:30" ht="15.75" thickBo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spans="1:30" ht="15.75" thickBo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spans="1:30" ht="15.75" thickBo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15.75" thickBo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15.75" thickBo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spans="1:30" ht="15.75" thickBo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spans="1:30" ht="15.75" thickBo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spans="1:30" ht="15.75" thickBo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spans="1:30" ht="15.75" thickBo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spans="1:30" ht="15.75" thickBo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spans="1:30" ht="15.75" thickBo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spans="1:30" ht="15.75" thickBo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spans="1:30" ht="15.75" thickBo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spans="1:30" ht="15.75" thickBo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spans="1:30" ht="15.75" thickBo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spans="1:30" ht="15.75" thickBo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spans="1:30" ht="15.75" thickBo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spans="1:30" ht="15.75" thickBo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spans="1:30" ht="15.75" thickBo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spans="1:30" ht="15.75" thickBo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spans="1:30" ht="15.75" thickBo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spans="1:30" ht="15.75" thickBo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spans="1:30" ht="15.75" thickBo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spans="1:30" ht="15.75" thickBo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spans="1:30" ht="15.75" thickBo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spans="1:30" ht="15.75" thickBo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spans="1:30" ht="15.75" thickBo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spans="1:30" ht="15.75" thickBo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spans="1:30" ht="15.75" thickBo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spans="1:30" ht="15.75" thickBo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spans="1:30" ht="15.75" thickBo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spans="1:30" ht="15.75" thickBo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5.75" thickBo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spans="1:30" ht="15.75" thickBo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spans="1:30" ht="15.75" thickBo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spans="1:30" ht="15.75" thickBo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spans="1:30" ht="15.75" thickBo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spans="1:30" ht="15.75" thickBo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spans="1:30" ht="15.75" thickBo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spans="1:30" ht="15.75" thickBo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spans="1:30" ht="15.75" thickBo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spans="1:30" ht="15.75" thickBo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spans="1:30" ht="15.75" thickBo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spans="1:30" ht="15.75" thickBo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spans="1:30" ht="15.75" thickBo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spans="1:30" ht="15.75" thickBo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spans="1:30" ht="15.75" thickBo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spans="1:30" ht="15.75" thickBo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spans="1:30" ht="15.75" thickBo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spans="1:30" ht="15.75" thickBo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spans="1:30" ht="15.75" thickBo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spans="1:30" ht="15.75" thickBo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spans="1:30" ht="15.75" thickBo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spans="1:30" ht="15.75" thickBo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spans="1:30" ht="15.75" thickBo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spans="1:30" ht="15.75" thickBo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spans="1:30" ht="15.75" thickBot="1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spans="1:30" ht="15.75" thickBot="1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spans="1:30" ht="15.75" thickBot="1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spans="1:30" ht="15.75" thickBot="1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spans="1:30" ht="15.75" thickBot="1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spans="1:30" ht="15.75" thickBot="1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spans="1:30" ht="15.75" thickBot="1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spans="1:30" ht="15.75" thickBot="1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spans="1:30" ht="15.75" thickBot="1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spans="1:30" ht="15.75" thickBot="1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spans="1:30" ht="15.75" thickBot="1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spans="1:30" ht="15.75" thickBot="1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spans="1:30" ht="15.75" thickBot="1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spans="1:30" ht="15.75" thickBot="1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spans="1:30" ht="15.75" thickBot="1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spans="1:30" ht="15.75" thickBot="1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spans="1:30" ht="15.75" thickBot="1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spans="1:30" ht="15.75" thickBot="1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spans="1:30" ht="15.75" thickBot="1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spans="1:30" ht="15.75" thickBot="1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spans="1:30" ht="15.75" thickBot="1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spans="1:30" ht="15.75" thickBot="1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spans="1:30" ht="15.75" thickBot="1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spans="1:30" ht="15.75" thickBot="1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spans="1:30" ht="15.75" thickBot="1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spans="1:30" ht="15.75" thickBot="1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spans="1:30" ht="15.75" thickBot="1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spans="1:30" ht="15.75" thickBot="1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spans="1:30" ht="15.75" thickBot="1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spans="1:30" ht="15.75" thickBot="1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spans="1:30" ht="15.75" thickBot="1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spans="1:30" ht="15.75" thickBot="1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spans="1:30" ht="15.75" thickBot="1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spans="1:30" ht="15.75" thickBot="1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spans="1:30" ht="15.75" thickBot="1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spans="1:30" ht="15.75" thickBot="1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spans="1:30" ht="15.75" thickBot="1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 spans="1:30" ht="15.75" thickBot="1" x14ac:dyDescent="0.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 spans="1:30" ht="15.75" thickBot="1" x14ac:dyDescent="0.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 spans="1:30" ht="15.75" thickBot="1" x14ac:dyDescent="0.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 spans="1:30" ht="15.75" thickBot="1" x14ac:dyDescent="0.3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 spans="1:30" ht="15.75" thickBot="1" x14ac:dyDescent="0.3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 spans="1:30" ht="15.75" thickBot="1" x14ac:dyDescent="0.3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</row>
    <row r="1007" spans="1:30" ht="15.75" thickBot="1" x14ac:dyDescent="0.3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 spans="1:30" ht="15.75" thickBot="1" x14ac:dyDescent="0.3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</row>
    <row r="1009" spans="1:29" ht="15.75" thickBot="1" x14ac:dyDescent="0.3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spans="1:29" ht="15.75" thickBot="1" x14ac:dyDescent="0.3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</row>
    <row r="1011" spans="1:29" ht="15.75" thickBot="1" x14ac:dyDescent="0.3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</row>
    <row r="1012" spans="1:29" ht="15.75" thickBot="1" x14ac:dyDescent="0.3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</row>
    <row r="1013" spans="1:29" ht="15.75" thickBot="1" x14ac:dyDescent="0.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</row>
  </sheetData>
  <mergeCells count="47">
    <mergeCell ref="R10:R11"/>
    <mergeCell ref="S10:S11"/>
    <mergeCell ref="T10:T11"/>
    <mergeCell ref="A2:A4"/>
    <mergeCell ref="B2:B4"/>
    <mergeCell ref="C2:C4"/>
    <mergeCell ref="I2:I4"/>
    <mergeCell ref="J2:J4"/>
    <mergeCell ref="W2:W4"/>
    <mergeCell ref="X2:X4"/>
    <mergeCell ref="Y2:Y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AA2:AA4"/>
    <mergeCell ref="A5:A6"/>
    <mergeCell ref="B5:B6"/>
    <mergeCell ref="C5:C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U2:U4"/>
    <mergeCell ref="V2:V4"/>
    <mergeCell ref="A10:A11"/>
    <mergeCell ref="B10:B11"/>
    <mergeCell ref="C10:C11"/>
    <mergeCell ref="P10:P11"/>
    <mergeCell ref="Q10:Q11"/>
    <mergeCell ref="U10:U11"/>
    <mergeCell ref="V10:V11"/>
    <mergeCell ref="W10:W11"/>
    <mergeCell ref="X10:X11"/>
    <mergeCell ref="Y10:Y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3</v>
      </c>
      <c r="B1" t="s">
        <v>4</v>
      </c>
    </row>
    <row r="2" spans="1:2" ht="15.75" x14ac:dyDescent="0.25">
      <c r="A2" s="3" t="s">
        <v>30</v>
      </c>
      <c r="B2" t="s">
        <v>82</v>
      </c>
    </row>
    <row r="3" spans="1:2" x14ac:dyDescent="0.25">
      <c r="A3" s="1" t="s">
        <v>32</v>
      </c>
      <c r="B3" s="4" t="s">
        <v>31</v>
      </c>
    </row>
    <row r="4" spans="1:2" x14ac:dyDescent="0.25">
      <c r="A4" s="1" t="s">
        <v>11</v>
      </c>
      <c r="B4" s="4" t="s">
        <v>76</v>
      </c>
    </row>
    <row r="5" spans="1:2" ht="16.5" x14ac:dyDescent="0.3">
      <c r="A5" s="5" t="s">
        <v>17</v>
      </c>
      <c r="B5" s="4" t="s">
        <v>45</v>
      </c>
    </row>
    <row r="6" spans="1:2" ht="16.5" x14ac:dyDescent="0.3">
      <c r="A6" s="5" t="s">
        <v>54</v>
      </c>
      <c r="B6" s="4" t="s">
        <v>81</v>
      </c>
    </row>
    <row r="7" spans="1:2" ht="16.5" x14ac:dyDescent="0.3">
      <c r="A7" s="5" t="s">
        <v>83</v>
      </c>
      <c r="B7" s="6" t="s">
        <v>10</v>
      </c>
    </row>
    <row r="8" spans="1:2" ht="16.5" x14ac:dyDescent="0.3">
      <c r="A8" s="5" t="s">
        <v>64</v>
      </c>
      <c r="B8" s="6" t="s">
        <v>18</v>
      </c>
    </row>
    <row r="9" spans="1:2" ht="16.5" x14ac:dyDescent="0.3">
      <c r="A9" s="5" t="s">
        <v>66</v>
      </c>
      <c r="B9" s="4" t="s">
        <v>19</v>
      </c>
    </row>
    <row r="10" spans="1:2" ht="16.5" x14ac:dyDescent="0.3">
      <c r="A10" s="5" t="s">
        <v>21</v>
      </c>
      <c r="B10" s="4" t="s">
        <v>24</v>
      </c>
    </row>
    <row r="11" spans="1:2" ht="16.5" x14ac:dyDescent="0.3">
      <c r="A11" s="5" t="s">
        <v>76</v>
      </c>
      <c r="B11" s="4" t="s">
        <v>13</v>
      </c>
    </row>
    <row r="12" spans="1:2" ht="16.5" x14ac:dyDescent="0.3">
      <c r="A12" s="5" t="s">
        <v>77</v>
      </c>
      <c r="B12" s="4" t="s">
        <v>44</v>
      </c>
    </row>
    <row r="13" spans="1:2" ht="17.25" x14ac:dyDescent="0.3">
      <c r="A13" s="7" t="s">
        <v>78</v>
      </c>
      <c r="B13" s="4" t="s">
        <v>0</v>
      </c>
    </row>
    <row r="14" spans="1:2" ht="16.5" x14ac:dyDescent="0.3">
      <c r="A14" s="5" t="s">
        <v>84</v>
      </c>
      <c r="B14" s="4" t="s">
        <v>55</v>
      </c>
    </row>
    <row r="15" spans="1:2" ht="16.5" x14ac:dyDescent="0.3">
      <c r="A15" s="5" t="s">
        <v>23</v>
      </c>
      <c r="B15" s="4" t="s">
        <v>56</v>
      </c>
    </row>
    <row r="16" spans="1:2" ht="16.5" x14ac:dyDescent="0.3">
      <c r="A16" s="5" t="s">
        <v>7</v>
      </c>
      <c r="B16" s="4" t="s">
        <v>69</v>
      </c>
    </row>
    <row r="17" spans="2:2" x14ac:dyDescent="0.25">
      <c r="B17" s="6" t="s">
        <v>40</v>
      </c>
    </row>
    <row r="18" spans="2:2" x14ac:dyDescent="0.25">
      <c r="B18" s="4" t="s">
        <v>68</v>
      </c>
    </row>
    <row r="19" spans="2:2" x14ac:dyDescent="0.25">
      <c r="B19" s="4" t="s">
        <v>85</v>
      </c>
    </row>
    <row r="20" spans="2:2" x14ac:dyDescent="0.25">
      <c r="B20" s="4" t="s">
        <v>34</v>
      </c>
    </row>
    <row r="21" spans="2:2" x14ac:dyDescent="0.25">
      <c r="B21" s="6" t="s">
        <v>35</v>
      </c>
    </row>
    <row r="22" spans="2:2" x14ac:dyDescent="0.25">
      <c r="B22" s="4" t="s">
        <v>8</v>
      </c>
    </row>
    <row r="23" spans="2:2" x14ac:dyDescent="0.25">
      <c r="B23" s="4" t="s">
        <v>36</v>
      </c>
    </row>
    <row r="24" spans="2:2" x14ac:dyDescent="0.25">
      <c r="B24" s="4" t="s">
        <v>71</v>
      </c>
    </row>
    <row r="25" spans="2:2" x14ac:dyDescent="0.25">
      <c r="B25" s="6" t="s">
        <v>50</v>
      </c>
    </row>
    <row r="26" spans="2:2" x14ac:dyDescent="0.25">
      <c r="B26" s="6" t="s">
        <v>37</v>
      </c>
    </row>
    <row r="27" spans="2:2" x14ac:dyDescent="0.25">
      <c r="B27" s="6" t="s">
        <v>52</v>
      </c>
    </row>
    <row r="28" spans="2:2" x14ac:dyDescent="0.25">
      <c r="B28" s="6" t="s">
        <v>53</v>
      </c>
    </row>
    <row r="29" spans="2:2" x14ac:dyDescent="0.25">
      <c r="B29" s="4" t="s">
        <v>86</v>
      </c>
    </row>
    <row r="30" spans="2:2" x14ac:dyDescent="0.25">
      <c r="B30" s="6" t="s">
        <v>87</v>
      </c>
    </row>
    <row r="31" spans="2:2" x14ac:dyDescent="0.25">
      <c r="B31" s="4" t="s">
        <v>41</v>
      </c>
    </row>
    <row r="32" spans="2:2" x14ac:dyDescent="0.25">
      <c r="B32" s="4" t="s">
        <v>88</v>
      </c>
    </row>
    <row r="33" spans="2:2" x14ac:dyDescent="0.25">
      <c r="B33" s="4" t="s">
        <v>15</v>
      </c>
    </row>
    <row r="34" spans="2:2" x14ac:dyDescent="0.25">
      <c r="B34" s="4" t="s">
        <v>89</v>
      </c>
    </row>
    <row r="35" spans="2:2" x14ac:dyDescent="0.25">
      <c r="B35" s="4" t="s">
        <v>90</v>
      </c>
    </row>
    <row r="36" spans="2:2" x14ac:dyDescent="0.25">
      <c r="B36" s="4" t="s">
        <v>62</v>
      </c>
    </row>
    <row r="37" spans="2:2" x14ac:dyDescent="0.25">
      <c r="B37" s="6" t="s">
        <v>63</v>
      </c>
    </row>
    <row r="38" spans="2:2" x14ac:dyDescent="0.25">
      <c r="B38" s="6" t="s">
        <v>91</v>
      </c>
    </row>
    <row r="39" spans="2:2" x14ac:dyDescent="0.25">
      <c r="B39" s="6" t="s">
        <v>92</v>
      </c>
    </row>
    <row r="40" spans="2:2" x14ac:dyDescent="0.25">
      <c r="B40" s="6" t="s">
        <v>42</v>
      </c>
    </row>
    <row r="41" spans="2:2" x14ac:dyDescent="0.25">
      <c r="B41" s="6" t="s">
        <v>79</v>
      </c>
    </row>
    <row r="42" spans="2:2" x14ac:dyDescent="0.25">
      <c r="B42" s="6" t="s">
        <v>93</v>
      </c>
    </row>
    <row r="43" spans="2:2" x14ac:dyDescent="0.25">
      <c r="B43" s="6" t="s">
        <v>14</v>
      </c>
    </row>
    <row r="44" spans="2:2" x14ac:dyDescent="0.25">
      <c r="B44" s="6" t="s">
        <v>94</v>
      </c>
    </row>
    <row r="45" spans="2:2" x14ac:dyDescent="0.25">
      <c r="B45" s="6" t="s">
        <v>95</v>
      </c>
    </row>
    <row r="46" spans="2:2" x14ac:dyDescent="0.25">
      <c r="B46" s="4" t="s">
        <v>9</v>
      </c>
    </row>
    <row r="47" spans="2:2" x14ac:dyDescent="0.25">
      <c r="B47" s="4" t="s">
        <v>57</v>
      </c>
    </row>
    <row r="48" spans="2:2" x14ac:dyDescent="0.25">
      <c r="B48" s="4" t="s">
        <v>73</v>
      </c>
    </row>
    <row r="49" spans="2:2" x14ac:dyDescent="0.25">
      <c r="B49" s="4" t="s">
        <v>96</v>
      </c>
    </row>
    <row r="50" spans="2:2" x14ac:dyDescent="0.25">
      <c r="B50" s="4" t="s">
        <v>97</v>
      </c>
    </row>
    <row r="51" spans="2:2" x14ac:dyDescent="0.25">
      <c r="B51" s="4" t="s">
        <v>43</v>
      </c>
    </row>
    <row r="52" spans="2:2" x14ac:dyDescent="0.25">
      <c r="B52" s="4" t="s">
        <v>12</v>
      </c>
    </row>
    <row r="53" spans="2:2" x14ac:dyDescent="0.25">
      <c r="B53" s="4" t="s">
        <v>98</v>
      </c>
    </row>
    <row r="54" spans="2:2" x14ac:dyDescent="0.25">
      <c r="B54" s="4" t="s">
        <v>99</v>
      </c>
    </row>
    <row r="55" spans="2:2" x14ac:dyDescent="0.25">
      <c r="B55" s="4" t="s">
        <v>33</v>
      </c>
    </row>
    <row r="56" spans="2:2" x14ac:dyDescent="0.25">
      <c r="B56" s="4" t="s">
        <v>60</v>
      </c>
    </row>
    <row r="57" spans="2:2" x14ac:dyDescent="0.25">
      <c r="B57" s="8" t="s">
        <v>47</v>
      </c>
    </row>
    <row r="58" spans="2:2" x14ac:dyDescent="0.25">
      <c r="B58" s="4" t="s">
        <v>100</v>
      </c>
    </row>
    <row r="59" spans="2:2" x14ac:dyDescent="0.25">
      <c r="B59" s="4" t="s">
        <v>74</v>
      </c>
    </row>
    <row r="60" spans="2:2" x14ac:dyDescent="0.25">
      <c r="B60" s="4" t="s">
        <v>48</v>
      </c>
    </row>
    <row r="61" spans="2:2" x14ac:dyDescent="0.25">
      <c r="B61" s="8" t="s">
        <v>49</v>
      </c>
    </row>
    <row r="62" spans="2:2" x14ac:dyDescent="0.25">
      <c r="B62" s="4" t="s">
        <v>2</v>
      </c>
    </row>
    <row r="63" spans="2:2" x14ac:dyDescent="0.25">
      <c r="B63" s="4" t="s">
        <v>51</v>
      </c>
    </row>
    <row r="64" spans="2:2" x14ac:dyDescent="0.25">
      <c r="B64" s="4" t="s">
        <v>101</v>
      </c>
    </row>
    <row r="65" spans="2:2" x14ac:dyDescent="0.25">
      <c r="B65" s="4" t="s">
        <v>102</v>
      </c>
    </row>
    <row r="66" spans="2:2" x14ac:dyDescent="0.25">
      <c r="B66" s="4" t="s">
        <v>75</v>
      </c>
    </row>
    <row r="67" spans="2:2" x14ac:dyDescent="0.25">
      <c r="B67" s="6" t="s">
        <v>58</v>
      </c>
    </row>
    <row r="68" spans="2:2" x14ac:dyDescent="0.25">
      <c r="B68" s="6" t="s">
        <v>46</v>
      </c>
    </row>
    <row r="69" spans="2:2" x14ac:dyDescent="0.25">
      <c r="B69" s="9" t="s">
        <v>103</v>
      </c>
    </row>
    <row r="70" spans="2:2" x14ac:dyDescent="0.25">
      <c r="B70" s="4" t="s">
        <v>65</v>
      </c>
    </row>
    <row r="71" spans="2:2" x14ac:dyDescent="0.25">
      <c r="B71" s="6" t="s">
        <v>104</v>
      </c>
    </row>
    <row r="72" spans="2:2" x14ac:dyDescent="0.25">
      <c r="B72" t="s">
        <v>5</v>
      </c>
    </row>
    <row r="73" spans="2:2" x14ac:dyDescent="0.25">
      <c r="B73" s="6" t="s">
        <v>70</v>
      </c>
    </row>
    <row r="74" spans="2:2" x14ac:dyDescent="0.25">
      <c r="B74" s="6" t="s">
        <v>105</v>
      </c>
    </row>
    <row r="75" spans="2:2" x14ac:dyDescent="0.25">
      <c r="B75" s="6" t="s">
        <v>106</v>
      </c>
    </row>
    <row r="76" spans="2:2" x14ac:dyDescent="0.25">
      <c r="B76" s="6" t="s">
        <v>67</v>
      </c>
    </row>
    <row r="77" spans="2:2" x14ac:dyDescent="0.25">
      <c r="B77" s="6" t="s">
        <v>22</v>
      </c>
    </row>
    <row r="78" spans="2:2" x14ac:dyDescent="0.25">
      <c r="B78" s="6" t="s">
        <v>115</v>
      </c>
    </row>
    <row r="79" spans="2:2" x14ac:dyDescent="0.25">
      <c r="B79" s="6" t="s">
        <v>107</v>
      </c>
    </row>
    <row r="80" spans="2:2" x14ac:dyDescent="0.25">
      <c r="B80" s="6" t="s">
        <v>68</v>
      </c>
    </row>
    <row r="81" spans="2:2" x14ac:dyDescent="0.25">
      <c r="B81" s="6" t="s">
        <v>61</v>
      </c>
    </row>
    <row r="82" spans="2:2" x14ac:dyDescent="0.25">
      <c r="B82" s="6" t="s">
        <v>59</v>
      </c>
    </row>
    <row r="83" spans="2:2" x14ac:dyDescent="0.25">
      <c r="B83" s="6" t="s">
        <v>16</v>
      </c>
    </row>
    <row r="84" spans="2:2" x14ac:dyDescent="0.25">
      <c r="B84" s="6" t="s">
        <v>108</v>
      </c>
    </row>
    <row r="85" spans="2:2" x14ac:dyDescent="0.25">
      <c r="B85" s="6" t="s">
        <v>72</v>
      </c>
    </row>
    <row r="86" spans="2:2" x14ac:dyDescent="0.25">
      <c r="B86" s="6" t="s">
        <v>109</v>
      </c>
    </row>
    <row r="87" spans="2:2" x14ac:dyDescent="0.25">
      <c r="B87" s="6" t="s">
        <v>38</v>
      </c>
    </row>
    <row r="88" spans="2:2" x14ac:dyDescent="0.25">
      <c r="B88" s="6" t="s">
        <v>39</v>
      </c>
    </row>
    <row r="89" spans="2:2" x14ac:dyDescent="0.25">
      <c r="B89" s="6" t="s">
        <v>20</v>
      </c>
    </row>
    <row r="90" spans="2:2" x14ac:dyDescent="0.25">
      <c r="B90" s="10" t="s">
        <v>110</v>
      </c>
    </row>
    <row r="91" spans="2:2" x14ac:dyDescent="0.25">
      <c r="B91" s="6" t="s">
        <v>6</v>
      </c>
    </row>
    <row r="92" spans="2:2" x14ac:dyDescent="0.25">
      <c r="B92" s="6" t="s">
        <v>111</v>
      </c>
    </row>
    <row r="93" spans="2:2" x14ac:dyDescent="0.25">
      <c r="B93" s="6" t="s">
        <v>116</v>
      </c>
    </row>
    <row r="94" spans="2:2" x14ac:dyDescent="0.25">
      <c r="B94" t="s">
        <v>112</v>
      </c>
    </row>
    <row r="95" spans="2:2" x14ac:dyDescent="0.25">
      <c r="B95" s="6" t="s">
        <v>113</v>
      </c>
    </row>
    <row r="96" spans="2:2" x14ac:dyDescent="0.25">
      <c r="B96" s="6" t="s">
        <v>114</v>
      </c>
    </row>
    <row r="97" spans="2:2" x14ac:dyDescent="0.25">
      <c r="B97" s="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Ene´25</vt:lpstr>
      <vt:lpstr>Gastos</vt:lpstr>
      <vt:lpstr>Ventas Ene'24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2025-03-05T17:36:43Z</dcterms:modified>
</cp:coreProperties>
</file>