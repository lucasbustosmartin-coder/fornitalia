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79024DED-6479-4870-BC46-FB14F229F9AA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Ventas Ene'24" sheetId="18" r:id="rId1"/>
    <sheet name="LISTA CONCEPTOS" sheetId="1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8" l="1"/>
  <c r="J14" i="18" s="1"/>
</calcChain>
</file>

<file path=xl/sharedStrings.xml><?xml version="1.0" encoding="utf-8"?>
<sst xmlns="http://schemas.openxmlformats.org/spreadsheetml/2006/main" count="203" uniqueCount="180">
  <si>
    <t>CRM</t>
  </si>
  <si>
    <t>FN1 PRO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</si>
  <si>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</si>
  <si>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</si>
  <si>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</si>
  <si>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</si>
  <si>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</si>
  <si>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</si>
  <si>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</si>
  <si>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</si>
  <si>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</si>
  <si>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</si>
  <si>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</si>
  <si>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</si>
  <si>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</si>
  <si>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</si>
  <si>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</si>
  <si>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</si>
  <si>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</si>
  <si>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</si>
  <si>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</si>
  <si>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</si>
  <si>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</si>
  <si>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</si>
  <si>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</si>
  <si>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</si>
  <si>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</si>
  <si>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</si>
  <si>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</si>
  <si>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</si>
  <si>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</si>
  <si>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</si>
  <si>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</si>
  <si>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</si>
  <si>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</si>
  <si>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</si>
  <si>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</si>
  <si>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</si>
  <si>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</si>
  <si>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</si>
  <si>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</si>
  <si>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</si>
  <si>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</si>
  <si>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</si>
  <si>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</si>
  <si>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</si>
  <si>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</si>
  <si>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</si>
  <si>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</si>
  <si>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</si>
  <si>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</si>
  <si>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</si>
  <si>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</si>
  <si>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</si>
  <si>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</si>
  <si>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</si>
  <si>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</si>
  <si>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</si>
  <si>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</si>
  <si>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</si>
  <si>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</si>
  <si>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</si>
  <si>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</si>
  <si>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</si>
  <si>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</si>
  <si>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</si>
  <si>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</si>
  <si>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</si>
  <si>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</si>
  <si>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</si>
  <si>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</si>
  <si>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</si>
  <si>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</si>
  <si>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</si>
  <si>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</si>
  <si>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</si>
  <si>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</si>
  <si>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</si>
  <si>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</si>
  <si>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</si>
  <si>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</si>
  <si>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</si>
  <si>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</si>
  <si>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</si>
  <si>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</si>
  <si>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</si>
  <si>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</si>
  <si>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</si>
  <si>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</si>
  <si>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</si>
  <si>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</si>
  <si>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</si>
  <si>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</si>
  <si>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</si>
  <si>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</si>
  <si>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</si>
  <si>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</si>
  <si>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</si>
  <si>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</si>
  <si>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</si>
  <si>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</si>
  <si>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</si>
  <si>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</si>
  <si>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</si>
  <si>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</si>
  <si>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</si>
  <si>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</si>
  <si>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</si>
  <si>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</si>
  <si>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</si>
  <si>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</si>
  <si>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</si>
  <si>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</si>
  <si>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</si>
  <si>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</si>
  <si>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</si>
  <si>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PayWay</t>
  </si>
  <si>
    <t>Nº Serie</t>
  </si>
  <si>
    <t>N° Despacho</t>
  </si>
  <si>
    <t>#</t>
  </si>
  <si>
    <t>Tipo de IVA</t>
  </si>
  <si>
    <t>MONTO TOTAL</t>
  </si>
  <si>
    <t>CUIT</t>
  </si>
  <si>
    <t>Forma de Pago</t>
  </si>
  <si>
    <t>Lelia</t>
  </si>
  <si>
    <t>24 001 | C04 196596 G</t>
  </si>
  <si>
    <t>PALA</t>
  </si>
  <si>
    <t>N/A</t>
  </si>
  <si>
    <t>PRO GAS 90</t>
  </si>
  <si>
    <t>PRO GAS 106</t>
  </si>
  <si>
    <t>24 001 IC04 0985888 X</t>
  </si>
  <si>
    <t>PALAS</t>
  </si>
  <si>
    <t>MESA</t>
  </si>
  <si>
    <t>Fecha</t>
  </si>
  <si>
    <t>Comisión 5%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</si>
  <si>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</si>
  <si>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</si>
  <si>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</si>
  <si>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</si>
  <si>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</si>
  <si>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</si>
  <si>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</si>
  <si>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</si>
  <si>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</si>
  <si>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</si>
  <si>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</si>
  <si>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</si>
  <si>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</si>
  <si>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</si>
  <si>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</si>
  <si>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&lt;</t>
  </si>
  <si>
    <t>BRAIAN LEONEL JATAF</t>
  </si>
  <si>
    <t>Fc B 0012</t>
  </si>
  <si>
    <t>Galicia | SmartChain</t>
  </si>
  <si>
    <t>PO24ITA018</t>
  </si>
  <si>
    <t>N/C</t>
  </si>
  <si>
    <t>ORLANDO SAEZ | ACATRAZ SA</t>
  </si>
  <si>
    <t>24146009 24146005</t>
  </si>
  <si>
    <t>Fc A 0056</t>
  </si>
  <si>
    <t>MESA FRIA</t>
  </si>
  <si>
    <t>YX20241009017</t>
  </si>
  <si>
    <t>JUAN NIGRO</t>
  </si>
  <si>
    <t>Fc B 0015</t>
  </si>
  <si>
    <t>Galicia | Mercado Pago | Efectivo</t>
  </si>
  <si>
    <t>JORGE ADRIAN LEYES</t>
  </si>
  <si>
    <t>G24038032015</t>
  </si>
  <si>
    <t>Fc B 0014</t>
  </si>
  <si>
    <t>Galicia</t>
  </si>
  <si>
    <t>EMILIANO ILLESCAS</t>
  </si>
  <si>
    <t>PRO GAS 602</t>
  </si>
  <si>
    <t>Fc B 0018</t>
  </si>
  <si>
    <t>Efectivo</t>
  </si>
  <si>
    <t xml:space="preserve">EMANUEL PEREYRA 
</t>
  </si>
  <si>
    <t>Fc A 0057</t>
  </si>
  <si>
    <t>ARIEL RODRIGUEZ</t>
  </si>
  <si>
    <t>Fc B 0011</t>
  </si>
  <si>
    <t>Visa 3 Cuotas | Efectivo</t>
  </si>
  <si>
    <t>BARBARA GODOY</t>
  </si>
  <si>
    <t>Fc B 0016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</si>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</sst>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E0666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8" fillId="0" borderId="2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8" fillId="3" borderId="3" xfId="0" applyNumberFormat="1" applyFont="1" applyFill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3" fontId="8" fillId="0" borderId="4" xfId="0" applyNumberFormat="1" applyFont="1" applyBorder="1" applyAlignment="1">
      <alignment horizontal="right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right" vertical="center" wrapText="1"/>
    </xf>
    <xf numFmtId="9" fontId="8" fillId="0" borderId="3" xfId="0" applyNumberFormat="1" applyFont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right" vertical="center" wrapText="1"/>
    </xf>
    <xf numFmtId="10" fontId="8" fillId="0" borderId="3" xfId="0" applyNumberFormat="1" applyFont="1" applyBorder="1" applyAlignment="1">
      <alignment horizontal="center" vertical="center" wrapText="1"/>
    </xf>
    <xf numFmtId="3" fontId="8" fillId="6" borderId="3" xfId="0" applyNumberFormat="1" applyFont="1" applyFill="1" applyBorder="1" applyAlignment="1">
      <alignment horizontal="right" vertical="center" wrapText="1"/>
    </xf>
    <xf numFmtId="0" fontId="8" fillId="0" borderId="8" xfId="0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right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right" vertical="center" wrapText="1"/>
    </xf>
    <xf numFmtId="10" fontId="8" fillId="0" borderId="4" xfId="0" applyNumberFormat="1" applyFont="1" applyBorder="1" applyAlignment="1">
      <alignment horizontal="center" vertical="center" wrapText="1"/>
    </xf>
    <xf numFmtId="4" fontId="8" fillId="6" borderId="4" xfId="0" applyNumberFormat="1" applyFont="1" applyFill="1" applyBorder="1" applyAlignment="1">
      <alignment horizontal="right" vertical="center" wrapText="1"/>
    </xf>
    <xf numFmtId="0" fontId="8" fillId="7" borderId="4" xfId="0" applyFont="1" applyFill="1" applyBorder="1" applyAlignment="1">
      <alignment horizontal="right" vertical="center" wrapText="1"/>
    </xf>
    <xf numFmtId="3" fontId="8" fillId="6" borderId="4" xfId="0" applyNumberFormat="1" applyFont="1" applyFill="1" applyBorder="1" applyAlignment="1">
      <alignment horizontal="right" vertical="center" wrapText="1"/>
    </xf>
    <xf numFmtId="3" fontId="7" fillId="6" borderId="2" xfId="0" applyNumberFormat="1" applyFont="1" applyFill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4" fontId="8" fillId="6" borderId="3" xfId="0" applyNumberFormat="1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horizontal="right" vertical="center" wrapText="1"/>
    </xf>
    <xf numFmtId="15" fontId="8" fillId="0" borderId="3" xfId="0" applyNumberFormat="1" applyFont="1" applyBorder="1" applyAlignment="1">
      <alignment horizontal="center" vertical="center" wrapText="1"/>
    </xf>
    <xf numFmtId="4" fontId="8" fillId="7" borderId="3" xfId="0" applyNumberFormat="1" applyFont="1" applyFill="1" applyBorder="1" applyAlignment="1">
      <alignment horizontal="righ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4" fontId="7" fillId="4" borderId="3" xfId="0" applyNumberFormat="1" applyFont="1" applyFill="1" applyBorder="1" applyAlignment="1">
      <alignment horizontal="right" vertical="center" wrapText="1"/>
    </xf>
    <xf numFmtId="10" fontId="8" fillId="0" borderId="2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/>
    </xf>
    <xf numFmtId="4" fontId="8" fillId="4" borderId="3" xfId="0" applyNumberFormat="1" applyFont="1" applyFill="1" applyBorder="1" applyAlignment="1">
      <alignment vertical="center" wrapText="1"/>
    </xf>
    <xf numFmtId="4" fontId="7" fillId="4" borderId="3" xfId="0" applyNumberFormat="1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3" fontId="8" fillId="0" borderId="6" xfId="0" applyNumberFormat="1" applyFont="1" applyBorder="1" applyAlignment="1">
      <alignment horizontal="right" vertical="center" wrapText="1"/>
    </xf>
    <xf numFmtId="3" fontId="8" fillId="0" borderId="12" xfId="0" applyNumberFormat="1" applyFont="1" applyBorder="1" applyAlignment="1">
      <alignment horizontal="righ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5" fontId="8" fillId="0" borderId="6" xfId="0" applyNumberFormat="1" applyFont="1" applyBorder="1" applyAlignment="1">
      <alignment horizontal="center" vertical="center" wrapText="1"/>
    </xf>
    <xf numFmtId="15" fontId="8" fillId="0" borderId="11" xfId="0" applyNumberFormat="1" applyFont="1" applyBorder="1" applyAlignment="1">
      <alignment horizontal="center" vertical="center" wrapText="1"/>
    </xf>
    <xf numFmtId="15" fontId="8" fillId="0" borderId="5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" fontId="8" fillId="3" borderId="6" xfId="0" applyNumberFormat="1" applyFont="1" applyFill="1" applyBorder="1" applyAlignment="1">
      <alignment horizontal="right" vertical="center" wrapText="1"/>
    </xf>
    <xf numFmtId="4" fontId="8" fillId="3" borderId="11" xfId="0" applyNumberFormat="1" applyFont="1" applyFill="1" applyBorder="1" applyAlignment="1">
      <alignment horizontal="right" vertical="center" wrapText="1"/>
    </xf>
    <xf numFmtId="4" fontId="8" fillId="3" borderId="5" xfId="0" applyNumberFormat="1" applyFont="1" applyFill="1" applyBorder="1" applyAlignment="1">
      <alignment horizontal="right" vertical="center" wrapText="1"/>
    </xf>
    <xf numFmtId="9" fontId="8" fillId="0" borderId="6" xfId="0" applyNumberFormat="1" applyFont="1" applyBorder="1" applyAlignment="1">
      <alignment horizontal="center" vertical="center" wrapText="1"/>
    </xf>
    <xf numFmtId="9" fontId="8" fillId="0" borderId="11" xfId="0" applyNumberFormat="1" applyFont="1" applyBorder="1" applyAlignment="1">
      <alignment horizontal="center" vertical="center" wrapText="1"/>
    </xf>
    <xf numFmtId="9" fontId="8" fillId="0" borderId="5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right" vertical="center" wrapText="1"/>
    </xf>
    <xf numFmtId="4" fontId="8" fillId="0" borderId="11" xfId="0" applyNumberFormat="1" applyFont="1" applyBorder="1" applyAlignment="1">
      <alignment horizontal="right" vertical="center" wrapText="1"/>
    </xf>
    <xf numFmtId="4" fontId="8" fillId="0" borderId="5" xfId="0" applyNumberFormat="1" applyFont="1" applyBorder="1" applyAlignment="1">
      <alignment horizontal="right" vertical="center" wrapText="1"/>
    </xf>
    <xf numFmtId="10" fontId="8" fillId="0" borderId="6" xfId="0" applyNumberFormat="1" applyFont="1" applyBorder="1" applyAlignment="1">
      <alignment horizontal="center" vertical="center" wrapText="1"/>
    </xf>
    <xf numFmtId="10" fontId="8" fillId="0" borderId="11" xfId="0" applyNumberFormat="1" applyFont="1" applyBorder="1" applyAlignment="1">
      <alignment horizontal="center" vertical="center" wrapText="1"/>
    </xf>
    <xf numFmtId="10" fontId="8" fillId="0" borderId="5" xfId="0" applyNumberFormat="1" applyFont="1" applyBorder="1" applyAlignment="1">
      <alignment horizontal="center" vertical="center" wrapText="1"/>
    </xf>
    <xf numFmtId="3" fontId="8" fillId="6" borderId="6" xfId="0" applyNumberFormat="1" applyFont="1" applyFill="1" applyBorder="1" applyAlignment="1">
      <alignment horizontal="right" vertical="center" wrapText="1"/>
    </xf>
    <xf numFmtId="3" fontId="8" fillId="6" borderId="11" xfId="0" applyNumberFormat="1" applyFont="1" applyFill="1" applyBorder="1" applyAlignment="1">
      <alignment horizontal="right" vertical="center" wrapText="1"/>
    </xf>
    <xf numFmtId="3" fontId="8" fillId="6" borderId="5" xfId="0" applyNumberFormat="1" applyFont="1" applyFill="1" applyBorder="1" applyAlignment="1">
      <alignment horizontal="right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3" fontId="8" fillId="3" borderId="6" xfId="0" applyNumberFormat="1" applyFont="1" applyFill="1" applyBorder="1" applyAlignment="1">
      <alignment horizontal="right" vertical="center" wrapText="1"/>
    </xf>
    <xf numFmtId="3" fontId="8" fillId="3" borderId="5" xfId="0" applyNumberFormat="1" applyFont="1" applyFill="1" applyBorder="1" applyAlignment="1">
      <alignment horizontal="right" vertical="center" wrapText="1"/>
    </xf>
    <xf numFmtId="3" fontId="8" fillId="0" borderId="5" xfId="0" applyNumberFormat="1" applyFont="1" applyBorder="1" applyAlignment="1">
      <alignment horizontal="right" vertical="center" wrapText="1"/>
    </xf>
    <xf numFmtId="4" fontId="8" fillId="6" borderId="6" xfId="0" applyNumberFormat="1" applyFont="1" applyFill="1" applyBorder="1" applyAlignment="1">
      <alignment horizontal="right" vertical="center" wrapText="1"/>
    </xf>
    <xf numFmtId="4" fontId="8" fillId="6" borderId="5" xfId="0" applyNumberFormat="1" applyFont="1" applyFill="1" applyBorder="1" applyAlignment="1">
      <alignment horizontal="right" vertical="center" wrapText="1"/>
    </xf>
    <xf numFmtId="0" fontId="8" fillId="7" borderId="6" xfId="0" applyFont="1" applyFill="1" applyBorder="1" applyAlignment="1">
      <alignment horizontal="right" vertical="center" wrapText="1"/>
    </xf>
    <xf numFmtId="0" fontId="8" fillId="7" borderId="5" xfId="0" applyFont="1" applyFill="1" applyBorder="1" applyAlignment="1">
      <alignment horizontal="right" vertical="center" wrapText="1"/>
    </xf>
    <xf numFmtId="4" fontId="8" fillId="6" borderId="11" xfId="0" applyNumberFormat="1" applyFont="1" applyFill="1" applyBorder="1" applyAlignment="1">
      <alignment horizontal="right" vertical="center" wrapText="1"/>
    </xf>
    <xf numFmtId="0" fontId="8" fillId="7" borderId="11" xfId="0" applyFont="1" applyFill="1" applyBorder="1" applyAlignment="1">
      <alignment horizontal="right" vertical="center" wrapText="1"/>
    </xf>
    <xf numFmtId="0" fontId="8" fillId="0" borderId="12" xfId="0" applyFont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3" fontId="8" fillId="3" borderId="12" xfId="0" applyNumberFormat="1" applyFont="1" applyFill="1" applyBorder="1" applyAlignment="1">
      <alignment horizontal="right" vertical="center" wrapText="1"/>
    </xf>
    <xf numFmtId="4" fontId="8" fillId="0" borderId="12" xfId="0" applyNumberFormat="1" applyFont="1" applyBorder="1" applyAlignment="1">
      <alignment horizontal="right" vertical="center" wrapText="1"/>
    </xf>
    <xf numFmtId="4" fontId="8" fillId="6" borderId="12" xfId="0" applyNumberFormat="1" applyFont="1" applyFill="1" applyBorder="1" applyAlignment="1">
      <alignment horizontal="right" vertical="center" wrapText="1"/>
    </xf>
    <xf numFmtId="0" fontId="8" fillId="7" borderId="12" xfId="0" applyFont="1" applyFill="1" applyBorder="1" applyAlignment="1">
      <alignment horizontal="right" vertical="center" wrapText="1"/>
    </xf>
  </cellXfs>
  <cellStyles count="4">
    <cellStyle name="Millares 2" xfId="3" xr:uid="{6055B29B-3539-473A-AE1E-B53434AF2097}"/>
    <cellStyle name="Moneda 2" xfId="1" xr:uid="{2B19F461-3CE7-49C6-8833-F2A9B7C29E43}"/>
    <cellStyle name="Moneda 3" xfId="2" xr:uid="{D431B3F6-F0AC-4B22-A2EF-B5778D33F5AF}"/>
    <cellStyle name="Normal" xfId="0" builtinId="0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D1013"/>
  <sheetViews>
    <sheetView tabSelected="1" zoomScale="90" zoomScaleNormal="90" workbookViewId="0"/>
  </sheetViews>
  <sheetFormatPr baseColWidth="10" defaultRowHeight="14.4" x14ac:dyDescent="0.3"/>
  <cols>
    <col min="2" max="2" width="11" bestFit="1" customWidth="1"/>
    <col min="4" max="4" width="11" bestFit="1" customWidth="1"/>
    <col min="6" max="6" width="12.109375" bestFit="1" customWidth="1"/>
    <col min="7" max="7" width="11" bestFit="1" customWidth="1"/>
    <col min="8" max="8" width="14.109375" bestFit="1" customWidth="1"/>
    <col min="9" max="9" width="14.88671875" bestFit="1" customWidth="1"/>
    <col min="10" max="10" width="14.109375" bestFit="1" customWidth="1"/>
    <col min="11" max="12" width="13.5546875" bestFit="1" customWidth="1"/>
    <col min="13" max="14" width="14.109375" bestFit="1" customWidth="1"/>
    <col min="15" max="15" width="13.5546875" bestFit="1" customWidth="1"/>
    <col min="16" max="16" width="18" customWidth="1"/>
    <col min="17" max="19" width="0" hidden="1" customWidth="1"/>
    <col min="20" max="20" width="12.109375" hidden="1" customWidth="1"/>
    <col min="21" max="21" width="13.5546875" hidden="1" customWidth="1"/>
    <col min="22" max="22" width="17.109375" hidden="1" customWidth="1"/>
    <col min="23" max="25" width="0" hidden="1" customWidth="1"/>
    <col min="26" max="26" width="12.5546875" bestFit="1" customWidth="1"/>
    <col min="27" max="28" width="0" hidden="1" customWidth="1"/>
  </cols>
  <sheetData>
    <row r="1" spans="1:30" ht="27" thickBot="1" x14ac:dyDescent="0.35">
      <c r="A1" s="18" t="s">
        <v>135</v>
      </c>
      <c r="B1" s="19" t="s">
        <v>133</v>
      </c>
      <c r="C1" s="19" t="s">
        <v>136</v>
      </c>
      <c r="D1" s="19" t="s">
        <v>137</v>
      </c>
      <c r="E1" s="19" t="s">
        <v>117</v>
      </c>
      <c r="F1" s="19" t="s">
        <v>118</v>
      </c>
      <c r="G1" s="19" t="s">
        <v>119</v>
      </c>
      <c r="H1" s="19" t="s">
        <v>138</v>
      </c>
      <c r="I1" s="19" t="s">
        <v>139</v>
      </c>
      <c r="J1" s="19" t="s">
        <v>140</v>
      </c>
      <c r="K1" s="19" t="s">
        <v>141</v>
      </c>
      <c r="L1" s="19" t="s">
        <v>142</v>
      </c>
      <c r="M1" s="19" t="s">
        <v>120</v>
      </c>
      <c r="N1" s="19" t="s">
        <v>115</v>
      </c>
      <c r="O1" s="19" t="s">
        <v>143</v>
      </c>
      <c r="P1" s="19" t="s">
        <v>121</v>
      </c>
      <c r="Q1" s="19" t="s">
        <v>144</v>
      </c>
      <c r="R1" s="19" t="s">
        <v>145</v>
      </c>
      <c r="S1" s="19" t="s">
        <v>116</v>
      </c>
      <c r="T1" s="19" t="s">
        <v>146</v>
      </c>
      <c r="U1" s="19" t="s">
        <v>147</v>
      </c>
      <c r="V1" s="19" t="s">
        <v>148</v>
      </c>
      <c r="W1" s="19" t="s">
        <v>149</v>
      </c>
      <c r="X1" s="19" t="s">
        <v>122</v>
      </c>
      <c r="Y1" s="19" t="s">
        <v>123</v>
      </c>
      <c r="Z1" s="19"/>
      <c r="AA1" s="19" t="s">
        <v>134</v>
      </c>
      <c r="AB1" s="20" t="s">
        <v>150</v>
      </c>
      <c r="AC1" s="10"/>
      <c r="AD1" s="10"/>
    </row>
    <row r="2" spans="1:30" ht="37.5" customHeight="1" thickBot="1" x14ac:dyDescent="0.35">
      <c r="A2" s="53" t="s">
        <v>124</v>
      </c>
      <c r="B2" s="56">
        <v>45670</v>
      </c>
      <c r="C2" s="49" t="s">
        <v>151</v>
      </c>
      <c r="D2" s="13" t="s">
        <v>1</v>
      </c>
      <c r="E2" s="13">
        <v>202410318</v>
      </c>
      <c r="F2" s="13" t="s">
        <v>125</v>
      </c>
      <c r="G2" s="14">
        <v>1</v>
      </c>
      <c r="H2" s="21">
        <v>1080000</v>
      </c>
      <c r="I2" s="61">
        <v>1632001</v>
      </c>
      <c r="J2" s="64">
        <v>0.05</v>
      </c>
      <c r="K2" s="61">
        <v>1550400.95</v>
      </c>
      <c r="L2" s="67">
        <v>775200</v>
      </c>
      <c r="M2" s="70">
        <v>0.21</v>
      </c>
      <c r="N2" s="67">
        <v>162792</v>
      </c>
      <c r="O2" s="67">
        <v>937992</v>
      </c>
      <c r="P2" s="61">
        <v>1713192.95</v>
      </c>
      <c r="Q2" s="67">
        <v>937992</v>
      </c>
      <c r="R2" s="49"/>
      <c r="S2" s="49"/>
      <c r="T2" s="67">
        <v>775200</v>
      </c>
      <c r="U2" s="81">
        <v>1713192</v>
      </c>
      <c r="V2" s="83">
        <v>0.95</v>
      </c>
      <c r="W2" s="49" t="s">
        <v>152</v>
      </c>
      <c r="X2" s="53">
        <v>20356126778</v>
      </c>
      <c r="Y2" s="49" t="s">
        <v>153</v>
      </c>
      <c r="Z2" s="11"/>
      <c r="AA2" s="73">
        <v>77520</v>
      </c>
      <c r="AB2" s="10"/>
      <c r="AC2" s="10"/>
      <c r="AD2" s="10"/>
    </row>
    <row r="3" spans="1:30" ht="27" thickBot="1" x14ac:dyDescent="0.35">
      <c r="A3" s="54"/>
      <c r="B3" s="57"/>
      <c r="C3" s="59"/>
      <c r="D3" s="13" t="s">
        <v>132</v>
      </c>
      <c r="E3" s="13" t="s">
        <v>154</v>
      </c>
      <c r="F3" s="13" t="s">
        <v>130</v>
      </c>
      <c r="G3" s="14">
        <v>1</v>
      </c>
      <c r="H3" s="21">
        <v>370000</v>
      </c>
      <c r="I3" s="62"/>
      <c r="J3" s="65"/>
      <c r="K3" s="62"/>
      <c r="L3" s="68"/>
      <c r="M3" s="71"/>
      <c r="N3" s="68"/>
      <c r="O3" s="68"/>
      <c r="P3" s="62"/>
      <c r="Q3" s="68"/>
      <c r="R3" s="59"/>
      <c r="S3" s="59"/>
      <c r="T3" s="68"/>
      <c r="U3" s="85"/>
      <c r="V3" s="86"/>
      <c r="W3" s="59"/>
      <c r="X3" s="54"/>
      <c r="Y3" s="59"/>
      <c r="Z3" s="11"/>
      <c r="AA3" s="74"/>
      <c r="AB3" s="10"/>
      <c r="AC3" s="10"/>
      <c r="AD3" s="10"/>
    </row>
    <row r="4" spans="1:30" ht="15" thickBot="1" x14ac:dyDescent="0.35">
      <c r="A4" s="55"/>
      <c r="B4" s="58"/>
      <c r="C4" s="60"/>
      <c r="D4" s="13" t="s">
        <v>131</v>
      </c>
      <c r="E4" s="13" t="s">
        <v>155</v>
      </c>
      <c r="F4" s="13" t="s">
        <v>155</v>
      </c>
      <c r="G4" s="14">
        <v>2</v>
      </c>
      <c r="H4" s="21">
        <v>91000</v>
      </c>
      <c r="I4" s="63"/>
      <c r="J4" s="66"/>
      <c r="K4" s="63"/>
      <c r="L4" s="69"/>
      <c r="M4" s="72"/>
      <c r="N4" s="69"/>
      <c r="O4" s="69"/>
      <c r="P4" s="63"/>
      <c r="Q4" s="69"/>
      <c r="R4" s="60"/>
      <c r="S4" s="60"/>
      <c r="T4" s="69"/>
      <c r="U4" s="82"/>
      <c r="V4" s="84"/>
      <c r="W4" s="60"/>
      <c r="X4" s="55"/>
      <c r="Y4" s="60"/>
      <c r="Z4" s="11"/>
      <c r="AA4" s="75"/>
      <c r="AB4" s="10"/>
      <c r="AC4" s="10"/>
      <c r="AD4" s="10"/>
    </row>
    <row r="5" spans="1:30" ht="27" thickBot="1" x14ac:dyDescent="0.35">
      <c r="A5" s="53" t="s">
        <v>124</v>
      </c>
      <c r="B5" s="76">
        <v>45675</v>
      </c>
      <c r="C5" s="49" t="s">
        <v>156</v>
      </c>
      <c r="D5" s="13" t="s">
        <v>128</v>
      </c>
      <c r="E5" s="13" t="s">
        <v>157</v>
      </c>
      <c r="F5" s="13" t="s">
        <v>125</v>
      </c>
      <c r="G5" s="14">
        <v>2</v>
      </c>
      <c r="H5" s="21">
        <v>4350000</v>
      </c>
      <c r="I5" s="23">
        <v>8700000</v>
      </c>
      <c r="J5" s="22">
        <v>0.15</v>
      </c>
      <c r="K5" s="23">
        <v>7395000</v>
      </c>
      <c r="L5" s="21">
        <v>7395000</v>
      </c>
      <c r="M5" s="24">
        <v>0.105</v>
      </c>
      <c r="N5" s="21">
        <v>776475</v>
      </c>
      <c r="O5" s="21">
        <v>8171475</v>
      </c>
      <c r="P5" s="78">
        <v>13999245</v>
      </c>
      <c r="Q5" s="51">
        <v>11362245</v>
      </c>
      <c r="R5" s="49"/>
      <c r="S5" s="49"/>
      <c r="T5" s="51">
        <v>2637000</v>
      </c>
      <c r="U5" s="81">
        <v>13999245</v>
      </c>
      <c r="V5" s="83">
        <v>0</v>
      </c>
      <c r="W5" s="49" t="s">
        <v>158</v>
      </c>
      <c r="X5" s="53">
        <v>30702226216</v>
      </c>
      <c r="Y5" s="49" t="s">
        <v>153</v>
      </c>
      <c r="Z5" s="11"/>
      <c r="AA5" s="25">
        <v>369750</v>
      </c>
      <c r="AB5" s="10"/>
      <c r="AC5" s="10"/>
      <c r="AD5" s="10"/>
    </row>
    <row r="6" spans="1:30" ht="27" thickBot="1" x14ac:dyDescent="0.35">
      <c r="A6" s="55"/>
      <c r="B6" s="77"/>
      <c r="C6" s="60"/>
      <c r="D6" s="13" t="s">
        <v>159</v>
      </c>
      <c r="E6" s="13" t="s">
        <v>160</v>
      </c>
      <c r="F6" s="13" t="s">
        <v>125</v>
      </c>
      <c r="G6" s="14">
        <v>1</v>
      </c>
      <c r="H6" s="21">
        <v>5860000</v>
      </c>
      <c r="I6" s="23">
        <v>5860000</v>
      </c>
      <c r="J6" s="22">
        <v>0.1</v>
      </c>
      <c r="K6" s="23">
        <v>5274000</v>
      </c>
      <c r="L6" s="21">
        <v>2637000</v>
      </c>
      <c r="M6" s="24">
        <v>0.21</v>
      </c>
      <c r="N6" s="21">
        <v>553770</v>
      </c>
      <c r="O6" s="21">
        <v>3190770</v>
      </c>
      <c r="P6" s="79"/>
      <c r="Q6" s="80"/>
      <c r="R6" s="60"/>
      <c r="S6" s="60"/>
      <c r="T6" s="80"/>
      <c r="U6" s="82"/>
      <c r="V6" s="84"/>
      <c r="W6" s="60"/>
      <c r="X6" s="55"/>
      <c r="Y6" s="60"/>
      <c r="Z6" s="11"/>
      <c r="AA6" s="25">
        <v>263700</v>
      </c>
      <c r="AB6" s="10"/>
      <c r="AC6" s="10"/>
      <c r="AD6" s="10"/>
    </row>
    <row r="7" spans="1:30" ht="53.4" thickBot="1" x14ac:dyDescent="0.35">
      <c r="A7" s="26" t="s">
        <v>124</v>
      </c>
      <c r="B7" s="27">
        <v>45681</v>
      </c>
      <c r="C7" s="15" t="s">
        <v>161</v>
      </c>
      <c r="D7" s="15" t="s">
        <v>113</v>
      </c>
      <c r="E7" s="15">
        <v>202403604</v>
      </c>
      <c r="F7" s="15" t="s">
        <v>125</v>
      </c>
      <c r="G7" s="16">
        <v>1</v>
      </c>
      <c r="H7" s="28">
        <v>2010000</v>
      </c>
      <c r="I7" s="30">
        <v>2010000</v>
      </c>
      <c r="J7" s="29">
        <v>0.1</v>
      </c>
      <c r="K7" s="30">
        <v>1809000</v>
      </c>
      <c r="L7" s="28">
        <v>1809000</v>
      </c>
      <c r="M7" s="31">
        <v>0.21</v>
      </c>
      <c r="N7" s="28">
        <v>379890</v>
      </c>
      <c r="O7" s="28">
        <v>2188890</v>
      </c>
      <c r="P7" s="30">
        <v>2188890</v>
      </c>
      <c r="Q7" s="17">
        <v>500000</v>
      </c>
      <c r="R7" s="17">
        <v>1500000</v>
      </c>
      <c r="S7" s="15"/>
      <c r="T7" s="17">
        <v>188890</v>
      </c>
      <c r="U7" s="32">
        <v>2188890</v>
      </c>
      <c r="V7" s="33">
        <v>0</v>
      </c>
      <c r="W7" s="15" t="s">
        <v>162</v>
      </c>
      <c r="X7" s="16">
        <v>20141876989</v>
      </c>
      <c r="Y7" s="15" t="s">
        <v>163</v>
      </c>
      <c r="Z7" s="17"/>
      <c r="AA7" s="34">
        <v>90450</v>
      </c>
      <c r="AB7" s="35">
        <v>801420</v>
      </c>
      <c r="AC7" s="10"/>
      <c r="AD7" s="10"/>
    </row>
    <row r="8" spans="1:30" ht="40.799999999999997" thickTop="1" thickBot="1" x14ac:dyDescent="0.35">
      <c r="A8" s="36" t="s">
        <v>114</v>
      </c>
      <c r="B8" s="37">
        <v>45677</v>
      </c>
      <c r="C8" s="13" t="s">
        <v>164</v>
      </c>
      <c r="D8" s="13" t="s">
        <v>129</v>
      </c>
      <c r="E8" s="13" t="s">
        <v>165</v>
      </c>
      <c r="F8" s="13" t="s">
        <v>130</v>
      </c>
      <c r="G8" s="14">
        <v>1</v>
      </c>
      <c r="H8" s="21">
        <v>3210000</v>
      </c>
      <c r="I8" s="23">
        <v>3210000</v>
      </c>
      <c r="J8" s="22">
        <v>0.05</v>
      </c>
      <c r="K8" s="23">
        <v>3179502</v>
      </c>
      <c r="L8" s="21">
        <v>3179502</v>
      </c>
      <c r="M8" s="24">
        <v>0.105</v>
      </c>
      <c r="N8" s="21">
        <v>320198</v>
      </c>
      <c r="O8" s="21">
        <v>3499700</v>
      </c>
      <c r="P8" s="12">
        <v>3499700</v>
      </c>
      <c r="Q8" s="21">
        <v>3499700</v>
      </c>
      <c r="R8" s="13"/>
      <c r="S8" s="13"/>
      <c r="T8" s="13"/>
      <c r="U8" s="38">
        <v>3499700</v>
      </c>
      <c r="V8" s="39">
        <v>0</v>
      </c>
      <c r="W8" s="13" t="s">
        <v>166</v>
      </c>
      <c r="X8" s="14">
        <v>23407978269</v>
      </c>
      <c r="Y8" s="13" t="s">
        <v>167</v>
      </c>
      <c r="Z8" s="11"/>
      <c r="AA8" s="25">
        <v>158975</v>
      </c>
      <c r="AB8" s="10"/>
      <c r="AC8" s="10"/>
      <c r="AD8" s="10"/>
    </row>
    <row r="9" spans="1:30" ht="27" thickBot="1" x14ac:dyDescent="0.35">
      <c r="A9" s="36" t="s">
        <v>114</v>
      </c>
      <c r="B9" s="37">
        <v>45672</v>
      </c>
      <c r="C9" s="13" t="s">
        <v>168</v>
      </c>
      <c r="D9" s="13" t="s">
        <v>169</v>
      </c>
      <c r="E9" s="13">
        <v>202410349</v>
      </c>
      <c r="F9" s="13" t="s">
        <v>125</v>
      </c>
      <c r="G9" s="14">
        <v>1</v>
      </c>
      <c r="H9" s="21">
        <v>5386000</v>
      </c>
      <c r="I9" s="23">
        <v>5386000</v>
      </c>
      <c r="J9" s="22">
        <v>0.1</v>
      </c>
      <c r="K9" s="23">
        <v>4847400</v>
      </c>
      <c r="L9" s="21">
        <v>2423700</v>
      </c>
      <c r="M9" s="24">
        <v>0.105</v>
      </c>
      <c r="N9" s="21">
        <v>254488.5</v>
      </c>
      <c r="O9" s="21">
        <v>2678188.5</v>
      </c>
      <c r="P9" s="12">
        <v>5101889</v>
      </c>
      <c r="Q9" s="13"/>
      <c r="R9" s="13"/>
      <c r="S9" s="13"/>
      <c r="T9" s="11">
        <v>5101889</v>
      </c>
      <c r="U9" s="38">
        <v>5101889</v>
      </c>
      <c r="V9" s="39">
        <v>-0.5</v>
      </c>
      <c r="W9" s="13" t="s">
        <v>170</v>
      </c>
      <c r="X9" s="14">
        <v>20280954560</v>
      </c>
      <c r="Y9" s="13" t="s">
        <v>171</v>
      </c>
      <c r="Z9" s="11"/>
      <c r="AA9" s="25">
        <v>242370</v>
      </c>
      <c r="AB9" s="10"/>
      <c r="AC9" s="10"/>
      <c r="AD9" s="10"/>
    </row>
    <row r="10" spans="1:30" ht="27" thickBot="1" x14ac:dyDescent="0.35">
      <c r="A10" s="53" t="s">
        <v>114</v>
      </c>
      <c r="B10" s="76">
        <v>45668</v>
      </c>
      <c r="C10" s="49" t="s">
        <v>172</v>
      </c>
      <c r="D10" s="13" t="s">
        <v>128</v>
      </c>
      <c r="E10" s="13">
        <v>24146015</v>
      </c>
      <c r="F10" s="13" t="s">
        <v>125</v>
      </c>
      <c r="G10" s="14">
        <v>1</v>
      </c>
      <c r="H10" s="21">
        <v>4350000</v>
      </c>
      <c r="I10" s="23">
        <v>4350000</v>
      </c>
      <c r="J10" s="22">
        <v>0.05</v>
      </c>
      <c r="K10" s="23">
        <v>4132500</v>
      </c>
      <c r="L10" s="21">
        <v>2066250</v>
      </c>
      <c r="M10" s="24">
        <v>0.105</v>
      </c>
      <c r="N10" s="21">
        <v>216956.25</v>
      </c>
      <c r="O10" s="21">
        <v>2283206.25</v>
      </c>
      <c r="P10" s="78">
        <v>4459566</v>
      </c>
      <c r="Q10" s="67">
        <v>2559566.25</v>
      </c>
      <c r="R10" s="49"/>
      <c r="S10" s="49"/>
      <c r="T10" s="51">
        <v>1900000</v>
      </c>
      <c r="U10" s="81">
        <v>4459566.25</v>
      </c>
      <c r="V10" s="83">
        <v>0</v>
      </c>
      <c r="W10" s="49" t="s">
        <v>173</v>
      </c>
      <c r="X10" s="53">
        <v>20274975734</v>
      </c>
      <c r="Y10" s="49" t="s">
        <v>171</v>
      </c>
      <c r="Z10" s="11"/>
      <c r="AA10" s="25">
        <v>206625</v>
      </c>
      <c r="AB10" s="10"/>
      <c r="AC10" s="10"/>
      <c r="AD10" s="10"/>
    </row>
    <row r="11" spans="1:30" ht="25.5" customHeight="1" thickBot="1" x14ac:dyDescent="0.35">
      <c r="A11" s="87"/>
      <c r="B11" s="88"/>
      <c r="C11" s="50"/>
      <c r="D11" s="15" t="s">
        <v>126</v>
      </c>
      <c r="E11" s="15" t="s">
        <v>127</v>
      </c>
      <c r="F11" s="15" t="s">
        <v>127</v>
      </c>
      <c r="G11" s="16">
        <v>1</v>
      </c>
      <c r="H11" s="28">
        <v>91000</v>
      </c>
      <c r="I11" s="30">
        <v>91000</v>
      </c>
      <c r="J11" s="29">
        <v>0</v>
      </c>
      <c r="K11" s="30">
        <v>91000</v>
      </c>
      <c r="L11" s="28">
        <v>91000</v>
      </c>
      <c r="M11" s="31">
        <v>0.21</v>
      </c>
      <c r="N11" s="28">
        <v>19110</v>
      </c>
      <c r="O11" s="28">
        <v>110110</v>
      </c>
      <c r="P11" s="89"/>
      <c r="Q11" s="90"/>
      <c r="R11" s="50"/>
      <c r="S11" s="50"/>
      <c r="T11" s="52"/>
      <c r="U11" s="91"/>
      <c r="V11" s="92"/>
      <c r="W11" s="50"/>
      <c r="X11" s="87"/>
      <c r="Y11" s="50"/>
      <c r="Z11" s="17"/>
      <c r="AA11" s="34">
        <v>4550</v>
      </c>
      <c r="AB11" s="35">
        <v>612520</v>
      </c>
      <c r="AC11" s="10"/>
      <c r="AD11" s="10"/>
    </row>
    <row r="12" spans="1:30" ht="26.25" customHeight="1" thickTop="1" thickBot="1" x14ac:dyDescent="0.35">
      <c r="A12" s="36" t="s">
        <v>112</v>
      </c>
      <c r="B12" s="40">
        <v>45660</v>
      </c>
      <c r="C12" s="13" t="s">
        <v>174</v>
      </c>
      <c r="D12" s="13" t="s">
        <v>128</v>
      </c>
      <c r="E12" s="13">
        <v>24146011</v>
      </c>
      <c r="F12" s="13" t="s">
        <v>125</v>
      </c>
      <c r="G12" s="14">
        <v>1</v>
      </c>
      <c r="H12" s="21">
        <v>4350000</v>
      </c>
      <c r="I12" s="23">
        <v>4350000</v>
      </c>
      <c r="J12" s="13"/>
      <c r="K12" s="23">
        <v>4350000</v>
      </c>
      <c r="L12" s="21">
        <v>2175000</v>
      </c>
      <c r="M12" s="24">
        <v>0.105</v>
      </c>
      <c r="N12" s="21">
        <v>228375</v>
      </c>
      <c r="O12" s="21">
        <v>2403375</v>
      </c>
      <c r="P12" s="23">
        <v>4578375</v>
      </c>
      <c r="Q12" s="13"/>
      <c r="R12" s="13"/>
      <c r="S12" s="21">
        <v>2403375</v>
      </c>
      <c r="T12" s="11">
        <v>2059200</v>
      </c>
      <c r="U12" s="38">
        <v>4462575</v>
      </c>
      <c r="V12" s="41">
        <v>115800</v>
      </c>
      <c r="W12" s="13" t="s">
        <v>175</v>
      </c>
      <c r="X12" s="14">
        <v>20407945442</v>
      </c>
      <c r="Y12" s="13" t="s">
        <v>176</v>
      </c>
      <c r="Z12" s="11"/>
      <c r="AA12" s="13"/>
      <c r="AB12" s="10"/>
      <c r="AC12" s="10"/>
      <c r="AD12" s="10"/>
    </row>
    <row r="13" spans="1:30" ht="27" thickBot="1" x14ac:dyDescent="0.35">
      <c r="A13" s="36" t="s">
        <v>112</v>
      </c>
      <c r="B13" s="40">
        <v>45682</v>
      </c>
      <c r="C13" s="13" t="s">
        <v>177</v>
      </c>
      <c r="D13" s="13" t="s">
        <v>113</v>
      </c>
      <c r="E13" s="13">
        <v>202403592</v>
      </c>
      <c r="F13" s="13" t="s">
        <v>125</v>
      </c>
      <c r="G13" s="14">
        <v>1</v>
      </c>
      <c r="H13" s="21">
        <v>2010000</v>
      </c>
      <c r="I13" s="23">
        <v>2010000</v>
      </c>
      <c r="J13" s="13"/>
      <c r="K13" s="23">
        <v>2010000</v>
      </c>
      <c r="L13" s="21">
        <v>703500</v>
      </c>
      <c r="M13" s="24">
        <v>0.21</v>
      </c>
      <c r="N13" s="21">
        <v>147735</v>
      </c>
      <c r="O13" s="21">
        <v>851235</v>
      </c>
      <c r="P13" s="23">
        <v>2157735</v>
      </c>
      <c r="Q13" s="13"/>
      <c r="R13" s="13"/>
      <c r="S13" s="13"/>
      <c r="T13" s="11">
        <v>1500000</v>
      </c>
      <c r="U13" s="38">
        <v>1500000</v>
      </c>
      <c r="V13" s="41">
        <v>657735</v>
      </c>
      <c r="W13" s="13" t="s">
        <v>178</v>
      </c>
      <c r="X13" s="14">
        <v>27318849167</v>
      </c>
      <c r="Y13" s="13" t="s">
        <v>171</v>
      </c>
      <c r="Z13" s="11"/>
      <c r="AA13" s="13"/>
      <c r="AB13" s="10"/>
      <c r="AC13" s="10"/>
      <c r="AD13" s="10"/>
    </row>
    <row r="14" spans="1:30" ht="15" thickBot="1" x14ac:dyDescent="0.35">
      <c r="A14" s="42"/>
      <c r="B14" s="43"/>
      <c r="C14" s="43"/>
      <c r="D14" s="43"/>
      <c r="E14" s="43"/>
      <c r="F14" s="43"/>
      <c r="G14" s="43"/>
      <c r="H14" s="43"/>
      <c r="I14" s="48">
        <f>SUM(I2:I13)</f>
        <v>37599001</v>
      </c>
      <c r="J14" s="47">
        <f>+I14-K14</f>
        <v>2960198.049999997</v>
      </c>
      <c r="K14" s="44">
        <v>34638802.950000003</v>
      </c>
      <c r="L14" s="44">
        <v>23255152</v>
      </c>
      <c r="M14" s="43"/>
      <c r="N14" s="44">
        <v>3059789.75</v>
      </c>
      <c r="O14" s="44">
        <v>26314941.75</v>
      </c>
      <c r="P14" s="44">
        <v>37698592.700000003</v>
      </c>
      <c r="Q14" s="43"/>
      <c r="R14" s="43"/>
      <c r="S14" s="43"/>
      <c r="T14" s="43"/>
      <c r="U14" s="44">
        <v>36925057.25</v>
      </c>
      <c r="V14" s="44">
        <v>773535.45</v>
      </c>
      <c r="W14" s="43"/>
      <c r="X14" s="43"/>
      <c r="Y14" s="43"/>
      <c r="Z14" s="44"/>
      <c r="AA14" s="43"/>
      <c r="AB14" s="10"/>
      <c r="AC14" s="10"/>
      <c r="AD14" s="10"/>
    </row>
    <row r="15" spans="1:30" ht="15" thickBo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45"/>
      <c r="AA15" s="10"/>
      <c r="AB15" s="10"/>
      <c r="AC15" s="10"/>
      <c r="AD15" s="10"/>
    </row>
    <row r="16" spans="1:30" ht="15" thickBo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46" t="s">
        <v>179</v>
      </c>
      <c r="W16" s="10"/>
      <c r="X16" s="20">
        <v>1070</v>
      </c>
      <c r="Y16" s="10"/>
      <c r="Z16" s="10"/>
      <c r="AA16" s="10"/>
      <c r="AB16" s="10"/>
      <c r="AC16" s="10"/>
      <c r="AD16" s="10"/>
    </row>
    <row r="17" spans="1:30" ht="15" thickBo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5" thickBo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5" thickBo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5" thickBo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" thickBo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" thickBo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" thickBo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" thickBo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" thickBo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" thickBo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" thickBo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" thickBo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" thickBo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" thickBo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" thickBo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" thickBo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" thickBo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" thickBo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" thickBo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" thickBo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" thickBo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" thickBo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" thickBo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" thickBo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" thickBo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" thickBo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" thickBo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" thickBo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" thickBo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" thickBo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" thickBo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" thickBo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" thickBo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" thickBo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" thickBo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" thickBo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" thickBo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" thickBo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" thickBo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" thickBo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" thickBo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" thickBo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" thickBo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" thickBo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" thickBo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" thickBo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" thickBo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" thickBo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" thickBo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" thickBo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" thickBo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" thickBo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" thickBo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" thickBo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" thickBo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" thickBo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" thickBo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" thickBo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" thickBo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" thickBo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" thickBo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" thickBo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" thickBo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" thickBo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" thickBo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" thickBo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" thickBo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" thickBo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" thickBo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" thickBo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" thickBo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" thickBo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" thickBo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" thickBo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" thickBo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" thickBo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" thickBo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" thickBo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" thickBo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" thickBo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" thickBo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" thickBo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" thickBo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" thickBo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" thickBo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" thickBo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" thickBo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" thickBo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" thickBo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" thickBo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" thickBo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" thickBo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" thickBo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" thickBot="1" x14ac:dyDescent="0.3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" thickBot="1" x14ac:dyDescent="0.3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" thickBot="1" x14ac:dyDescent="0.3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" thickBot="1" x14ac:dyDescent="0.3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" thickBot="1" x14ac:dyDescent="0.3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" thickBot="1" x14ac:dyDescent="0.3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" thickBot="1" x14ac:dyDescent="0.3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" thickBot="1" x14ac:dyDescent="0.3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" thickBot="1" x14ac:dyDescent="0.3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" thickBot="1" x14ac:dyDescent="0.3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" thickBot="1" x14ac:dyDescent="0.3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" thickBot="1" x14ac:dyDescent="0.3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" thickBot="1" x14ac:dyDescent="0.3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" thickBot="1" x14ac:dyDescent="0.3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" thickBot="1" x14ac:dyDescent="0.3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" thickBot="1" x14ac:dyDescent="0.3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" thickBo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" thickBo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" thickBo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" thickBo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" thickBo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" thickBo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" thickBot="1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" thickBo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" thickBo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" thickBo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" thickBo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" thickBo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" thickBo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" thickBo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" thickBo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" thickBo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" thickBo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" thickBo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" thickBo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" thickBo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" thickBo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" thickBo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" thickBo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" thickBo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" thickBo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" thickBo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" thickBo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" thickBo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" thickBo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" thickBo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" thickBo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" thickBo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" thickBo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" thickBo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" thickBo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" thickBo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" thickBo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" thickBo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" thickBo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" thickBo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" thickBo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" thickBo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" thickBo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" thickBo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" thickBo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" thickBo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" thickBot="1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" thickBo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" thickBo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" thickBo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" thickBo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" thickBo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" thickBo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" thickBo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" thickBo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" thickBo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" thickBo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" thickBo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" thickBo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" thickBo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" thickBo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" thickBo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" thickBo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" thickBo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" thickBo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" thickBo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" thickBo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" thickBo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" thickBo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" thickBo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" thickBo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" thickBo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" thickBo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" thickBo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" thickBo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" thickBo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" thickBo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" thickBo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" thickBo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" thickBo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" thickBo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" thickBo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" thickBo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" thickBo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" thickBo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" thickBo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" thickBo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" thickBo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" thickBo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" thickBo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" thickBo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" thickBo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" thickBo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" thickBo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" thickBo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" thickBo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" thickBo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" thickBo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" thickBo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" thickBo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" thickBo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" thickBo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" thickBo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" thickBo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" thickBo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" thickBo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" thickBo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" thickBo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" thickBo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" thickBo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" thickBo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" thickBo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" thickBo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" thickBo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" thickBo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" thickBo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" thickBo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" thickBo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" thickBo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" thickBo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" thickBo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" thickBo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" thickBo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" thickBo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" thickBo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" thickBo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" thickBo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" thickBo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" thickBo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" thickBo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" thickBo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" thickBo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" thickBo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" thickBo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" thickBo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" thickBo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" thickBo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" thickBo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" thickBo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" thickBo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" thickBo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" thickBo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" thickBo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" thickBo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" thickBo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" thickBo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" thickBo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" thickBo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" thickBo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" thickBo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" thickBo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" thickBo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" thickBo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" thickBo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" thickBo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" thickBo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" thickBo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" thickBo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" thickBo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" thickBo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" thickBo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" thickBo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" thickBo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" thickBo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" thickBo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" thickBo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" thickBo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" thickBo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" thickBo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" thickBo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" thickBo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" thickBo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" thickBo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" thickBo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" thickBo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" thickBo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" thickBo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" thickBo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" thickBo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" thickBo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" thickBo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" thickBo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" thickBo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" thickBo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" thickBo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" thickBo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" thickBo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" thickBo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" thickBo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" thickBo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" thickBo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" thickBo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" thickBo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" thickBo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" thickBo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" thickBo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" thickBo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" thickBo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" thickBo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" thickBo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" thickBo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" thickBo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" thickBo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" thickBo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" thickBo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" thickBo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" thickBo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" thickBo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" thickBo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" thickBo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" thickBo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" thickBo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" thickBo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" thickBo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" thickBo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" thickBo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" thickBo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" thickBo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" thickBo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" thickBo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" thickBo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" thickBo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" thickBo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" thickBo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" thickBo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" thickBo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" thickBo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" thickBo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" thickBo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" thickBo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" thickBo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" thickBo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" thickBo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" thickBo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" thickBo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" thickBo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" thickBo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" thickBo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" thickBo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" thickBo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" thickBo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" thickBo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" thickBo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" thickBo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" thickBo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" thickBo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" thickBo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" thickBo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" thickBo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" thickBo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" thickBo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" thickBo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" thickBo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" thickBo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" thickBo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" thickBo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" thickBo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" thickBo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" thickBo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" thickBo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" thickBo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" thickBo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" thickBo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" thickBo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" thickBo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" thickBo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" thickBo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" thickBo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" thickBo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" thickBo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" thickBo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" thickBo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" thickBo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" thickBo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" thickBo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" thickBo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" thickBo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" thickBo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" thickBo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" thickBo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" thickBo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" thickBo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" thickBo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" thickBo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" thickBo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" thickBo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" thickBo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" thickBo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" thickBo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" thickBo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" thickBo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" thickBo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" thickBo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" thickBo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" thickBo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" thickBo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" thickBo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" thickBo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" thickBo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" thickBo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" thickBo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" thickBo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" thickBo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" thickBo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" thickBo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" thickBo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" thickBo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" thickBo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" thickBo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" thickBo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" thickBo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" thickBo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" thickBo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" thickBo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" thickBo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" thickBo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" thickBo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" thickBo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" thickBo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" thickBo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" thickBo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" thickBo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" thickBo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" thickBo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" thickBo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" thickBo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" thickBo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" thickBo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" thickBo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" thickBo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" thickBo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" thickBo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" thickBo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" thickBo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" thickBo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" thickBo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" thickBo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" thickBo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" thickBo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" thickBo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" thickBo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" thickBo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" thickBo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" thickBo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" thickBo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" thickBo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" thickBo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" thickBo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" thickBo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" thickBo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" thickBo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" thickBo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" thickBo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" thickBo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" thickBo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" thickBo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" thickBo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" thickBo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" thickBo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" thickBo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" thickBo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" thickBo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" thickBo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" thickBo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" thickBo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" thickBo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" thickBo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" thickBo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" thickBo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" thickBo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" thickBo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" thickBo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" thickBo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" thickBo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" thickBo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" thickBo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" thickBo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" thickBo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" thickBo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" thickBo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" thickBo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" thickBo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" thickBo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" thickBo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" thickBo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" thickBo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" thickBo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" thickBo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" thickBo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" thickBo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" thickBo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" thickBo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" thickBo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" thickBo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" thickBo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" thickBo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" thickBo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" thickBo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" thickBo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" thickBo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" thickBo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" thickBo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" thickBo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" thickBo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" thickBo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" thickBo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" thickBo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" thickBo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" thickBo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" thickBo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" thickBo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" thickBo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" thickBo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" thickBo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" thickBo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" thickBo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" thickBo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" thickBo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" thickBo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" thickBo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" thickBo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" thickBo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" thickBo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" thickBo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" thickBo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" thickBo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" thickBo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" thickBo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" thickBo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" thickBo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" thickBo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" thickBo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" thickBo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" thickBo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" thickBo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" thickBo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" thickBo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" thickBo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" thickBo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" thickBo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" thickBo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" thickBo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" thickBo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" thickBo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" thickBo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" thickBo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" thickBo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" thickBo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" thickBo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" thickBo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" thickBo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" thickBo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" thickBo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" thickBo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" thickBo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" thickBo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" thickBo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" thickBo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" thickBo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" thickBo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" thickBo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" thickBo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" thickBo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" thickBo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" thickBo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" thickBo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" thickBo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" thickBo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" thickBo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" thickBo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" thickBo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" thickBo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" thickBo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" thickBo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" thickBo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" thickBo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" thickBo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" thickBo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" thickBo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" thickBo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" thickBo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" thickBo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" thickBo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" thickBo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" thickBo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" thickBo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" thickBo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" thickBo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" thickBo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" thickBo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" thickBo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" thickBo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" thickBo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" thickBo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" thickBo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" thickBo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" thickBo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" thickBo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" thickBo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" thickBo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" thickBo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" thickBo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" thickBo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" thickBo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" thickBo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" thickBo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" thickBo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" thickBo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" thickBo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" thickBo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" thickBo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" thickBo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" thickBo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" thickBo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" thickBo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" thickBo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" thickBo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" thickBo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" thickBo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" thickBo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" thickBo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" thickBo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" thickBo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" thickBo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" thickBo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" thickBo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" thickBo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" thickBo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" thickBo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" thickBo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" thickBo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" thickBo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" thickBo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" thickBo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" thickBo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" thickBo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" thickBo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" thickBo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" thickBo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" thickBo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" thickBo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" thickBo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" thickBo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" thickBo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" thickBo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" thickBo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" thickBo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" thickBo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" thickBo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" thickBo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" thickBo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" thickBo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" thickBo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" thickBo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" thickBo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" thickBo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" thickBo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" thickBo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" thickBo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" thickBo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" thickBo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" thickBo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" thickBo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" thickBo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" thickBo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" thickBo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" thickBo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" thickBo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" thickBo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" thickBo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" thickBo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" thickBo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" thickBo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" thickBo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" thickBo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" thickBo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" thickBo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" thickBo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" thickBo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" thickBo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" thickBo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" thickBo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" thickBo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" thickBo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" thickBo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" thickBo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" thickBo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" thickBo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" thickBo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" thickBo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" thickBo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" thickBo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" thickBo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" thickBo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" thickBo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" thickBo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" thickBo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" thickBo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" thickBo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" thickBo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" thickBo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" thickBo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" thickBo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" thickBo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" thickBo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" thickBo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" thickBo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" thickBo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" thickBo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" thickBo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" thickBo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" thickBo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" thickBo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" thickBo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" thickBo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" thickBo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" thickBo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" thickBo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" thickBo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" thickBo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" thickBo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" thickBo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" thickBo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" thickBo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" thickBo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" thickBo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" thickBo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" thickBo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" thickBo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" thickBo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" thickBo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" thickBo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" thickBo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" thickBo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" thickBo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" thickBo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" thickBo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" thickBo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" thickBo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" thickBo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" thickBo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" thickBo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" thickBo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" thickBo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" thickBo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" thickBo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" thickBo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" thickBo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" thickBo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" thickBo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" thickBo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" thickBo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" thickBo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" thickBo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" thickBo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" thickBo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" thickBo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" thickBo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" thickBo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" thickBo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" thickBo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" thickBo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" thickBo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" thickBo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" thickBo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" thickBo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" thickBo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" thickBo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" thickBo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" thickBo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" thickBo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" thickBo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" thickBo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" thickBo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" thickBo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" thickBo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" thickBo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" thickBo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" thickBo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" thickBo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" thickBo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" thickBo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" thickBo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" thickBo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" thickBo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" thickBo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" thickBo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" thickBo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" thickBo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" thickBo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" thickBo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" thickBo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" thickBo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" thickBo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" thickBo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" thickBo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" thickBo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" thickBo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" thickBo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" thickBo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" thickBo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" thickBo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" thickBo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" thickBo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" thickBo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" thickBo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" thickBo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" thickBo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" thickBo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" thickBo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" thickBo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" thickBo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" thickBo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" thickBo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" thickBo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" thickBo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" thickBo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" thickBo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" thickBo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" thickBo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" thickBo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" thickBo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" thickBo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" thickBo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" thickBo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" thickBo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" thickBo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" thickBo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" thickBo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" thickBo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" thickBo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" thickBo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" thickBo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" thickBo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" thickBo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" thickBo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" thickBo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" thickBo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" thickBo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" thickBo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" thickBo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" thickBo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" thickBo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" thickBo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" thickBo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" thickBo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" thickBo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" thickBo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" thickBo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" thickBo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" thickBo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" thickBo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" thickBo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" thickBo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" thickBo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" thickBo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" thickBo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" thickBo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" thickBo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" thickBo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" thickBo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" thickBo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" thickBo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" thickBo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" thickBo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" thickBo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" thickBo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" thickBo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" thickBo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" thickBo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" thickBo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" thickBo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" thickBo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" thickBo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" thickBo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" thickBo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" thickBo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" thickBo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" thickBo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" thickBo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" thickBo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" thickBo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" thickBo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" thickBo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" thickBo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" thickBo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" thickBo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" thickBo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" thickBo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" thickBo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" thickBo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" thickBo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" thickBo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" thickBo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" thickBo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" thickBo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" thickBo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" thickBo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" thickBo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" thickBo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" thickBo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" thickBo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" thickBo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" thickBo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" thickBo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" thickBo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" thickBo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" thickBo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" thickBo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" thickBo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" thickBo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" thickBo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" thickBo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" thickBo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" thickBo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" thickBo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" thickBo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" thickBo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" thickBo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" thickBo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" thickBo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" thickBo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" thickBo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" thickBo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" thickBo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" thickBo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" thickBo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" thickBo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" thickBo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" thickBo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" thickBo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" thickBo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" thickBo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" thickBo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" thickBo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" thickBo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" thickBo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" thickBo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" thickBo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" thickBo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" thickBo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" thickBo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" thickBo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" thickBo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" thickBo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" thickBo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" thickBo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" thickBo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" thickBo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" thickBo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" thickBo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" thickBot="1" x14ac:dyDescent="0.3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" thickBot="1" x14ac:dyDescent="0.3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" thickBot="1" x14ac:dyDescent="0.3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" thickBot="1" x14ac:dyDescent="0.3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" thickBot="1" x14ac:dyDescent="0.3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" thickBot="1" x14ac:dyDescent="0.3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" thickBot="1" x14ac:dyDescent="0.3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" thickBot="1" x14ac:dyDescent="0.3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" thickBot="1" x14ac:dyDescent="0.3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" thickBot="1" x14ac:dyDescent="0.3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" thickBot="1" x14ac:dyDescent="0.3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" thickBot="1" x14ac:dyDescent="0.3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" thickBot="1" x14ac:dyDescent="0.3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" thickBot="1" x14ac:dyDescent="0.3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" thickBot="1" x14ac:dyDescent="0.3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" thickBot="1" x14ac:dyDescent="0.3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" thickBot="1" x14ac:dyDescent="0.3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" thickBot="1" x14ac:dyDescent="0.3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" thickBot="1" x14ac:dyDescent="0.3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" thickBot="1" x14ac:dyDescent="0.3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" thickBot="1" x14ac:dyDescent="0.3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" thickBot="1" x14ac:dyDescent="0.3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" thickBot="1" x14ac:dyDescent="0.3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" thickBot="1" x14ac:dyDescent="0.3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spans="1:30" ht="15" thickBot="1" x14ac:dyDescent="0.3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spans="1:30" ht="15" thickBot="1" x14ac:dyDescent="0.3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spans="1:30" ht="15" thickBot="1" x14ac:dyDescent="0.3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spans="1:30" ht="15" thickBot="1" x14ac:dyDescent="0.3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spans="1:30" ht="15" thickBot="1" x14ac:dyDescent="0.3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spans="1:30" ht="15" thickBot="1" x14ac:dyDescent="0.3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</row>
    <row r="1007" spans="1:30" ht="15" thickBot="1" x14ac:dyDescent="0.3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</row>
    <row r="1008" spans="1:30" ht="15" thickBot="1" x14ac:dyDescent="0.3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</row>
    <row r="1009" spans="1:29" ht="15" thickBot="1" x14ac:dyDescent="0.3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</row>
    <row r="1010" spans="1:29" ht="15" thickBot="1" x14ac:dyDescent="0.3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</row>
    <row r="1011" spans="1:29" ht="15" thickBot="1" x14ac:dyDescent="0.3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</row>
    <row r="1012" spans="1:29" ht="15" thickBot="1" x14ac:dyDescent="0.3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</row>
    <row r="1013" spans="1:29" ht="15" thickBot="1" x14ac:dyDescent="0.3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</row>
  </sheetData>
  <mergeCells count="47">
    <mergeCell ref="U10:U11"/>
    <mergeCell ref="V10:V11"/>
    <mergeCell ref="W10:W11"/>
    <mergeCell ref="X10:X11"/>
    <mergeCell ref="Y10:Y11"/>
    <mergeCell ref="AA2:AA4"/>
    <mergeCell ref="A5:A6"/>
    <mergeCell ref="B5:B6"/>
    <mergeCell ref="C5:C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U2:U4"/>
    <mergeCell ref="V2:V4"/>
    <mergeCell ref="W2:W4"/>
    <mergeCell ref="X2:X4"/>
    <mergeCell ref="Y2:Y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R10:R11"/>
    <mergeCell ref="S10:S11"/>
    <mergeCell ref="T10:T11"/>
    <mergeCell ref="A2:A4"/>
    <mergeCell ref="B2:B4"/>
    <mergeCell ref="C2:C4"/>
    <mergeCell ref="I2:I4"/>
    <mergeCell ref="J2:J4"/>
    <mergeCell ref="A10:A11"/>
    <mergeCell ref="B10:B11"/>
    <mergeCell ref="C10:C11"/>
    <mergeCell ref="P10:P11"/>
    <mergeCell ref="Q10:Q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3</v>
      </c>
      <c r="B1" t="s">
        <v>4</v>
      </c>
    </row>
    <row r="2" spans="1:2" ht="15.6" x14ac:dyDescent="0.3">
      <c r="A2" s="2" t="s">
        <v>25</v>
      </c>
      <c r="B2" t="s">
        <v>76</v>
      </c>
    </row>
    <row r="3" spans="1:2" x14ac:dyDescent="0.3">
      <c r="A3" s="1" t="s">
        <v>27</v>
      </c>
      <c r="B3" s="3" t="s">
        <v>26</v>
      </c>
    </row>
    <row r="4" spans="1:2" x14ac:dyDescent="0.3">
      <c r="A4" s="1" t="s">
        <v>11</v>
      </c>
      <c r="B4" s="3" t="s">
        <v>71</v>
      </c>
    </row>
    <row r="5" spans="1:2" ht="16.8" x14ac:dyDescent="0.4">
      <c r="A5" s="4" t="s">
        <v>17</v>
      </c>
      <c r="B5" s="3" t="s">
        <v>40</v>
      </c>
    </row>
    <row r="6" spans="1:2" ht="16.8" x14ac:dyDescent="0.4">
      <c r="A6" s="4" t="s">
        <v>49</v>
      </c>
      <c r="B6" s="3" t="s">
        <v>75</v>
      </c>
    </row>
    <row r="7" spans="1:2" ht="16.8" x14ac:dyDescent="0.4">
      <c r="A7" s="4" t="s">
        <v>77</v>
      </c>
      <c r="B7" s="5" t="s">
        <v>10</v>
      </c>
    </row>
    <row r="8" spans="1:2" ht="16.8" x14ac:dyDescent="0.4">
      <c r="A8" s="4" t="s">
        <v>59</v>
      </c>
      <c r="B8" s="5" t="s">
        <v>18</v>
      </c>
    </row>
    <row r="9" spans="1:2" ht="16.8" x14ac:dyDescent="0.4">
      <c r="A9" s="4" t="s">
        <v>61</v>
      </c>
      <c r="B9" s="3" t="s">
        <v>19</v>
      </c>
    </row>
    <row r="10" spans="1:2" ht="16.8" x14ac:dyDescent="0.4">
      <c r="A10" s="4" t="s">
        <v>21</v>
      </c>
      <c r="B10" s="3" t="s">
        <v>24</v>
      </c>
    </row>
    <row r="11" spans="1:2" ht="16.8" x14ac:dyDescent="0.4">
      <c r="A11" s="4" t="s">
        <v>71</v>
      </c>
      <c r="B11" s="3" t="s">
        <v>13</v>
      </c>
    </row>
    <row r="12" spans="1:2" ht="16.8" x14ac:dyDescent="0.4">
      <c r="A12" s="4" t="s">
        <v>72</v>
      </c>
      <c r="B12" s="3" t="s">
        <v>39</v>
      </c>
    </row>
    <row r="13" spans="1:2" ht="19.2" x14ac:dyDescent="0.45">
      <c r="A13" s="6" t="s">
        <v>73</v>
      </c>
      <c r="B13" s="3" t="s">
        <v>0</v>
      </c>
    </row>
    <row r="14" spans="1:2" ht="16.8" x14ac:dyDescent="0.4">
      <c r="A14" s="4" t="s">
        <v>78</v>
      </c>
      <c r="B14" s="3" t="s">
        <v>50</v>
      </c>
    </row>
    <row r="15" spans="1:2" ht="16.8" x14ac:dyDescent="0.4">
      <c r="A15" s="4" t="s">
        <v>23</v>
      </c>
      <c r="B15" s="3" t="s">
        <v>51</v>
      </c>
    </row>
    <row r="16" spans="1:2" ht="16.8" x14ac:dyDescent="0.4">
      <c r="A16" s="4" t="s">
        <v>7</v>
      </c>
      <c r="B16" s="3" t="s">
        <v>64</v>
      </c>
    </row>
    <row r="17" spans="2:2" x14ac:dyDescent="0.3">
      <c r="B17" s="5" t="s">
        <v>35</v>
      </c>
    </row>
    <row r="18" spans="2:2" x14ac:dyDescent="0.3">
      <c r="B18" s="3" t="s">
        <v>63</v>
      </c>
    </row>
    <row r="19" spans="2:2" x14ac:dyDescent="0.3">
      <c r="B19" s="3" t="s">
        <v>79</v>
      </c>
    </row>
    <row r="20" spans="2:2" x14ac:dyDescent="0.3">
      <c r="B20" s="3" t="s">
        <v>29</v>
      </c>
    </row>
    <row r="21" spans="2:2" x14ac:dyDescent="0.3">
      <c r="B21" s="5" t="s">
        <v>30</v>
      </c>
    </row>
    <row r="22" spans="2:2" x14ac:dyDescent="0.3">
      <c r="B22" s="3" t="s">
        <v>8</v>
      </c>
    </row>
    <row r="23" spans="2:2" x14ac:dyDescent="0.3">
      <c r="B23" s="3" t="s">
        <v>31</v>
      </c>
    </row>
    <row r="24" spans="2:2" x14ac:dyDescent="0.3">
      <c r="B24" s="3" t="s">
        <v>66</v>
      </c>
    </row>
    <row r="25" spans="2:2" x14ac:dyDescent="0.3">
      <c r="B25" s="5" t="s">
        <v>45</v>
      </c>
    </row>
    <row r="26" spans="2:2" x14ac:dyDescent="0.3">
      <c r="B26" s="5" t="s">
        <v>32</v>
      </c>
    </row>
    <row r="27" spans="2:2" x14ac:dyDescent="0.3">
      <c r="B27" s="5" t="s">
        <v>47</v>
      </c>
    </row>
    <row r="28" spans="2:2" x14ac:dyDescent="0.3">
      <c r="B28" s="5" t="s">
        <v>48</v>
      </c>
    </row>
    <row r="29" spans="2:2" x14ac:dyDescent="0.3">
      <c r="B29" s="3" t="s">
        <v>80</v>
      </c>
    </row>
    <row r="30" spans="2:2" x14ac:dyDescent="0.3">
      <c r="B30" s="5" t="s">
        <v>81</v>
      </c>
    </row>
    <row r="31" spans="2:2" x14ac:dyDescent="0.3">
      <c r="B31" s="3" t="s">
        <v>36</v>
      </c>
    </row>
    <row r="32" spans="2:2" x14ac:dyDescent="0.3">
      <c r="B32" s="3" t="s">
        <v>82</v>
      </c>
    </row>
    <row r="33" spans="2:2" x14ac:dyDescent="0.3">
      <c r="B33" s="3" t="s">
        <v>15</v>
      </c>
    </row>
    <row r="34" spans="2:2" x14ac:dyDescent="0.3">
      <c r="B34" s="3" t="s">
        <v>83</v>
      </c>
    </row>
    <row r="35" spans="2:2" x14ac:dyDescent="0.3">
      <c r="B35" s="3" t="s">
        <v>84</v>
      </c>
    </row>
    <row r="36" spans="2:2" x14ac:dyDescent="0.3">
      <c r="B36" s="3" t="s">
        <v>57</v>
      </c>
    </row>
    <row r="37" spans="2:2" x14ac:dyDescent="0.3">
      <c r="B37" s="5" t="s">
        <v>58</v>
      </c>
    </row>
    <row r="38" spans="2:2" x14ac:dyDescent="0.3">
      <c r="B38" s="5" t="s">
        <v>85</v>
      </c>
    </row>
    <row r="39" spans="2:2" x14ac:dyDescent="0.3">
      <c r="B39" s="5" t="s">
        <v>86</v>
      </c>
    </row>
    <row r="40" spans="2:2" x14ac:dyDescent="0.3">
      <c r="B40" s="5" t="s">
        <v>37</v>
      </c>
    </row>
    <row r="41" spans="2:2" x14ac:dyDescent="0.3">
      <c r="B41" s="5" t="s">
        <v>74</v>
      </c>
    </row>
    <row r="42" spans="2:2" x14ac:dyDescent="0.3">
      <c r="B42" s="5" t="s">
        <v>87</v>
      </c>
    </row>
    <row r="43" spans="2:2" x14ac:dyDescent="0.3">
      <c r="B43" s="5" t="s">
        <v>14</v>
      </c>
    </row>
    <row r="44" spans="2:2" x14ac:dyDescent="0.3">
      <c r="B44" s="5" t="s">
        <v>88</v>
      </c>
    </row>
    <row r="45" spans="2:2" x14ac:dyDescent="0.3">
      <c r="B45" s="5" t="s">
        <v>89</v>
      </c>
    </row>
    <row r="46" spans="2:2" x14ac:dyDescent="0.3">
      <c r="B46" s="3" t="s">
        <v>9</v>
      </c>
    </row>
    <row r="47" spans="2:2" x14ac:dyDescent="0.3">
      <c r="B47" s="3" t="s">
        <v>52</v>
      </c>
    </row>
    <row r="48" spans="2:2" x14ac:dyDescent="0.3">
      <c r="B48" s="3" t="s">
        <v>68</v>
      </c>
    </row>
    <row r="49" spans="2:2" x14ac:dyDescent="0.3">
      <c r="B49" s="3" t="s">
        <v>90</v>
      </c>
    </row>
    <row r="50" spans="2:2" x14ac:dyDescent="0.3">
      <c r="B50" s="3" t="s">
        <v>91</v>
      </c>
    </row>
    <row r="51" spans="2:2" x14ac:dyDescent="0.3">
      <c r="B51" s="3" t="s">
        <v>38</v>
      </c>
    </row>
    <row r="52" spans="2:2" x14ac:dyDescent="0.3">
      <c r="B52" s="3" t="s">
        <v>12</v>
      </c>
    </row>
    <row r="53" spans="2:2" x14ac:dyDescent="0.3">
      <c r="B53" s="3" t="s">
        <v>92</v>
      </c>
    </row>
    <row r="54" spans="2:2" x14ac:dyDescent="0.3">
      <c r="B54" s="3" t="s">
        <v>93</v>
      </c>
    </row>
    <row r="55" spans="2:2" x14ac:dyDescent="0.3">
      <c r="B55" s="3" t="s">
        <v>28</v>
      </c>
    </row>
    <row r="56" spans="2:2" x14ac:dyDescent="0.3">
      <c r="B56" s="3" t="s">
        <v>55</v>
      </c>
    </row>
    <row r="57" spans="2:2" x14ac:dyDescent="0.3">
      <c r="B57" s="7" t="s">
        <v>42</v>
      </c>
    </row>
    <row r="58" spans="2:2" x14ac:dyDescent="0.3">
      <c r="B58" s="3" t="s">
        <v>94</v>
      </c>
    </row>
    <row r="59" spans="2:2" x14ac:dyDescent="0.3">
      <c r="B59" s="3" t="s">
        <v>69</v>
      </c>
    </row>
    <row r="60" spans="2:2" x14ac:dyDescent="0.3">
      <c r="B60" s="3" t="s">
        <v>43</v>
      </c>
    </row>
    <row r="61" spans="2:2" x14ac:dyDescent="0.3">
      <c r="B61" s="7" t="s">
        <v>44</v>
      </c>
    </row>
    <row r="62" spans="2:2" x14ac:dyDescent="0.3">
      <c r="B62" s="3" t="s">
        <v>2</v>
      </c>
    </row>
    <row r="63" spans="2:2" x14ac:dyDescent="0.3">
      <c r="B63" s="3" t="s">
        <v>46</v>
      </c>
    </row>
    <row r="64" spans="2:2" x14ac:dyDescent="0.3">
      <c r="B64" s="3" t="s">
        <v>95</v>
      </c>
    </row>
    <row r="65" spans="2:2" x14ac:dyDescent="0.3">
      <c r="B65" s="3" t="s">
        <v>96</v>
      </c>
    </row>
    <row r="66" spans="2:2" x14ac:dyDescent="0.3">
      <c r="B66" s="3" t="s">
        <v>70</v>
      </c>
    </row>
    <row r="67" spans="2:2" x14ac:dyDescent="0.3">
      <c r="B67" s="5" t="s">
        <v>53</v>
      </c>
    </row>
    <row r="68" spans="2:2" x14ac:dyDescent="0.3">
      <c r="B68" s="5" t="s">
        <v>41</v>
      </c>
    </row>
    <row r="69" spans="2:2" x14ac:dyDescent="0.3">
      <c r="B69" s="8" t="s">
        <v>97</v>
      </c>
    </row>
    <row r="70" spans="2:2" x14ac:dyDescent="0.3">
      <c r="B70" s="3" t="s">
        <v>60</v>
      </c>
    </row>
    <row r="71" spans="2:2" x14ac:dyDescent="0.3">
      <c r="B71" s="5" t="s">
        <v>98</v>
      </c>
    </row>
    <row r="72" spans="2:2" x14ac:dyDescent="0.3">
      <c r="B72" t="s">
        <v>5</v>
      </c>
    </row>
    <row r="73" spans="2:2" x14ac:dyDescent="0.3">
      <c r="B73" s="5" t="s">
        <v>65</v>
      </c>
    </row>
    <row r="74" spans="2:2" x14ac:dyDescent="0.3">
      <c r="B74" s="5" t="s">
        <v>99</v>
      </c>
    </row>
    <row r="75" spans="2:2" x14ac:dyDescent="0.3">
      <c r="B75" s="5" t="s">
        <v>100</v>
      </c>
    </row>
    <row r="76" spans="2:2" x14ac:dyDescent="0.3">
      <c r="B76" s="5" t="s">
        <v>62</v>
      </c>
    </row>
    <row r="77" spans="2:2" x14ac:dyDescent="0.3">
      <c r="B77" s="5" t="s">
        <v>22</v>
      </c>
    </row>
    <row r="78" spans="2:2" x14ac:dyDescent="0.3">
      <c r="B78" s="5" t="s">
        <v>109</v>
      </c>
    </row>
    <row r="79" spans="2:2" x14ac:dyDescent="0.3">
      <c r="B79" s="5" t="s">
        <v>101</v>
      </c>
    </row>
    <row r="80" spans="2:2" x14ac:dyDescent="0.3">
      <c r="B80" s="5" t="s">
        <v>63</v>
      </c>
    </row>
    <row r="81" spans="2:2" x14ac:dyDescent="0.3">
      <c r="B81" s="5" t="s">
        <v>56</v>
      </c>
    </row>
    <row r="82" spans="2:2" x14ac:dyDescent="0.3">
      <c r="B82" s="5" t="s">
        <v>54</v>
      </c>
    </row>
    <row r="83" spans="2:2" x14ac:dyDescent="0.3">
      <c r="B83" s="5" t="s">
        <v>16</v>
      </c>
    </row>
    <row r="84" spans="2:2" x14ac:dyDescent="0.3">
      <c r="B84" s="5" t="s">
        <v>102</v>
      </c>
    </row>
    <row r="85" spans="2:2" x14ac:dyDescent="0.3">
      <c r="B85" s="5" t="s">
        <v>67</v>
      </c>
    </row>
    <row r="86" spans="2:2" x14ac:dyDescent="0.3">
      <c r="B86" s="5" t="s">
        <v>103</v>
      </c>
    </row>
    <row r="87" spans="2:2" x14ac:dyDescent="0.3">
      <c r="B87" s="5" t="s">
        <v>33</v>
      </c>
    </row>
    <row r="88" spans="2:2" x14ac:dyDescent="0.3">
      <c r="B88" s="5" t="s">
        <v>34</v>
      </c>
    </row>
    <row r="89" spans="2:2" x14ac:dyDescent="0.3">
      <c r="B89" s="5" t="s">
        <v>20</v>
      </c>
    </row>
    <row r="90" spans="2:2" x14ac:dyDescent="0.3">
      <c r="B90" s="9" t="s">
        <v>104</v>
      </c>
    </row>
    <row r="91" spans="2:2" x14ac:dyDescent="0.3">
      <c r="B91" s="5" t="s">
        <v>6</v>
      </c>
    </row>
    <row r="92" spans="2:2" x14ac:dyDescent="0.3">
      <c r="B92" s="5" t="s">
        <v>105</v>
      </c>
    </row>
    <row r="93" spans="2:2" x14ac:dyDescent="0.3">
      <c r="B93" s="5" t="s">
        <v>110</v>
      </c>
    </row>
    <row r="94" spans="2:2" x14ac:dyDescent="0.3">
      <c r="B94" t="s">
        <v>106</v>
      </c>
    </row>
    <row r="95" spans="2:2" x14ac:dyDescent="0.3">
      <c r="B95" s="5" t="s">
        <v>107</v>
      </c>
    </row>
    <row r="96" spans="2:2" x14ac:dyDescent="0.3">
      <c r="B96" s="5" t="s">
        <v>108</v>
      </c>
    </row>
    <row r="97" spans="2:2" x14ac:dyDescent="0.3">
      <c r="B97" s="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Ene'24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2026-02-11T16:09:37Z</dcterms:modified>
</cp:coreProperties>
</file>