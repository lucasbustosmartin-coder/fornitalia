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6\"/>
    </mc:Choice>
  </mc:AlternateContent>
  <xr:revisionPtr revIDLastSave="0" documentId="13_ncr:1_{B2F6F03D-C66B-4C94-A1B4-80EB1B9A355E}" xr6:coauthVersionLast="47" xr6:coauthVersionMax="47" xr10:uidLastSave="{00000000-0000-0000-0000-000000000000}"/>
  <bookViews>
    <workbookView xWindow="-108" yWindow="-108" windowWidth="23256" windowHeight="12456" tabRatio="599" activeTab="1" xr2:uid="{30A6164E-A0D3-4996-9EF3-92045D51F006}"/>
  </bookViews>
  <sheets>
    <sheet name="Ene´26" sheetId="23" r:id="rId1"/>
    <sheet name="Gastos" sheetId="24" r:id="rId2"/>
    <sheet name="Ventas Ene 2026 " sheetId="25" r:id="rId3"/>
    <sheet name="LISTA CONCEPTOS" sheetId="15" state="hidden" r:id="rId4"/>
  </sheets>
  <definedNames>
    <definedName name="_xlnm._FilterDatabase" localSheetId="1" hidden="1">Gastos!$A$1:$D$1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3" l="1"/>
  <c r="B4" i="23"/>
  <c r="B3" i="23"/>
  <c r="C30" i="24"/>
  <c r="C37" i="24"/>
  <c r="G34" i="25" l="1"/>
  <c r="H34" i="25" l="1"/>
  <c r="I34" i="25"/>
  <c r="J13" i="25"/>
  <c r="J12" i="25"/>
  <c r="J9" i="25"/>
  <c r="J8" i="25"/>
  <c r="J7" i="25"/>
  <c r="J6" i="25"/>
  <c r="J5" i="25"/>
  <c r="I2" i="25"/>
  <c r="J2" i="25" s="1"/>
  <c r="I3" i="25"/>
  <c r="J3" i="25" s="1"/>
  <c r="I4" i="25"/>
  <c r="J4" i="25" s="1"/>
  <c r="I5" i="25"/>
  <c r="I10" i="25"/>
  <c r="J10" i="25" s="1"/>
  <c r="I11" i="25"/>
  <c r="J11" i="25" s="1"/>
  <c r="I14" i="25"/>
  <c r="J14" i="25" s="1"/>
  <c r="I15" i="25"/>
  <c r="J15" i="25" s="1"/>
  <c r="I16" i="25"/>
  <c r="J16" i="25" s="1"/>
  <c r="J24" i="25"/>
  <c r="J21" i="25"/>
  <c r="I17" i="25"/>
  <c r="J17" i="25" s="1"/>
  <c r="I18" i="25"/>
  <c r="J18" i="25" s="1"/>
  <c r="I19" i="25"/>
  <c r="J19" i="25" s="1"/>
  <c r="I20" i="25"/>
  <c r="J20" i="25" s="1"/>
  <c r="I22" i="25"/>
  <c r="J22" i="25" s="1"/>
  <c r="I23" i="25"/>
  <c r="J23" i="25" s="1"/>
  <c r="I25" i="25"/>
  <c r="J25" i="25" s="1"/>
  <c r="J27" i="25"/>
  <c r="I26" i="25"/>
  <c r="J26" i="25" s="1"/>
  <c r="I28" i="25"/>
  <c r="J28" i="25" s="1"/>
  <c r="I30" i="25"/>
  <c r="J30" i="25" s="1"/>
  <c r="I29" i="25"/>
  <c r="J29" i="25" s="1"/>
  <c r="I31" i="25"/>
  <c r="J31" i="25" s="1"/>
  <c r="I32" i="25"/>
  <c r="J32" i="25" s="1"/>
  <c r="I33" i="25"/>
  <c r="J33" i="25" s="1"/>
  <c r="J34" i="25" l="1"/>
  <c r="C190" i="24" l="1"/>
  <c r="C9" i="24"/>
  <c r="B22" i="23" l="1"/>
  <c r="C12" i="24"/>
  <c r="B13" i="23" s="1"/>
  <c r="B14" i="23"/>
  <c r="B15" i="23"/>
  <c r="C184" i="24"/>
  <c r="B21" i="23" s="1"/>
  <c r="C171" i="24"/>
  <c r="B16" i="23" s="1"/>
  <c r="C14" i="24"/>
  <c r="B12" i="23" s="1"/>
  <c r="B11" i="23"/>
  <c r="B10" i="23" l="1"/>
  <c r="B20" i="23" l="1"/>
  <c r="B24" i="23" l="1"/>
  <c r="B5" i="23" l="1"/>
  <c r="C4" i="23" l="1"/>
  <c r="C16" i="23"/>
  <c r="C15" i="23"/>
  <c r="C10" i="23"/>
  <c r="C11" i="23"/>
  <c r="B7" i="23"/>
  <c r="C18" i="23"/>
  <c r="C17" i="23"/>
  <c r="C21" i="23"/>
  <c r="C12" i="23"/>
  <c r="C14" i="23"/>
  <c r="C13" i="23"/>
  <c r="C20" i="23"/>
  <c r="C22" i="23"/>
  <c r="C7" i="23" l="1"/>
  <c r="B26" i="23"/>
  <c r="C26" i="23" s="1"/>
</calcChain>
</file>

<file path=xl/sharedStrings.xml><?xml version="1.0" encoding="utf-8"?>
<sst xmlns="http://schemas.openxmlformats.org/spreadsheetml/2006/main" count="864" uniqueCount="289">
  <si>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</si>
  <si>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</si>
  <si>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</si>
  <si>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</si>
  <si>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</si>
  <si>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</si>
  <si>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</si>
  <si>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</si>
  <si>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</si>
  <si>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</si>
  <si>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</si>
  <si>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</si>
  <si>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</si>
  <si>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</si>
  <si>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</si>
  <si>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</si>
  <si>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</si>
  <si>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</si>
  <si>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</si>
  <si>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</si>
  <si>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</si>
  <si>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</si>
  <si>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</si>
  <si>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</si>
  <si>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</si>
  <si>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</si>
  <si>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</si>
  <si>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</si>
  <si>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</si>
  <si>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</si>
  <si>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</si>
  <si>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</si>
  <si>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</si>
  <si>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</si>
  <si>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</si>
  <si>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</si>
  <si>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</si>
  <si>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</si>
  <si>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</si>
  <si>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</si>
  <si>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</si>
  <si>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</si>
  <si>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</si>
  <si>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</si>
  <si>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</si>
  <si>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</si>
  <si>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</si>
  <si>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</si>
  <si>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</si>
  <si>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</si>
  <si>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</si>
  <si>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</si>
  <si>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</si>
  <si>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</si>
  <si>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</si>
  <si>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</si>
  <si>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</si>
  <si>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</si>
  <si>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</si>
  <si>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</si>
  <si>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</si>
  <si>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</si>
  <si>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</si>
  <si>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</si>
  <si>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</si>
  <si>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</si>
  <si>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</si>
  <si>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</si>
  <si>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</si>
  <si>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</si>
  <si>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</si>
  <si>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</si>
  <si>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</si>
  <si>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</si>
  <si>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</si>
  <si>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</si>
  <si>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</si>
  <si>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</si>
  <si>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</si>
  <si>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</si>
  <si>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</si>
  <si>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</si>
  <si>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</si>
  <si>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</si>
  <si>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</si>
  <si>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</si>
  <si>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</si>
  <si>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</si>
  <si>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</si>
  <si>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</si>
  <si>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</si>
  <si>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</si>
  <si>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</si>
  <si>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</si>
  <si>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</si>
  <si>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</si>
  <si>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</si>
  <si>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</si>
  <si>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</si>
  <si>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</si>
  <si>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</si>
  <si>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</si>
  <si>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</si>
  <si>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</si>
  <si>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</si>
  <si>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</si>
  <si>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</si>
  <si>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</si>
  <si>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</si>
  <si>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</si>
  <si>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</si>
  <si>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</si>
  <si>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</si>
  <si>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</si>
  <si>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</si>
  <si>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</si>
  <si>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</si>
  <si>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IVA</t>
  </si>
  <si>
    <t>Ingresos Brutos</t>
  </si>
  <si>
    <t>Local</t>
  </si>
  <si>
    <t>Sueldos</t>
  </si>
  <si>
    <t>Impuestos</t>
  </si>
  <si>
    <t>Ley 25.413</t>
  </si>
  <si>
    <t>Sircreb</t>
  </si>
  <si>
    <t>Alquiler</t>
  </si>
  <si>
    <t>Internet</t>
  </si>
  <si>
    <t>Lelia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</si>
  <si>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</si>
  <si>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</si>
  <si>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</si>
  <si>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</si>
  <si>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</si>
  <si>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</si>
  <si>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</si>
  <si>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</si>
  <si>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</si>
  <si>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</si>
  <si>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</si>
  <si>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</si>
  <si>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</si>
  <si>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</si>
  <si>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Edenor</t>
  </si>
  <si>
    <t>SEC</t>
  </si>
  <si>
    <t>Categoría</t>
  </si>
  <si>
    <t>SubCategoría</t>
  </si>
  <si>
    <t>PUESTA EN MARCHA</t>
  </si>
  <si>
    <t>Cliente</t>
  </si>
  <si>
    <t>%</t>
  </si>
  <si>
    <t xml:space="preserve">INVERSIONES </t>
  </si>
  <si>
    <t>MARKETING</t>
  </si>
  <si>
    <t>FAECYS</t>
  </si>
  <si>
    <t>La Estrella</t>
  </si>
  <si>
    <t>Fletes</t>
  </si>
  <si>
    <t>Comisiones Ventas</t>
  </si>
  <si>
    <t>App Sumar</t>
  </si>
  <si>
    <t>Extraordinarios</t>
  </si>
  <si>
    <t>Importe</t>
  </si>
  <si>
    <t>Tipo de Operacion</t>
  </si>
  <si>
    <t>ID Operacion</t>
  </si>
  <si>
    <t>Status</t>
  </si>
  <si>
    <t>Venta</t>
  </si>
  <si>
    <t>Stefania</t>
  </si>
  <si>
    <t>Seguridad</t>
  </si>
  <si>
    <t>Percep IVA</t>
  </si>
  <si>
    <t>Imp. Ing. Brutos Capital Federal</t>
  </si>
  <si>
    <t>Imp. Ing. Brutos Sircreb</t>
  </si>
  <si>
    <t>Impuesto Deb. Ley 25.413</t>
  </si>
  <si>
    <t>Impuesto Cre. Ley 25.413</t>
  </si>
  <si>
    <t xml:space="preserve">Pago | Servicios Imp Afip </t>
  </si>
  <si>
    <t>Iva</t>
  </si>
  <si>
    <t>AFIP</t>
  </si>
  <si>
    <t xml:space="preserve">Pago | Pay Per Tic | Deb Autom </t>
  </si>
  <si>
    <t xml:space="preserve">Pago | Personal Flow | Deb Autom </t>
  </si>
  <si>
    <t>Otros Servicios</t>
  </si>
  <si>
    <t xml:space="preserve">Activos </t>
  </si>
  <si>
    <t>Debito Com. Varias | Transf. al Ext.</t>
  </si>
  <si>
    <t>Pago | Edenor | Energia Electrica</t>
  </si>
  <si>
    <t>Gastos Administrativos</t>
  </si>
  <si>
    <t>Comisiones de Ventas</t>
  </si>
  <si>
    <t>Comisiones Distribuidores</t>
  </si>
  <si>
    <t>Descuento</t>
  </si>
  <si>
    <t>Costo</t>
  </si>
  <si>
    <t>Puesta en Marcha</t>
  </si>
  <si>
    <t>Logistica</t>
  </si>
  <si>
    <t>Fletes y Transportes</t>
  </si>
  <si>
    <t>Precio con Descuento</t>
  </si>
  <si>
    <t>Horno FN2 Pro</t>
  </si>
  <si>
    <t>Horno Pro Gas 6-1</t>
  </si>
  <si>
    <t>Horno Pro Gas 12-2</t>
  </si>
  <si>
    <t xml:space="preserve">Importacion </t>
  </si>
  <si>
    <t>Hornos</t>
  </si>
  <si>
    <t>Pago | Viviana Fuertes | Alquiler | Fact 269 | Alquiler Diciembre 2025</t>
  </si>
  <si>
    <t>Pago | Cargas Sociales | SEC | Nov'25</t>
  </si>
  <si>
    <t>Refacciones</t>
  </si>
  <si>
    <t>Motocompresores y conexiones de cobre</t>
  </si>
  <si>
    <t>Pago | Cargas Sociales | FAECYS | Nov'25</t>
  </si>
  <si>
    <t>Comision Gestion Transferancia Fondos entre Bancos</t>
  </si>
  <si>
    <t>Gastos Aduanales</t>
  </si>
  <si>
    <t>Comisiones Javier Nov´25</t>
  </si>
  <si>
    <t>Pendiente Despacho</t>
  </si>
  <si>
    <t>Horno Pro Gas 90</t>
  </si>
  <si>
    <t xml:space="preserve">Jorge Alejandro   Boscana </t>
  </si>
  <si>
    <t>Roselin</t>
  </si>
  <si>
    <t>Amasadora 5.2 kg</t>
  </si>
  <si>
    <t>Aceitera</t>
  </si>
  <si>
    <t xml:space="preserve">Ignacio Parise </t>
  </si>
  <si>
    <t>Pendiente Puesta Marcha</t>
  </si>
  <si>
    <t>Ezequiel Ignacio Demaestri</t>
  </si>
  <si>
    <t>Sebastián  Moya Ruíz</t>
  </si>
  <si>
    <t>Matias Alejandro  Zuccotti</t>
  </si>
  <si>
    <t xml:space="preserve">Daniel  Larraya </t>
  </si>
  <si>
    <t xml:space="preserve">Lisandro  Carrere </t>
  </si>
  <si>
    <t>Norberto Ariel  De Paoli</t>
  </si>
  <si>
    <t xml:space="preserve">Lautaro Agustin  Leyes </t>
  </si>
  <si>
    <t xml:space="preserve">Javier Oscar Gauna </t>
  </si>
  <si>
    <t xml:space="preserve"> Thiago Nahuel Guevara</t>
  </si>
  <si>
    <t xml:space="preserve">Fabian Octavio  Ancan Lomaquis </t>
  </si>
  <si>
    <t>Eduardo Matias  Rodriguez</t>
  </si>
  <si>
    <t>Ivan Hidalgo</t>
  </si>
  <si>
    <t>David  Basualdo</t>
  </si>
  <si>
    <t>Gustavo  Sanguinetto</t>
  </si>
  <si>
    <t xml:space="preserve">Hernan Gustavo Novoa </t>
  </si>
  <si>
    <t>Fabian Ariel Bonasegla</t>
  </si>
  <si>
    <t xml:space="preserve"> Claudia Fernanda Ulrich</t>
  </si>
  <si>
    <t>Diego Sise</t>
  </si>
  <si>
    <t>Matias  Iacono</t>
  </si>
  <si>
    <t>Cepillo para piedra</t>
  </si>
  <si>
    <t>Subtotal</t>
  </si>
  <si>
    <t>Cerrado</t>
  </si>
  <si>
    <t>Rodolfo Victor   Ravina</t>
  </si>
  <si>
    <t>Mariano  Duran</t>
  </si>
  <si>
    <t xml:space="preserve">Marcelo  Castillo </t>
  </si>
  <si>
    <t>Oscar Alberto Jauregui</t>
  </si>
  <si>
    <t>Pala Redonde de Giro</t>
  </si>
  <si>
    <t>Horno Pro Gas 16-2</t>
  </si>
  <si>
    <t>Mesa fria dos puertas</t>
  </si>
  <si>
    <t>Horno Pro Gas 24-3</t>
  </si>
  <si>
    <t>Pago | Prosegur Enero 2026 Deb Autom.</t>
  </si>
  <si>
    <t>Comision Servicio de Cuenta</t>
  </si>
  <si>
    <t>Pago | Muñoz Ciro Tiziano | Fact 0008</t>
  </si>
  <si>
    <t>Instalacion de 2 motores frigorificos</t>
  </si>
  <si>
    <t xml:space="preserve">Pago | Desarrollo de Soluciones Digitales | Fact 0046 | </t>
  </si>
  <si>
    <t>Servicio APP Enero 2026</t>
  </si>
  <si>
    <t>Pago | Autoelevadores y Gruas | Fact 7637</t>
  </si>
  <si>
    <t>Flete 10 cajones Bocayya a Fornitalia</t>
  </si>
  <si>
    <t>Pago | Guangdong Mingtai Baking Equipment Co LTD | Fact AR250827-04</t>
  </si>
  <si>
    <t>Pago | Pou Rosa Laura | Flete | Fact 226</t>
  </si>
  <si>
    <t>Flete traslado de productos</t>
  </si>
  <si>
    <t>Pago | Nicolas Torres Manuel | Fact 131</t>
  </si>
  <si>
    <t>Bidones de agua</t>
  </si>
  <si>
    <t>Pago | Martino Karina Veronica | Fact 11003</t>
  </si>
  <si>
    <t xml:space="preserve">Remitos x 3 </t>
  </si>
  <si>
    <t>Pago | Cargas Sociales | La Estrella | Dic'25</t>
  </si>
  <si>
    <t>Pago | Pou Rosa Laura | Flete | Fact 227</t>
  </si>
  <si>
    <t xml:space="preserve">Pago | Soluciones Online | Ene 2026 | Deb. Autom. </t>
  </si>
  <si>
    <t xml:space="preserve">Pago | GCBA | Ene 2026 | </t>
  </si>
  <si>
    <t>Limpieza y Alumbrado</t>
  </si>
  <si>
    <t>Pago | Antonio Francisco Celio | Fact 37046</t>
  </si>
  <si>
    <t>Manometros aneroides</t>
  </si>
  <si>
    <t>Pago | Guangdong Mingtai Baking Equipment Co LTD | Fact AR250904-05</t>
  </si>
  <si>
    <t>Pago | Maria del Pilar Otero | Fact 279</t>
  </si>
  <si>
    <t>Certificacion de Firmas (Con libro)</t>
  </si>
  <si>
    <t>Pago | Nicolas Torres Manuel | Fact 149</t>
  </si>
  <si>
    <t>Pago | Autoelevadores y Gruas | Ene 2026 | Fact 7660</t>
  </si>
  <si>
    <t>Pago | Bureau Veritas Argentina | Fact 00003-00264675</t>
  </si>
  <si>
    <t>Reinscripcion en registro de Importador de equipos gastronomicos</t>
  </si>
  <si>
    <t>Pago | Pou Rosa Laura | Flete | Fact 228</t>
  </si>
  <si>
    <t>Pago | Muñoz Ciro Tiziano | Fact 0011</t>
  </si>
  <si>
    <t>Pago | Compañía de Seguros la Mercantil | Enero 2026 | Seguro de Local</t>
  </si>
  <si>
    <t>Seguro Local</t>
  </si>
  <si>
    <t>Transf | Transferencia entre Cuentas | Credicoop</t>
  </si>
  <si>
    <t>Transf a cuenta nueva Fornitalia Credicop</t>
  </si>
  <si>
    <t xml:space="preserve">Pago | Corp All Comercio Exterior | </t>
  </si>
  <si>
    <t>Anticipo Gastos de Importacion</t>
  </si>
  <si>
    <t>Pago | Barreras Naut | Fact 8271</t>
  </si>
  <si>
    <t>Rotores</t>
  </si>
  <si>
    <t>Pago | Pou Rosa Laura | Flete | Fact 232</t>
  </si>
  <si>
    <t>Pago | Pou Rosa Laura | Flete | Fact 233</t>
  </si>
  <si>
    <t>Pago | Lagatta Carlos Adrian | Fact 4841</t>
  </si>
  <si>
    <t>Pago | Sueldo Rosselin Dionar | Ene'26</t>
  </si>
  <si>
    <t>Pago | Sueldo Pedro Ezequiel Marti | Ene'26</t>
  </si>
  <si>
    <t>Pago | Sueldo Steffania Alien | Ene´26</t>
  </si>
  <si>
    <t>Pago | Comisiones de Ventas Dic´2025 | Stefania</t>
  </si>
  <si>
    <t>Pago | Comisiones de Ventas Dic´2025 | Rosselin</t>
  </si>
  <si>
    <t>Pago | Sueldo Diego Argiró | Ene´26 | Transf</t>
  </si>
  <si>
    <t>Pago | Sueldo Diego Argiró | Ene´26 | Eftvo</t>
  </si>
  <si>
    <t>Estado de Resultados 2026</t>
  </si>
  <si>
    <t>Descripcion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</si>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</sst>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8" fontId="4" fillId="2" borderId="0" xfId="0" applyNumberFormat="1" applyFont="1" applyFill="1"/>
    <xf numFmtId="0" fontId="3" fillId="0" borderId="0" xfId="0" applyFont="1"/>
    <xf numFmtId="8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164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1" fillId="3" borderId="0" xfId="1" applyNumberFormat="1" applyFont="1" applyFill="1" applyAlignment="1">
      <alignment vertical="center"/>
    </xf>
    <xf numFmtId="43" fontId="1" fillId="0" borderId="2" xfId="1" applyFont="1" applyBorder="1" applyAlignment="1">
      <alignment vertical="center"/>
    </xf>
    <xf numFmtId="0" fontId="11" fillId="6" borderId="0" xfId="0" applyFont="1" applyFill="1" applyAlignment="1">
      <alignment horizontal="center" vertical="center"/>
    </xf>
    <xf numFmtId="17" fontId="11" fillId="6" borderId="0" xfId="1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14" fontId="12" fillId="0" borderId="3" xfId="0" applyNumberFormat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left" vertical="center" wrapText="1"/>
    </xf>
    <xf numFmtId="165" fontId="14" fillId="7" borderId="0" xfId="6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1" fillId="5" borderId="0" xfId="1" applyNumberFormat="1" applyFont="1" applyFill="1" applyAlignment="1">
      <alignment vertical="center"/>
    </xf>
    <xf numFmtId="0" fontId="12" fillId="0" borderId="0" xfId="0" applyFont="1" applyAlignment="1">
      <alignment wrapText="1"/>
    </xf>
    <xf numFmtId="165" fontId="12" fillId="0" borderId="3" xfId="6" applyFont="1" applyBorder="1" applyAlignment="1">
      <alignment horizontal="right" vertical="center" wrapText="1"/>
    </xf>
    <xf numFmtId="165" fontId="14" fillId="7" borderId="0" xfId="6" applyFont="1" applyFill="1" applyAlignment="1">
      <alignment horizontal="center" vertical="center" wrapText="1"/>
    </xf>
    <xf numFmtId="165" fontId="12" fillId="0" borderId="3" xfId="0" applyNumberFormat="1" applyFont="1" applyBorder="1" applyAlignment="1">
      <alignment horizontal="right" vertical="center" wrapText="1"/>
    </xf>
    <xf numFmtId="165" fontId="13" fillId="0" borderId="0" xfId="0" applyNumberFormat="1" applyFont="1"/>
    <xf numFmtId="14" fontId="12" fillId="0" borderId="0" xfId="0" applyNumberFormat="1" applyFont="1" applyAlignment="1">
      <alignment horizontal="center" vertical="center" wrapText="1"/>
    </xf>
    <xf numFmtId="165" fontId="12" fillId="0" borderId="0" xfId="6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165" fontId="12" fillId="0" borderId="0" xfId="0" applyNumberFormat="1" applyFont="1" applyAlignment="1">
      <alignment horizontal="right" vertical="center" wrapText="1"/>
    </xf>
    <xf numFmtId="165" fontId="0" fillId="0" borderId="0" xfId="6" applyFont="1" applyAlignment="1">
      <alignment vertical="center"/>
    </xf>
    <xf numFmtId="0" fontId="16" fillId="0" borderId="0" xfId="0" applyFont="1"/>
    <xf numFmtId="0" fontId="12" fillId="0" borderId="3" xfId="0" applyFont="1" applyBorder="1" applyAlignment="1">
      <alignment horizontal="left" wrapText="1"/>
    </xf>
    <xf numFmtId="0" fontId="0" fillId="0" borderId="0" xfId="0" applyAlignment="1">
      <alignment horizontal="center"/>
    </xf>
    <xf numFmtId="165" fontId="0" fillId="0" borderId="0" xfId="6" applyFont="1"/>
    <xf numFmtId="165" fontId="0" fillId="0" borderId="0" xfId="0" applyNumberFormat="1"/>
    <xf numFmtId="165" fontId="0" fillId="0" borderId="0" xfId="6" applyFont="1" applyAlignment="1">
      <alignment horizontal="center"/>
    </xf>
    <xf numFmtId="165" fontId="0" fillId="3" borderId="0" xfId="0" applyNumberFormat="1" applyFill="1"/>
    <xf numFmtId="165" fontId="0" fillId="0" borderId="0" xfId="6" applyFont="1" applyAlignment="1">
      <alignment horizontal="left"/>
    </xf>
    <xf numFmtId="165" fontId="0" fillId="3" borderId="0" xfId="6" applyFont="1" applyFill="1"/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8">
    <dxf>
      <numFmt numFmtId="165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65" formatCode="_-&quot;$&quot;\ * #,##0.00_-;\-&quot;$&quot;\ * #,##0.00_-;_-&quot;$&quot;\ * &quot;-&quot;??_-;_-@_-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1</xdr:col>
      <xdr:colOff>1216081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EBCEB-0ED4-4DDB-82EB-FDA35D2C1232}" name="ExportFacturacion" displayName="ExportFacturacion" ref="A1:J34" totalsRowCount="1" headerRowDxfId="7">
  <autoFilter ref="A1:J33" xr:uid="{2BBEBCEB-0ED4-4DDB-82EB-FDA35D2C1232}"/>
  <tableColumns count="10">
    <tableColumn id="1" xr3:uid="{AD6182D6-5318-4E88-9825-C7E3E5F685EC}" name="Tipo de Operacion"/>
    <tableColumn id="2" xr3:uid="{9FB4AA02-FDDA-4BD4-8FC5-1AFA6D7610A8}" name="ID Operacion" dataDxfId="6" totalsRowDxfId="4"/>
    <tableColumn id="3" xr3:uid="{6BA0F55B-CBE2-4084-A39D-62794C92635D}" name="Status"/>
    <tableColumn id="4" xr3:uid="{00A7D281-E06A-48BA-A069-1E289E08E450}" name="Cliente" dataDxfId="5"/>
    <tableColumn id="5" xr3:uid="{83965E90-C466-47A3-86B7-0DC2EFC8FFDB}" name="Vendedor"/>
    <tableColumn id="6" xr3:uid="{4B084946-956D-4AFC-BA75-F9ABCE4C3B79}" name="Descripcion"/>
    <tableColumn id="7" xr3:uid="{5B99F4D2-05A0-4092-B87A-01F2ABEF2522}" name="Costo" totalsRowFunction="custom" totalsRowDxfId="3" dataCellStyle="Moneda">
      <totalsRowFormula>SUM(G2:G33)</totalsRowFormula>
    </tableColumn>
    <tableColumn id="8" xr3:uid="{EAFFE169-0B40-4B0D-9BD7-9E9DF44127EE}" name="Subtotal" totalsRowFunction="custom" totalsRowDxfId="2" dataCellStyle="Moneda" totalsRowCellStyle="Moneda">
      <totalsRowFormula>SUM(H2:H33)</totalsRowFormula>
    </tableColumn>
    <tableColumn id="9" xr3:uid="{57658365-7C5F-49FD-9674-F708E4268D81}" name="Descuento" totalsRowFunction="custom" totalsRowDxfId="1" dataCellStyle="Moneda" totalsRowCellStyle="Moneda">
      <calculatedColumnFormula>10820000*16.4%</calculatedColumnFormula>
      <totalsRowFormula>SUM(I2:I33)</totalsRowFormula>
    </tableColumn>
    <tableColumn id="10" xr3:uid="{C7E3FFC7-F7C4-4049-A476-3002D3960EDF}" name="Precio con Descuento" totalsRowFunction="custom" totalsRowDxfId="0">
      <totalsRowFormula>SUM(J2:J33)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zoomScaleNormal="100" workbookViewId="0">
      <selection activeCell="A2" sqref="A2"/>
    </sheetView>
  </sheetViews>
  <sheetFormatPr baseColWidth="10" defaultColWidth="11.44140625" defaultRowHeight="14.4" x14ac:dyDescent="0.3"/>
  <cols>
    <col min="1" max="1" width="66.6640625" style="13" customWidth="1"/>
    <col min="2" max="2" width="19" style="15" bestFit="1" customWidth="1"/>
    <col min="3" max="3" width="11.44140625" style="14"/>
    <col min="4" max="4" width="14.33203125" style="12" bestFit="1" customWidth="1"/>
    <col min="5" max="16384" width="11.44140625" style="13"/>
  </cols>
  <sheetData>
    <row r="1" spans="1:5" ht="66.75" customHeight="1" x14ac:dyDescent="0.3">
      <c r="A1" s="2" t="s">
        <v>286</v>
      </c>
      <c r="B1" s="11"/>
      <c r="C1" s="2"/>
    </row>
    <row r="2" spans="1:5" ht="20.399999999999999" x14ac:dyDescent="0.3">
      <c r="A2" s="37" t="s">
        <v>24</v>
      </c>
      <c r="B2" s="38">
        <v>46023</v>
      </c>
      <c r="C2" s="39" t="s">
        <v>147</v>
      </c>
    </row>
    <row r="3" spans="1:5" x14ac:dyDescent="0.3">
      <c r="A3" s="13" t="s">
        <v>25</v>
      </c>
      <c r="B3" s="58">
        <f>ExportFacturacion[[#Totals],[Subtotal]]</f>
        <v>132113966</v>
      </c>
      <c r="C3" s="16">
        <v>1</v>
      </c>
    </row>
    <row r="4" spans="1:5" x14ac:dyDescent="0.3">
      <c r="A4" s="13" t="s">
        <v>136</v>
      </c>
      <c r="B4" s="36">
        <f>ExportFacturacion[[#Totals],[Descuento]]</f>
        <v>25674603.989599999</v>
      </c>
      <c r="C4" s="18">
        <f>(B4*C3)/B3</f>
        <v>0.19433678941710067</v>
      </c>
    </row>
    <row r="5" spans="1:5" x14ac:dyDescent="0.3">
      <c r="A5" s="19" t="s">
        <v>26</v>
      </c>
      <c r="B5" s="17">
        <f>B3-B4</f>
        <v>106439362.0104</v>
      </c>
      <c r="C5" s="16">
        <v>1</v>
      </c>
    </row>
    <row r="6" spans="1:5" x14ac:dyDescent="0.3">
      <c r="A6" s="20" t="s">
        <v>27</v>
      </c>
      <c r="B6" s="15">
        <f>ExportFacturacion[[#Totals],[Costo]]</f>
        <v>16767017.98</v>
      </c>
      <c r="C6" s="18">
        <v>0.33</v>
      </c>
    </row>
    <row r="7" spans="1:5" x14ac:dyDescent="0.3">
      <c r="A7" s="20" t="s">
        <v>28</v>
      </c>
      <c r="B7" s="17">
        <f>B5-B6</f>
        <v>89672344.030399993</v>
      </c>
      <c r="C7" s="18">
        <f>(B7*C5)/B5</f>
        <v>0.84247352047862023</v>
      </c>
    </row>
    <row r="10" spans="1:5" s="26" customFormat="1" x14ac:dyDescent="0.3">
      <c r="A10" s="21" t="s">
        <v>138</v>
      </c>
      <c r="B10" s="35">
        <f>SUM(B11:B18)</f>
        <v>135973401.57999995</v>
      </c>
      <c r="C10" s="23">
        <f>(B10*$C$5)/$B$5</f>
        <v>1.2774729105076206</v>
      </c>
      <c r="D10" s="24"/>
      <c r="E10" s="25"/>
    </row>
    <row r="11" spans="1:5" x14ac:dyDescent="0.3">
      <c r="A11" s="27" t="s">
        <v>17</v>
      </c>
      <c r="B11" s="47">
        <f>+Gastos!C9</f>
        <v>447789.58</v>
      </c>
      <c r="C11" s="18">
        <f>(B11*$C$5)/$B$5</f>
        <v>4.2069923338721943E-3</v>
      </c>
    </row>
    <row r="12" spans="1:5" x14ac:dyDescent="0.3">
      <c r="A12" s="27" t="s">
        <v>137</v>
      </c>
      <c r="B12" s="47">
        <f>+Gastos!C14</f>
        <v>0</v>
      </c>
      <c r="C12" s="18">
        <f>(B12*$C$5)/$B$5</f>
        <v>0</v>
      </c>
    </row>
    <row r="13" spans="1:5" x14ac:dyDescent="0.3">
      <c r="A13" s="27" t="s">
        <v>131</v>
      </c>
      <c r="B13" s="47">
        <f>+Gastos!C12</f>
        <v>4516360</v>
      </c>
      <c r="C13" s="18">
        <f t="shared" ref="C13:C18" si="0">(B13*$C$5)/$B$5</f>
        <v>4.2431295290540308E-2</v>
      </c>
    </row>
    <row r="14" spans="1:5" x14ac:dyDescent="0.3">
      <c r="A14" s="27" t="s">
        <v>130</v>
      </c>
      <c r="B14" s="47">
        <f>+Gastos!C30</f>
        <v>85455940.549999982</v>
      </c>
      <c r="C14" s="18">
        <f>(B14*$C$5)/$B$5</f>
        <v>0.80286032287238096</v>
      </c>
    </row>
    <row r="15" spans="1:5" x14ac:dyDescent="0.3">
      <c r="A15" s="27" t="s">
        <v>134</v>
      </c>
      <c r="B15" s="47">
        <f>+Gastos!C37</f>
        <v>1271343.6000000001</v>
      </c>
      <c r="C15" s="18">
        <f t="shared" si="0"/>
        <v>1.1944299326745114E-2</v>
      </c>
    </row>
    <row r="16" spans="1:5" x14ac:dyDescent="0.3">
      <c r="A16" s="27" t="s">
        <v>129</v>
      </c>
      <c r="B16" s="47">
        <f>+Gastos!C171</f>
        <v>44281967.849999987</v>
      </c>
      <c r="C16" s="18">
        <f t="shared" si="0"/>
        <v>0.41603000068408225</v>
      </c>
    </row>
    <row r="17" spans="1:3" x14ac:dyDescent="0.3">
      <c r="A17" s="27" t="s">
        <v>149</v>
      </c>
      <c r="B17" s="47">
        <v>0</v>
      </c>
      <c r="C17" s="18">
        <f t="shared" si="0"/>
        <v>0</v>
      </c>
    </row>
    <row r="18" spans="1:3" x14ac:dyDescent="0.3">
      <c r="A18" s="27" t="s">
        <v>145</v>
      </c>
      <c r="B18" s="47">
        <v>0</v>
      </c>
      <c r="C18" s="18">
        <f t="shared" si="0"/>
        <v>0</v>
      </c>
    </row>
    <row r="20" spans="1:3" x14ac:dyDescent="0.3">
      <c r="A20" s="21" t="s">
        <v>139</v>
      </c>
      <c r="B20" s="35">
        <f>SUM(B21:B22)</f>
        <v>11341494.84</v>
      </c>
      <c r="C20" s="23">
        <f>(B20*$C$5)/$B$5</f>
        <v>0.10655357779100408</v>
      </c>
    </row>
    <row r="21" spans="1:3" x14ac:dyDescent="0.3">
      <c r="A21" s="27" t="s">
        <v>128</v>
      </c>
      <c r="B21" s="47">
        <f>+Gastos!C184</f>
        <v>3134666.84</v>
      </c>
      <c r="C21" s="18">
        <f>(B21*$C$5)/$B$5</f>
        <v>2.9450259573086481E-2</v>
      </c>
    </row>
    <row r="22" spans="1:3" x14ac:dyDescent="0.3">
      <c r="A22" s="27" t="s">
        <v>127</v>
      </c>
      <c r="B22" s="47">
        <f>+Gastos!C190</f>
        <v>8206828</v>
      </c>
      <c r="C22" s="18">
        <f>(B22*$C$5)/$B$5</f>
        <v>7.7103318217917591E-2</v>
      </c>
    </row>
    <row r="23" spans="1:3" x14ac:dyDescent="0.3">
      <c r="A23" s="27"/>
      <c r="C23" s="18"/>
    </row>
    <row r="24" spans="1:3" x14ac:dyDescent="0.3">
      <c r="A24" s="21" t="s">
        <v>140</v>
      </c>
      <c r="B24" s="22">
        <f>+B10+B20</f>
        <v>147314896.41999996</v>
      </c>
      <c r="C24" s="18"/>
    </row>
    <row r="25" spans="1:3" x14ac:dyDescent="0.3">
      <c r="A25" s="27"/>
      <c r="C25" s="18"/>
    </row>
    <row r="26" spans="1:3" x14ac:dyDescent="0.3">
      <c r="A26" s="29" t="s">
        <v>79</v>
      </c>
      <c r="B26" s="30">
        <f>B7-B10-B20</f>
        <v>-57642552.389599964</v>
      </c>
      <c r="C26" s="31">
        <f>(B26*C5)/B5</f>
        <v>-0.5415529678200045</v>
      </c>
    </row>
    <row r="29" spans="1:3" hidden="1" x14ac:dyDescent="0.3">
      <c r="A29" s="32" t="s">
        <v>148</v>
      </c>
      <c r="B29" s="33"/>
      <c r="C29" s="34"/>
    </row>
    <row r="30" spans="1:3" x14ac:dyDescent="0.3">
      <c r="A30" s="32" t="s">
        <v>148</v>
      </c>
      <c r="B30" s="48"/>
      <c r="C30" s="34"/>
    </row>
    <row r="32" spans="1:3" x14ac:dyDescent="0.3">
      <c r="B32" s="28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F192"/>
  <sheetViews>
    <sheetView tabSelected="1" topLeftCell="A11" zoomScale="90" zoomScaleNormal="90" workbookViewId="0">
      <selection activeCell="D25" sqref="D25"/>
    </sheetView>
  </sheetViews>
  <sheetFormatPr baseColWidth="10" defaultColWidth="11.44140625" defaultRowHeight="13.8" x14ac:dyDescent="0.3"/>
  <cols>
    <col min="1" max="1" width="12.88671875" style="42" bestFit="1" customWidth="1"/>
    <col min="2" max="2" width="78.88671875" style="42" customWidth="1"/>
    <col min="3" max="3" width="27.44140625" style="53" bestFit="1" customWidth="1"/>
    <col min="4" max="4" width="23.6640625" style="42" customWidth="1"/>
    <col min="5" max="5" width="25.88671875" style="42" bestFit="1" customWidth="1"/>
    <col min="6" max="6" width="61.88671875" style="59" customWidth="1"/>
    <col min="7" max="16384" width="11.44140625" style="42"/>
  </cols>
  <sheetData>
    <row r="1" spans="1:6" ht="19.5" customHeight="1" thickBot="1" x14ac:dyDescent="0.35">
      <c r="A1" s="44" t="s">
        <v>132</v>
      </c>
      <c r="B1" s="44" t="s">
        <v>133</v>
      </c>
      <c r="C1" s="51" t="s">
        <v>156</v>
      </c>
      <c r="D1" s="44" t="s">
        <v>143</v>
      </c>
      <c r="E1" s="44" t="s">
        <v>144</v>
      </c>
    </row>
    <row r="2" spans="1:6" ht="15" thickBot="1" x14ac:dyDescent="0.35">
      <c r="A2" s="43">
        <v>46024</v>
      </c>
      <c r="B2" s="40" t="s">
        <v>238</v>
      </c>
      <c r="C2" s="52">
        <v>40806.449999999997</v>
      </c>
      <c r="D2" s="40" t="s">
        <v>121</v>
      </c>
      <c r="E2" s="40" t="s">
        <v>135</v>
      </c>
    </row>
    <row r="3" spans="1:6" ht="15" thickBot="1" x14ac:dyDescent="0.35">
      <c r="A3" s="43">
        <v>46027</v>
      </c>
      <c r="B3" s="40" t="s">
        <v>175</v>
      </c>
      <c r="C3" s="52">
        <v>15141</v>
      </c>
      <c r="D3" s="40" t="s">
        <v>121</v>
      </c>
      <c r="E3" s="40" t="s">
        <v>135</v>
      </c>
    </row>
    <row r="4" spans="1:6" ht="15" thickBot="1" x14ac:dyDescent="0.35">
      <c r="A4" s="43">
        <v>46027</v>
      </c>
      <c r="B4" s="40" t="s">
        <v>175</v>
      </c>
      <c r="C4" s="52">
        <v>189262.5</v>
      </c>
      <c r="D4" s="40" t="s">
        <v>121</v>
      </c>
      <c r="E4" s="40" t="s">
        <v>135</v>
      </c>
    </row>
    <row r="5" spans="1:6" ht="15" thickBot="1" x14ac:dyDescent="0.35">
      <c r="A5" s="43">
        <v>46037</v>
      </c>
      <c r="B5" s="40" t="s">
        <v>175</v>
      </c>
      <c r="C5" s="52">
        <v>14857.75</v>
      </c>
      <c r="D5" s="40" t="s">
        <v>121</v>
      </c>
      <c r="E5" s="40" t="s">
        <v>135</v>
      </c>
    </row>
    <row r="6" spans="1:6" ht="15" thickBot="1" x14ac:dyDescent="0.35">
      <c r="A6" s="43">
        <v>46037</v>
      </c>
      <c r="B6" s="40" t="s">
        <v>175</v>
      </c>
      <c r="C6" s="52">
        <v>185721.88</v>
      </c>
      <c r="D6" s="40" t="s">
        <v>121</v>
      </c>
      <c r="E6" s="40" t="s">
        <v>135</v>
      </c>
    </row>
    <row r="7" spans="1:6" ht="19.5" customHeight="1" thickBot="1" x14ac:dyDescent="0.35">
      <c r="A7" s="43">
        <v>46044</v>
      </c>
      <c r="B7" s="40" t="s">
        <v>196</v>
      </c>
      <c r="C7" s="52">
        <v>1000</v>
      </c>
      <c r="D7" s="40" t="s">
        <v>135</v>
      </c>
      <c r="E7" s="40" t="s">
        <v>135</v>
      </c>
    </row>
    <row r="8" spans="1:6" ht="19.5" customHeight="1" thickBot="1" x14ac:dyDescent="0.35">
      <c r="A8" s="43">
        <v>46045</v>
      </c>
      <c r="B8" s="40" t="s">
        <v>196</v>
      </c>
      <c r="C8" s="52">
        <v>1000</v>
      </c>
      <c r="D8" s="40" t="s">
        <v>135</v>
      </c>
      <c r="E8" s="40" t="s">
        <v>135</v>
      </c>
    </row>
    <row r="9" spans="1:6" ht="14.4" thickBot="1" x14ac:dyDescent="0.35">
      <c r="A9" s="44"/>
      <c r="B9" s="45" t="s">
        <v>135</v>
      </c>
      <c r="C9" s="46">
        <f>SUM(C2:C8)</f>
        <v>447789.58</v>
      </c>
      <c r="D9" s="44"/>
      <c r="E9" s="44"/>
    </row>
    <row r="10" spans="1:6" ht="15" thickBot="1" x14ac:dyDescent="0.35">
      <c r="A10" s="43"/>
      <c r="B10" s="40" t="s">
        <v>282</v>
      </c>
      <c r="C10" s="52">
        <v>3146145</v>
      </c>
      <c r="D10" s="40" t="s">
        <v>153</v>
      </c>
      <c r="E10" s="40" t="s">
        <v>153</v>
      </c>
    </row>
    <row r="11" spans="1:6" ht="15" thickBot="1" x14ac:dyDescent="0.35">
      <c r="A11" s="43"/>
      <c r="B11" s="40" t="s">
        <v>283</v>
      </c>
      <c r="C11" s="52">
        <v>1370215</v>
      </c>
      <c r="D11" s="40" t="s">
        <v>153</v>
      </c>
      <c r="E11" s="40" t="s">
        <v>153</v>
      </c>
    </row>
    <row r="12" spans="1:6" ht="14.4" thickBot="1" x14ac:dyDescent="0.35">
      <c r="A12" s="44"/>
      <c r="B12" s="45" t="s">
        <v>178</v>
      </c>
      <c r="C12" s="46">
        <f>SUM(C10:C11)</f>
        <v>4516360</v>
      </c>
      <c r="D12" s="44"/>
      <c r="E12" s="44"/>
    </row>
    <row r="13" spans="1:6" ht="16.5" customHeight="1" thickBot="1" x14ac:dyDescent="0.35">
      <c r="A13" s="54"/>
      <c r="B13" s="56" t="s">
        <v>198</v>
      </c>
      <c r="C13" s="57"/>
      <c r="D13" s="40" t="s">
        <v>153</v>
      </c>
      <c r="E13" s="40" t="s">
        <v>153</v>
      </c>
    </row>
    <row r="14" spans="1:6" ht="14.4" thickBot="1" x14ac:dyDescent="0.35">
      <c r="A14" s="44"/>
      <c r="B14" s="45" t="s">
        <v>179</v>
      </c>
      <c r="C14" s="46">
        <f>SUM(C13)</f>
        <v>0</v>
      </c>
      <c r="D14" s="44"/>
      <c r="E14" s="44"/>
    </row>
    <row r="15" spans="1:6" ht="16.5" customHeight="1" thickBot="1" x14ac:dyDescent="0.35">
      <c r="A15" s="43">
        <v>46027</v>
      </c>
      <c r="B15" s="41" t="s">
        <v>239</v>
      </c>
      <c r="C15" s="52">
        <v>300000</v>
      </c>
      <c r="D15" s="40" t="s">
        <v>173</v>
      </c>
      <c r="E15" s="40" t="s">
        <v>182</v>
      </c>
      <c r="F15" s="59" t="s">
        <v>240</v>
      </c>
    </row>
    <row r="16" spans="1:6" ht="16.5" customHeight="1" thickBot="1" x14ac:dyDescent="0.35">
      <c r="A16" s="43">
        <v>46027</v>
      </c>
      <c r="B16" s="41" t="s">
        <v>241</v>
      </c>
      <c r="C16" s="52">
        <v>609909.4</v>
      </c>
      <c r="D16" s="40" t="s">
        <v>173</v>
      </c>
      <c r="E16" s="40" t="s">
        <v>154</v>
      </c>
      <c r="F16" s="59" t="s">
        <v>242</v>
      </c>
    </row>
    <row r="17" spans="1:6" ht="16.5" customHeight="1" thickBot="1" x14ac:dyDescent="0.35">
      <c r="A17" s="43">
        <v>46027</v>
      </c>
      <c r="B17" s="41" t="s">
        <v>245</v>
      </c>
      <c r="C17" s="52">
        <v>23680524</v>
      </c>
      <c r="D17" s="40" t="s">
        <v>174</v>
      </c>
      <c r="E17" s="40" t="s">
        <v>189</v>
      </c>
      <c r="F17" s="59" t="s">
        <v>190</v>
      </c>
    </row>
    <row r="18" spans="1:6" ht="16.5" customHeight="1" thickBot="1" x14ac:dyDescent="0.35">
      <c r="A18" s="43">
        <v>46029</v>
      </c>
      <c r="B18" s="41" t="s">
        <v>248</v>
      </c>
      <c r="C18" s="52">
        <v>72600</v>
      </c>
      <c r="D18" s="40" t="s">
        <v>173</v>
      </c>
      <c r="E18" s="40" t="s">
        <v>177</v>
      </c>
      <c r="F18" s="59" t="s">
        <v>249</v>
      </c>
    </row>
    <row r="19" spans="1:6" ht="16.5" customHeight="1" thickBot="1" x14ac:dyDescent="0.35">
      <c r="A19" s="43">
        <v>46029</v>
      </c>
      <c r="B19" s="41" t="s">
        <v>250</v>
      </c>
      <c r="C19" s="52">
        <v>214353.4</v>
      </c>
      <c r="D19" s="40" t="s">
        <v>173</v>
      </c>
      <c r="E19" s="40" t="s">
        <v>177</v>
      </c>
      <c r="F19" s="59" t="s">
        <v>251</v>
      </c>
    </row>
    <row r="20" spans="1:6" ht="15" thickBot="1" x14ac:dyDescent="0.35">
      <c r="A20" s="43">
        <v>46035</v>
      </c>
      <c r="B20" s="41" t="s">
        <v>257</v>
      </c>
      <c r="C20" s="52">
        <v>2395028.4</v>
      </c>
      <c r="D20" s="40" t="s">
        <v>174</v>
      </c>
      <c r="E20" s="40" t="s">
        <v>189</v>
      </c>
      <c r="F20" s="59" t="s">
        <v>258</v>
      </c>
    </row>
    <row r="21" spans="1:6" ht="16.5" customHeight="1" thickBot="1" x14ac:dyDescent="0.35">
      <c r="A21" s="43">
        <v>46037</v>
      </c>
      <c r="B21" s="41" t="s">
        <v>259</v>
      </c>
      <c r="C21" s="52">
        <v>45464715</v>
      </c>
      <c r="D21" s="40" t="s">
        <v>174</v>
      </c>
      <c r="E21" s="40" t="s">
        <v>189</v>
      </c>
      <c r="F21" s="59" t="s">
        <v>190</v>
      </c>
    </row>
    <row r="22" spans="1:6" ht="15" thickBot="1" x14ac:dyDescent="0.35">
      <c r="A22" s="43">
        <v>46038</v>
      </c>
      <c r="B22" s="41" t="s">
        <v>260</v>
      </c>
      <c r="C22" s="52">
        <v>59500</v>
      </c>
      <c r="D22" s="40" t="s">
        <v>173</v>
      </c>
      <c r="E22" s="40" t="s">
        <v>177</v>
      </c>
      <c r="F22" s="59" t="s">
        <v>261</v>
      </c>
    </row>
    <row r="23" spans="1:6" ht="16.5" customHeight="1" thickBot="1" x14ac:dyDescent="0.35">
      <c r="A23" s="43">
        <v>46038</v>
      </c>
      <c r="B23" s="41" t="s">
        <v>262</v>
      </c>
      <c r="C23" s="52">
        <v>72600</v>
      </c>
      <c r="D23" s="40" t="s">
        <v>173</v>
      </c>
      <c r="E23" s="40" t="s">
        <v>177</v>
      </c>
      <c r="F23" s="59" t="s">
        <v>249</v>
      </c>
    </row>
    <row r="24" spans="1:6" ht="15" thickBot="1" x14ac:dyDescent="0.35">
      <c r="A24" s="43">
        <v>46038</v>
      </c>
      <c r="B24" s="41" t="s">
        <v>264</v>
      </c>
      <c r="C24" s="52">
        <v>2709743.4</v>
      </c>
      <c r="D24" s="40" t="s">
        <v>173</v>
      </c>
      <c r="E24" s="40" t="s">
        <v>177</v>
      </c>
      <c r="F24" s="59" t="s">
        <v>265</v>
      </c>
    </row>
    <row r="25" spans="1:6" ht="16.5" customHeight="1" thickBot="1" x14ac:dyDescent="0.35">
      <c r="A25" s="43">
        <v>46042</v>
      </c>
      <c r="B25" s="41" t="s">
        <v>267</v>
      </c>
      <c r="C25" s="52">
        <v>540000</v>
      </c>
      <c r="D25" s="40" t="s">
        <v>173</v>
      </c>
      <c r="E25" s="40" t="s">
        <v>182</v>
      </c>
      <c r="F25" s="59" t="s">
        <v>240</v>
      </c>
    </row>
    <row r="26" spans="1:6" ht="16.5" customHeight="1" thickBot="1" x14ac:dyDescent="0.35">
      <c r="A26" s="43">
        <v>46044</v>
      </c>
      <c r="B26" s="41" t="s">
        <v>270</v>
      </c>
      <c r="C26" s="52">
        <v>1000</v>
      </c>
      <c r="D26" s="40" t="s">
        <v>173</v>
      </c>
      <c r="E26" s="40" t="s">
        <v>177</v>
      </c>
      <c r="F26" s="59" t="s">
        <v>271</v>
      </c>
    </row>
    <row r="27" spans="1:6" ht="15" thickBot="1" x14ac:dyDescent="0.35">
      <c r="A27" s="43">
        <v>46044</v>
      </c>
      <c r="B27" s="41" t="s">
        <v>272</v>
      </c>
      <c r="C27" s="52">
        <v>5800000</v>
      </c>
      <c r="D27" s="40" t="s">
        <v>173</v>
      </c>
      <c r="E27" s="40" t="s">
        <v>197</v>
      </c>
      <c r="F27" s="59" t="s">
        <v>273</v>
      </c>
    </row>
    <row r="28" spans="1:6" ht="15" thickBot="1" x14ac:dyDescent="0.35">
      <c r="A28" s="43">
        <v>46045</v>
      </c>
      <c r="B28" s="41" t="s">
        <v>274</v>
      </c>
      <c r="C28" s="52">
        <v>3029583.6</v>
      </c>
      <c r="D28" s="40" t="s">
        <v>174</v>
      </c>
      <c r="E28" s="40" t="s">
        <v>193</v>
      </c>
      <c r="F28" s="59" t="s">
        <v>275</v>
      </c>
    </row>
    <row r="29" spans="1:6" ht="15" thickBot="1" x14ac:dyDescent="0.35">
      <c r="A29" s="43">
        <v>46050</v>
      </c>
      <c r="B29" s="41" t="s">
        <v>278</v>
      </c>
      <c r="C29" s="52">
        <v>506383.35</v>
      </c>
      <c r="D29" s="40" t="s">
        <v>174</v>
      </c>
      <c r="E29" s="40" t="s">
        <v>193</v>
      </c>
      <c r="F29" s="59" t="s">
        <v>194</v>
      </c>
    </row>
    <row r="30" spans="1:6" ht="14.4" thickBot="1" x14ac:dyDescent="0.35">
      <c r="A30" s="44"/>
      <c r="B30" s="45" t="s">
        <v>155</v>
      </c>
      <c r="C30" s="46">
        <f>SUM(C15:C29)</f>
        <v>85455940.549999982</v>
      </c>
      <c r="D30" s="44"/>
      <c r="E30" s="44"/>
    </row>
    <row r="31" spans="1:6" ht="15" thickBot="1" x14ac:dyDescent="0.35">
      <c r="A31" s="43">
        <v>46027</v>
      </c>
      <c r="B31" s="60" t="s">
        <v>243</v>
      </c>
      <c r="C31" s="52">
        <v>667243.4</v>
      </c>
      <c r="D31" s="40" t="s">
        <v>183</v>
      </c>
      <c r="E31" s="40" t="s">
        <v>184</v>
      </c>
      <c r="F31" s="59" t="s">
        <v>244</v>
      </c>
    </row>
    <row r="32" spans="1:6" ht="15" thickBot="1" x14ac:dyDescent="0.35">
      <c r="A32" s="43">
        <v>46028</v>
      </c>
      <c r="B32" s="60" t="s">
        <v>246</v>
      </c>
      <c r="C32" s="52">
        <v>144143.4</v>
      </c>
      <c r="D32" s="40" t="s">
        <v>183</v>
      </c>
      <c r="E32" s="40" t="s">
        <v>184</v>
      </c>
      <c r="F32" s="59" t="s">
        <v>247</v>
      </c>
    </row>
    <row r="33" spans="1:6" ht="15" thickBot="1" x14ac:dyDescent="0.35">
      <c r="A33" s="43">
        <v>46030</v>
      </c>
      <c r="B33" s="60" t="s">
        <v>253</v>
      </c>
      <c r="C33" s="52">
        <v>190533.4</v>
      </c>
      <c r="D33" s="40" t="s">
        <v>183</v>
      </c>
      <c r="E33" s="40" t="s">
        <v>184</v>
      </c>
      <c r="F33" s="59" t="s">
        <v>247</v>
      </c>
    </row>
    <row r="34" spans="1:6" ht="15" thickBot="1" x14ac:dyDescent="0.35">
      <c r="A34" s="43">
        <v>46042</v>
      </c>
      <c r="B34" s="60" t="s">
        <v>266</v>
      </c>
      <c r="C34" s="52">
        <v>72600</v>
      </c>
      <c r="D34" s="40" t="s">
        <v>183</v>
      </c>
      <c r="E34" s="40" t="s">
        <v>184</v>
      </c>
      <c r="F34" s="59" t="s">
        <v>247</v>
      </c>
    </row>
    <row r="35" spans="1:6" ht="15" thickBot="1" x14ac:dyDescent="0.35">
      <c r="A35" s="43">
        <v>46048</v>
      </c>
      <c r="B35" s="60" t="s">
        <v>276</v>
      </c>
      <c r="C35" s="52">
        <v>60500</v>
      </c>
      <c r="D35" s="40" t="s">
        <v>183</v>
      </c>
      <c r="E35" s="40" t="s">
        <v>184</v>
      </c>
      <c r="F35" s="59" t="s">
        <v>247</v>
      </c>
    </row>
    <row r="36" spans="1:6" ht="15" thickBot="1" x14ac:dyDescent="0.35">
      <c r="A36" s="43">
        <v>46048</v>
      </c>
      <c r="B36" s="60" t="s">
        <v>277</v>
      </c>
      <c r="C36" s="52">
        <v>136323.4</v>
      </c>
      <c r="D36" s="40" t="s">
        <v>183</v>
      </c>
      <c r="E36" s="40" t="s">
        <v>184</v>
      </c>
      <c r="F36" s="59" t="s">
        <v>247</v>
      </c>
    </row>
    <row r="37" spans="1:6" ht="14.4" thickBot="1" x14ac:dyDescent="0.35">
      <c r="A37" s="44"/>
      <c r="B37" s="45" t="s">
        <v>152</v>
      </c>
      <c r="C37" s="46">
        <f>SUM(C31:C36)</f>
        <v>1271343.6000000001</v>
      </c>
      <c r="D37" s="44"/>
      <c r="E37" s="44"/>
    </row>
    <row r="38" spans="1:6" ht="15" thickBot="1" x14ac:dyDescent="0.35">
      <c r="A38" s="43">
        <v>46024</v>
      </c>
      <c r="B38" s="40" t="s">
        <v>165</v>
      </c>
      <c r="C38" s="52">
        <v>1000</v>
      </c>
      <c r="D38" s="40" t="s">
        <v>121</v>
      </c>
      <c r="E38" s="40" t="s">
        <v>123</v>
      </c>
    </row>
    <row r="39" spans="1:6" ht="15" thickBot="1" x14ac:dyDescent="0.35">
      <c r="A39" s="43">
        <v>46024</v>
      </c>
      <c r="B39" s="40" t="s">
        <v>166</v>
      </c>
      <c r="C39" s="52">
        <v>627.52</v>
      </c>
      <c r="D39" s="40" t="s">
        <v>121</v>
      </c>
      <c r="E39" s="40" t="s">
        <v>122</v>
      </c>
    </row>
    <row r="40" spans="1:6" ht="15" thickBot="1" x14ac:dyDescent="0.35">
      <c r="A40" s="43">
        <v>46024</v>
      </c>
      <c r="B40" s="40" t="s">
        <v>167</v>
      </c>
      <c r="C40" s="52">
        <v>6000</v>
      </c>
      <c r="D40" s="40" t="s">
        <v>121</v>
      </c>
      <c r="E40" s="40" t="s">
        <v>122</v>
      </c>
    </row>
    <row r="41" spans="1:6" ht="15" thickBot="1" x14ac:dyDescent="0.35">
      <c r="A41" s="43">
        <v>46024</v>
      </c>
      <c r="B41" s="40" t="s">
        <v>166</v>
      </c>
      <c r="C41" s="52">
        <v>6</v>
      </c>
      <c r="D41" s="40" t="s">
        <v>121</v>
      </c>
      <c r="E41" s="40" t="s">
        <v>122</v>
      </c>
    </row>
    <row r="42" spans="1:6" ht="15" thickBot="1" x14ac:dyDescent="0.35">
      <c r="A42" s="43">
        <v>46024</v>
      </c>
      <c r="B42" s="40" t="s">
        <v>117</v>
      </c>
      <c r="C42" s="52">
        <v>8569.35</v>
      </c>
      <c r="D42" s="40" t="s">
        <v>121</v>
      </c>
      <c r="E42" s="40" t="s">
        <v>169</v>
      </c>
    </row>
    <row r="43" spans="1:6" ht="15" thickBot="1" x14ac:dyDescent="0.35">
      <c r="A43" s="43">
        <v>46024</v>
      </c>
      <c r="B43" s="40" t="s">
        <v>163</v>
      </c>
      <c r="C43" s="52">
        <v>1224.19</v>
      </c>
      <c r="D43" s="40" t="s">
        <v>121</v>
      </c>
      <c r="E43" s="40" t="s">
        <v>169</v>
      </c>
    </row>
    <row r="44" spans="1:6" ht="15" thickBot="1" x14ac:dyDescent="0.35">
      <c r="A44" s="43">
        <v>46024</v>
      </c>
      <c r="B44" s="40" t="s">
        <v>164</v>
      </c>
      <c r="C44" s="52">
        <v>1224.19</v>
      </c>
      <c r="D44" s="40" t="s">
        <v>121</v>
      </c>
      <c r="E44" s="40" t="s">
        <v>118</v>
      </c>
    </row>
    <row r="45" spans="1:6" ht="15" thickBot="1" x14ac:dyDescent="0.35">
      <c r="A45" s="43">
        <v>46024</v>
      </c>
      <c r="B45" s="40" t="s">
        <v>166</v>
      </c>
      <c r="C45" s="52">
        <v>310.95</v>
      </c>
      <c r="D45" s="40" t="s">
        <v>121</v>
      </c>
      <c r="E45" s="40" t="s">
        <v>122</v>
      </c>
    </row>
    <row r="46" spans="1:6" ht="15" thickBot="1" x14ac:dyDescent="0.35">
      <c r="A46" s="43">
        <v>46027</v>
      </c>
      <c r="B46" s="40" t="s">
        <v>165</v>
      </c>
      <c r="C46" s="52">
        <v>110.56</v>
      </c>
      <c r="D46" s="40" t="s">
        <v>121</v>
      </c>
      <c r="E46" s="40" t="s">
        <v>123</v>
      </c>
    </row>
    <row r="47" spans="1:6" ht="15" thickBot="1" x14ac:dyDescent="0.35">
      <c r="A47" s="43">
        <v>46027</v>
      </c>
      <c r="B47" s="40" t="s">
        <v>165</v>
      </c>
      <c r="C47" s="52">
        <v>694.73</v>
      </c>
      <c r="D47" s="40" t="s">
        <v>121</v>
      </c>
      <c r="E47" s="40" t="s">
        <v>123</v>
      </c>
    </row>
    <row r="48" spans="1:6" ht="15" thickBot="1" x14ac:dyDescent="0.35">
      <c r="A48" s="43">
        <v>46027</v>
      </c>
      <c r="B48" s="40" t="s">
        <v>117</v>
      </c>
      <c r="C48" s="52">
        <v>3179.61</v>
      </c>
      <c r="D48" s="40" t="s">
        <v>121</v>
      </c>
      <c r="E48" s="40" t="s">
        <v>169</v>
      </c>
    </row>
    <row r="49" spans="1:5" ht="15" thickBot="1" x14ac:dyDescent="0.35">
      <c r="A49" s="43">
        <v>46027</v>
      </c>
      <c r="B49" s="40" t="s">
        <v>163</v>
      </c>
      <c r="C49" s="52">
        <v>454.23</v>
      </c>
      <c r="D49" s="40" t="s">
        <v>121</v>
      </c>
      <c r="E49" s="40" t="s">
        <v>169</v>
      </c>
    </row>
    <row r="50" spans="1:5" ht="15" thickBot="1" x14ac:dyDescent="0.35">
      <c r="A50" s="43">
        <v>46027</v>
      </c>
      <c r="B50" s="40" t="s">
        <v>164</v>
      </c>
      <c r="C50" s="52">
        <v>454.23</v>
      </c>
      <c r="D50" s="40" t="s">
        <v>121</v>
      </c>
      <c r="E50" s="40" t="s">
        <v>118</v>
      </c>
    </row>
    <row r="51" spans="1:5" ht="15" thickBot="1" x14ac:dyDescent="0.35">
      <c r="A51" s="43">
        <v>46027</v>
      </c>
      <c r="B51" s="40" t="s">
        <v>117</v>
      </c>
      <c r="C51" s="52">
        <v>39745.129999999997</v>
      </c>
      <c r="D51" s="40" t="s">
        <v>121</v>
      </c>
      <c r="E51" s="40" t="s">
        <v>169</v>
      </c>
    </row>
    <row r="52" spans="1:5" ht="15" thickBot="1" x14ac:dyDescent="0.35">
      <c r="A52" s="43">
        <v>46027</v>
      </c>
      <c r="B52" s="40" t="s">
        <v>163</v>
      </c>
      <c r="C52" s="52">
        <v>5677.88</v>
      </c>
      <c r="D52" s="40" t="s">
        <v>121</v>
      </c>
      <c r="E52" s="40" t="s">
        <v>169</v>
      </c>
    </row>
    <row r="53" spans="1:5" ht="15" thickBot="1" x14ac:dyDescent="0.35">
      <c r="A53" s="43">
        <v>46027</v>
      </c>
      <c r="B53" s="40" t="s">
        <v>164</v>
      </c>
      <c r="C53" s="52">
        <v>5677.88</v>
      </c>
      <c r="D53" s="40" t="s">
        <v>121</v>
      </c>
      <c r="E53" s="40" t="s">
        <v>118</v>
      </c>
    </row>
    <row r="54" spans="1:5" ht="15" thickBot="1" x14ac:dyDescent="0.35">
      <c r="A54" s="43">
        <v>46027</v>
      </c>
      <c r="B54" s="40" t="s">
        <v>166</v>
      </c>
      <c r="C54" s="52">
        <v>157730.28</v>
      </c>
      <c r="D54" s="40" t="s">
        <v>121</v>
      </c>
      <c r="E54" s="40" t="s">
        <v>122</v>
      </c>
    </row>
    <row r="55" spans="1:5" ht="15" thickBot="1" x14ac:dyDescent="0.35">
      <c r="A55" s="43">
        <v>46027</v>
      </c>
      <c r="B55" s="40" t="s">
        <v>167</v>
      </c>
      <c r="C55" s="52">
        <v>4831.74</v>
      </c>
      <c r="D55" s="40" t="s">
        <v>121</v>
      </c>
      <c r="E55" s="40" t="s">
        <v>122</v>
      </c>
    </row>
    <row r="56" spans="1:5" ht="15" thickBot="1" x14ac:dyDescent="0.35">
      <c r="A56" s="43">
        <v>46027</v>
      </c>
      <c r="B56" s="40" t="s">
        <v>166</v>
      </c>
      <c r="C56" s="52">
        <v>4.83</v>
      </c>
      <c r="D56" s="40" t="s">
        <v>121</v>
      </c>
      <c r="E56" s="40" t="s">
        <v>122</v>
      </c>
    </row>
    <row r="57" spans="1:5" ht="15" thickBot="1" x14ac:dyDescent="0.35">
      <c r="A57" s="43">
        <v>46028</v>
      </c>
      <c r="B57" s="40" t="s">
        <v>166</v>
      </c>
      <c r="C57" s="52">
        <v>864.86</v>
      </c>
      <c r="D57" s="40" t="s">
        <v>121</v>
      </c>
      <c r="E57" s="40" t="s">
        <v>122</v>
      </c>
    </row>
    <row r="58" spans="1:5" ht="15" thickBot="1" x14ac:dyDescent="0.35">
      <c r="A58" s="43">
        <v>46029</v>
      </c>
      <c r="B58" s="40" t="s">
        <v>165</v>
      </c>
      <c r="C58" s="52">
        <v>2198.84</v>
      </c>
      <c r="D58" s="40" t="s">
        <v>121</v>
      </c>
      <c r="E58" s="40" t="s">
        <v>123</v>
      </c>
    </row>
    <row r="59" spans="1:5" ht="15" thickBot="1" x14ac:dyDescent="0.35">
      <c r="A59" s="43">
        <v>46029</v>
      </c>
      <c r="B59" s="40" t="s">
        <v>165</v>
      </c>
      <c r="C59" s="52">
        <v>1252.6199999999999</v>
      </c>
      <c r="D59" s="40" t="s">
        <v>121</v>
      </c>
      <c r="E59" s="40" t="s">
        <v>123</v>
      </c>
    </row>
    <row r="60" spans="1:5" ht="15" thickBot="1" x14ac:dyDescent="0.35">
      <c r="A60" s="43">
        <v>46029</v>
      </c>
      <c r="B60" s="40" t="s">
        <v>166</v>
      </c>
      <c r="C60" s="52">
        <v>1721.72</v>
      </c>
      <c r="D60" s="40" t="s">
        <v>121</v>
      </c>
      <c r="E60" s="40" t="s">
        <v>122</v>
      </c>
    </row>
    <row r="61" spans="1:5" ht="15" thickBot="1" x14ac:dyDescent="0.35">
      <c r="A61" s="43">
        <v>46029</v>
      </c>
      <c r="B61" s="40" t="s">
        <v>167</v>
      </c>
      <c r="C61" s="52">
        <v>20708.759999999998</v>
      </c>
      <c r="D61" s="40" t="s">
        <v>121</v>
      </c>
      <c r="E61" s="40" t="s">
        <v>122</v>
      </c>
    </row>
    <row r="62" spans="1:5" ht="15" thickBot="1" x14ac:dyDescent="0.35">
      <c r="A62" s="43">
        <v>46029</v>
      </c>
      <c r="B62" s="40" t="s">
        <v>166</v>
      </c>
      <c r="C62" s="52">
        <v>20.71</v>
      </c>
      <c r="D62" s="40" t="s">
        <v>121</v>
      </c>
      <c r="E62" s="40" t="s">
        <v>122</v>
      </c>
    </row>
    <row r="63" spans="1:5" ht="15" thickBot="1" x14ac:dyDescent="0.35">
      <c r="A63" s="43">
        <v>46030</v>
      </c>
      <c r="B63" s="40" t="s">
        <v>165</v>
      </c>
      <c r="C63" s="52">
        <v>3146.36</v>
      </c>
      <c r="D63" s="40" t="s">
        <v>121</v>
      </c>
      <c r="E63" s="40" t="s">
        <v>123</v>
      </c>
    </row>
    <row r="64" spans="1:5" ht="15" thickBot="1" x14ac:dyDescent="0.35">
      <c r="A64" s="43">
        <v>46030</v>
      </c>
      <c r="B64" s="40" t="s">
        <v>252</v>
      </c>
      <c r="C64" s="52">
        <v>42869.35</v>
      </c>
      <c r="D64" s="40" t="s">
        <v>121</v>
      </c>
      <c r="E64" s="40" t="s">
        <v>151</v>
      </c>
    </row>
    <row r="65" spans="1:5" ht="15" thickBot="1" x14ac:dyDescent="0.35">
      <c r="A65" s="43">
        <v>46030</v>
      </c>
      <c r="B65" s="40" t="s">
        <v>192</v>
      </c>
      <c r="C65" s="52">
        <v>75211.55</v>
      </c>
      <c r="D65" s="40" t="s">
        <v>121</v>
      </c>
      <c r="E65" s="40" t="s">
        <v>142</v>
      </c>
    </row>
    <row r="66" spans="1:5" ht="15" thickBot="1" x14ac:dyDescent="0.35">
      <c r="A66" s="43">
        <v>46030</v>
      </c>
      <c r="B66" s="40" t="s">
        <v>168</v>
      </c>
      <c r="C66" s="52">
        <v>1382424.25</v>
      </c>
      <c r="D66" s="40" t="s">
        <v>121</v>
      </c>
      <c r="E66" s="40" t="s">
        <v>170</v>
      </c>
    </row>
    <row r="67" spans="1:5" ht="15" thickBot="1" x14ac:dyDescent="0.35">
      <c r="A67" s="43">
        <v>46030</v>
      </c>
      <c r="B67" s="40" t="s">
        <v>166</v>
      </c>
      <c r="C67" s="52">
        <v>10146.23</v>
      </c>
      <c r="D67" s="40" t="s">
        <v>121</v>
      </c>
      <c r="E67" s="40" t="s">
        <v>122</v>
      </c>
    </row>
    <row r="68" spans="1:5" ht="15" thickBot="1" x14ac:dyDescent="0.35">
      <c r="A68" s="43">
        <v>46030</v>
      </c>
      <c r="B68" s="40" t="s">
        <v>167</v>
      </c>
      <c r="C68" s="52">
        <v>18896.16</v>
      </c>
      <c r="D68" s="40" t="s">
        <v>121</v>
      </c>
      <c r="E68" s="40" t="s">
        <v>122</v>
      </c>
    </row>
    <row r="69" spans="1:5" ht="15" thickBot="1" x14ac:dyDescent="0.35">
      <c r="A69" s="43">
        <v>46030</v>
      </c>
      <c r="B69" s="40" t="s">
        <v>166</v>
      </c>
      <c r="C69" s="52">
        <v>18.899999999999999</v>
      </c>
      <c r="D69" s="40" t="s">
        <v>121</v>
      </c>
      <c r="E69" s="40" t="s">
        <v>122</v>
      </c>
    </row>
    <row r="70" spans="1:5" ht="15" thickBot="1" x14ac:dyDescent="0.35">
      <c r="A70" s="43">
        <v>46031</v>
      </c>
      <c r="B70" s="40" t="s">
        <v>165</v>
      </c>
      <c r="C70" s="52">
        <v>4463.32</v>
      </c>
      <c r="D70" s="40" t="s">
        <v>121</v>
      </c>
      <c r="E70" s="40" t="s">
        <v>123</v>
      </c>
    </row>
    <row r="71" spans="1:5" ht="15" thickBot="1" x14ac:dyDescent="0.35">
      <c r="A71" s="43">
        <v>46031</v>
      </c>
      <c r="B71" s="40" t="s">
        <v>165</v>
      </c>
      <c r="C71" s="52">
        <v>9.31</v>
      </c>
      <c r="D71" s="40" t="s">
        <v>121</v>
      </c>
      <c r="E71" s="40" t="s">
        <v>123</v>
      </c>
    </row>
    <row r="72" spans="1:5" ht="15" thickBot="1" x14ac:dyDescent="0.35">
      <c r="A72" s="43">
        <v>46031</v>
      </c>
      <c r="B72" s="40" t="s">
        <v>167</v>
      </c>
      <c r="C72" s="52">
        <v>26835.73</v>
      </c>
      <c r="D72" s="40" t="s">
        <v>121</v>
      </c>
      <c r="E72" s="40" t="s">
        <v>122</v>
      </c>
    </row>
    <row r="73" spans="1:5" ht="15" thickBot="1" x14ac:dyDescent="0.35">
      <c r="A73" s="43">
        <v>46031</v>
      </c>
      <c r="B73" s="40" t="s">
        <v>166</v>
      </c>
      <c r="C73" s="52">
        <v>26.84</v>
      </c>
      <c r="D73" s="40" t="s">
        <v>121</v>
      </c>
      <c r="E73" s="40" t="s">
        <v>122</v>
      </c>
    </row>
    <row r="74" spans="1:5" ht="15" thickBot="1" x14ac:dyDescent="0.35">
      <c r="A74" s="43">
        <v>46034</v>
      </c>
      <c r="B74" s="40" t="s">
        <v>165</v>
      </c>
      <c r="C74" s="52">
        <v>1922.7</v>
      </c>
      <c r="D74" s="40" t="s">
        <v>121</v>
      </c>
      <c r="E74" s="40" t="s">
        <v>123</v>
      </c>
    </row>
    <row r="75" spans="1:5" ht="15" thickBot="1" x14ac:dyDescent="0.35">
      <c r="A75" s="43">
        <v>46034</v>
      </c>
      <c r="B75" s="40" t="s">
        <v>165</v>
      </c>
      <c r="C75" s="52">
        <v>3398.32</v>
      </c>
      <c r="D75" s="40" t="s">
        <v>121</v>
      </c>
      <c r="E75" s="40" t="s">
        <v>123</v>
      </c>
    </row>
    <row r="76" spans="1:5" ht="15" thickBot="1" x14ac:dyDescent="0.35">
      <c r="A76" s="43">
        <v>46034</v>
      </c>
      <c r="B76" s="40" t="s">
        <v>168</v>
      </c>
      <c r="C76" s="52">
        <v>195072.29</v>
      </c>
      <c r="D76" s="40" t="s">
        <v>121</v>
      </c>
      <c r="E76" s="40" t="s">
        <v>170</v>
      </c>
    </row>
    <row r="77" spans="1:5" ht="15" thickBot="1" x14ac:dyDescent="0.35">
      <c r="A77" s="43">
        <v>46034</v>
      </c>
      <c r="B77" s="40" t="s">
        <v>195</v>
      </c>
      <c r="C77" s="52">
        <v>18802.89</v>
      </c>
      <c r="D77" s="40" t="s">
        <v>121</v>
      </c>
      <c r="E77" s="40" t="s">
        <v>150</v>
      </c>
    </row>
    <row r="78" spans="1:5" ht="15" thickBot="1" x14ac:dyDescent="0.35">
      <c r="A78" s="43">
        <v>46034</v>
      </c>
      <c r="B78" s="40" t="s">
        <v>165</v>
      </c>
      <c r="C78" s="52">
        <v>4057.56</v>
      </c>
      <c r="D78" s="40" t="s">
        <v>121</v>
      </c>
      <c r="E78" s="40" t="s">
        <v>123</v>
      </c>
    </row>
    <row r="79" spans="1:5" ht="15" thickBot="1" x14ac:dyDescent="0.35">
      <c r="A79" s="43">
        <v>46034</v>
      </c>
      <c r="B79" s="40" t="s">
        <v>166</v>
      </c>
      <c r="C79" s="52">
        <v>2586.73</v>
      </c>
      <c r="D79" s="40" t="s">
        <v>121</v>
      </c>
      <c r="E79" s="40" t="s">
        <v>122</v>
      </c>
    </row>
    <row r="80" spans="1:5" ht="15" thickBot="1" x14ac:dyDescent="0.35">
      <c r="A80" s="43">
        <v>46034</v>
      </c>
      <c r="B80" s="40" t="s">
        <v>167</v>
      </c>
      <c r="C80" s="52">
        <v>56271.46</v>
      </c>
      <c r="D80" s="40" t="s">
        <v>121</v>
      </c>
      <c r="E80" s="40" t="s">
        <v>122</v>
      </c>
    </row>
    <row r="81" spans="1:5" ht="15" thickBot="1" x14ac:dyDescent="0.35">
      <c r="A81" s="43">
        <v>46034</v>
      </c>
      <c r="B81" s="40" t="s">
        <v>166</v>
      </c>
      <c r="C81" s="52">
        <v>56.27</v>
      </c>
      <c r="D81" s="40" t="s">
        <v>121</v>
      </c>
      <c r="E81" s="40" t="s">
        <v>122</v>
      </c>
    </row>
    <row r="82" spans="1:5" ht="15" thickBot="1" x14ac:dyDescent="0.35">
      <c r="A82" s="43">
        <v>46035</v>
      </c>
      <c r="B82" s="40" t="s">
        <v>166</v>
      </c>
      <c r="C82" s="52">
        <v>14370.17</v>
      </c>
      <c r="D82" s="40" t="s">
        <v>121</v>
      </c>
      <c r="E82" s="40" t="s">
        <v>122</v>
      </c>
    </row>
    <row r="83" spans="1:5" ht="15" thickBot="1" x14ac:dyDescent="0.35">
      <c r="A83" s="43">
        <v>46036</v>
      </c>
      <c r="B83" s="40" t="s">
        <v>166</v>
      </c>
      <c r="C83" s="52">
        <v>448.32</v>
      </c>
      <c r="D83" s="40" t="s">
        <v>121</v>
      </c>
      <c r="E83" s="40" t="s">
        <v>122</v>
      </c>
    </row>
    <row r="84" spans="1:5" ht="15" thickBot="1" x14ac:dyDescent="0.35">
      <c r="A84" s="43">
        <v>46037</v>
      </c>
      <c r="B84" s="40" t="s">
        <v>117</v>
      </c>
      <c r="C84" s="52">
        <v>3120.13</v>
      </c>
      <c r="D84" s="40" t="s">
        <v>121</v>
      </c>
      <c r="E84" s="40" t="s">
        <v>169</v>
      </c>
    </row>
    <row r="85" spans="1:5" ht="15" thickBot="1" x14ac:dyDescent="0.35">
      <c r="A85" s="43">
        <v>46037</v>
      </c>
      <c r="B85" s="40" t="s">
        <v>163</v>
      </c>
      <c r="C85" s="52">
        <v>445.73</v>
      </c>
      <c r="D85" s="40" t="s">
        <v>121</v>
      </c>
      <c r="E85" s="40" t="s">
        <v>169</v>
      </c>
    </row>
    <row r="86" spans="1:5" ht="15" thickBot="1" x14ac:dyDescent="0.35">
      <c r="A86" s="43">
        <v>46037</v>
      </c>
      <c r="B86" s="40" t="s">
        <v>164</v>
      </c>
      <c r="C86" s="52">
        <v>445.73</v>
      </c>
      <c r="D86" s="40" t="s">
        <v>121</v>
      </c>
      <c r="E86" s="40" t="s">
        <v>118</v>
      </c>
    </row>
    <row r="87" spans="1:5" ht="15" thickBot="1" x14ac:dyDescent="0.35">
      <c r="A87" s="43">
        <v>46037</v>
      </c>
      <c r="B87" s="40" t="s">
        <v>117</v>
      </c>
      <c r="C87" s="52">
        <v>39001.589999999997</v>
      </c>
      <c r="D87" s="40" t="s">
        <v>121</v>
      </c>
      <c r="E87" s="40" t="s">
        <v>169</v>
      </c>
    </row>
    <row r="88" spans="1:5" ht="15" thickBot="1" x14ac:dyDescent="0.35">
      <c r="A88" s="43">
        <v>46037</v>
      </c>
      <c r="B88" s="40" t="s">
        <v>163</v>
      </c>
      <c r="C88" s="52">
        <v>5571.66</v>
      </c>
      <c r="D88" s="40" t="s">
        <v>121</v>
      </c>
      <c r="E88" s="40" t="s">
        <v>169</v>
      </c>
    </row>
    <row r="89" spans="1:5" ht="15" thickBot="1" x14ac:dyDescent="0.35">
      <c r="A89" s="43">
        <v>46037</v>
      </c>
      <c r="B89" s="40" t="s">
        <v>164</v>
      </c>
      <c r="C89" s="52">
        <v>5571.76</v>
      </c>
      <c r="D89" s="40" t="s">
        <v>121</v>
      </c>
      <c r="E89" s="40" t="s">
        <v>118</v>
      </c>
    </row>
    <row r="90" spans="1:5" ht="15" thickBot="1" x14ac:dyDescent="0.35">
      <c r="A90" s="43">
        <v>46037</v>
      </c>
      <c r="B90" s="40" t="s">
        <v>166</v>
      </c>
      <c r="C90" s="52">
        <v>274316.71000000002</v>
      </c>
      <c r="D90" s="40" t="s">
        <v>121</v>
      </c>
      <c r="E90" s="40" t="s">
        <v>122</v>
      </c>
    </row>
    <row r="91" spans="1:5" ht="15" thickBot="1" x14ac:dyDescent="0.35">
      <c r="A91" s="43">
        <v>46038</v>
      </c>
      <c r="B91" s="40" t="s">
        <v>165</v>
      </c>
      <c r="C91" s="52">
        <v>1600.17</v>
      </c>
      <c r="D91" s="40" t="s">
        <v>121</v>
      </c>
      <c r="E91" s="40" t="s">
        <v>123</v>
      </c>
    </row>
    <row r="92" spans="1:5" ht="15" thickBot="1" x14ac:dyDescent="0.35">
      <c r="A92" s="43">
        <v>46038</v>
      </c>
      <c r="B92" s="40" t="s">
        <v>165</v>
      </c>
      <c r="C92" s="52">
        <v>500</v>
      </c>
      <c r="D92" s="40" t="s">
        <v>121</v>
      </c>
      <c r="E92" s="40" t="s">
        <v>123</v>
      </c>
    </row>
    <row r="93" spans="1:5" ht="15" thickBot="1" x14ac:dyDescent="0.35">
      <c r="A93" s="43">
        <v>46038</v>
      </c>
      <c r="B93" s="40" t="s">
        <v>166</v>
      </c>
      <c r="C93" s="52">
        <v>17701.72</v>
      </c>
      <c r="D93" s="40" t="s">
        <v>121</v>
      </c>
      <c r="E93" s="40" t="s">
        <v>122</v>
      </c>
    </row>
    <row r="94" spans="1:5" ht="15" thickBot="1" x14ac:dyDescent="0.35">
      <c r="A94" s="43">
        <v>46038</v>
      </c>
      <c r="B94" s="40" t="s">
        <v>167</v>
      </c>
      <c r="C94" s="52">
        <v>12601.04</v>
      </c>
      <c r="D94" s="40" t="s">
        <v>121</v>
      </c>
      <c r="E94" s="40" t="s">
        <v>122</v>
      </c>
    </row>
    <row r="95" spans="1:5" ht="15" thickBot="1" x14ac:dyDescent="0.35">
      <c r="A95" s="43">
        <v>46038</v>
      </c>
      <c r="B95" s="40" t="s">
        <v>166</v>
      </c>
      <c r="C95" s="52">
        <v>12.6</v>
      </c>
      <c r="D95" s="40" t="s">
        <v>121</v>
      </c>
      <c r="E95" s="40" t="s">
        <v>122</v>
      </c>
    </row>
    <row r="96" spans="1:5" ht="15" thickBot="1" x14ac:dyDescent="0.35">
      <c r="A96" s="43">
        <v>46041</v>
      </c>
      <c r="B96" s="40" t="s">
        <v>165</v>
      </c>
      <c r="C96" s="52">
        <v>1455.01</v>
      </c>
      <c r="D96" s="40" t="s">
        <v>121</v>
      </c>
      <c r="E96" s="40" t="s">
        <v>123</v>
      </c>
    </row>
    <row r="97" spans="1:5" ht="15" thickBot="1" x14ac:dyDescent="0.35">
      <c r="A97" s="43">
        <v>46041</v>
      </c>
      <c r="B97" s="40" t="s">
        <v>165</v>
      </c>
      <c r="C97" s="52">
        <v>1455.01</v>
      </c>
      <c r="D97" s="40" t="s">
        <v>121</v>
      </c>
      <c r="E97" s="40" t="s">
        <v>123</v>
      </c>
    </row>
    <row r="98" spans="1:5" ht="15" thickBot="1" x14ac:dyDescent="0.35">
      <c r="A98" s="43">
        <v>46041</v>
      </c>
      <c r="B98" s="40" t="s">
        <v>165</v>
      </c>
      <c r="C98" s="52">
        <v>3270.4</v>
      </c>
      <c r="D98" s="40" t="s">
        <v>121</v>
      </c>
      <c r="E98" s="40" t="s">
        <v>123</v>
      </c>
    </row>
    <row r="99" spans="1:5" ht="15" thickBot="1" x14ac:dyDescent="0.35">
      <c r="A99" s="43">
        <v>46041</v>
      </c>
      <c r="B99" s="40" t="s">
        <v>165</v>
      </c>
      <c r="C99" s="52">
        <v>2321</v>
      </c>
      <c r="D99" s="40" t="s">
        <v>121</v>
      </c>
      <c r="E99" s="40" t="s">
        <v>123</v>
      </c>
    </row>
    <row r="100" spans="1:5" ht="15" thickBot="1" x14ac:dyDescent="0.35">
      <c r="A100" s="43">
        <v>46041</v>
      </c>
      <c r="B100" s="40" t="s">
        <v>167</v>
      </c>
      <c r="C100" s="52">
        <v>51026.48</v>
      </c>
      <c r="D100" s="40" t="s">
        <v>121</v>
      </c>
      <c r="E100" s="40" t="s">
        <v>122</v>
      </c>
    </row>
    <row r="101" spans="1:5" ht="15" thickBot="1" x14ac:dyDescent="0.35">
      <c r="A101" s="43">
        <v>46041</v>
      </c>
      <c r="B101" s="40" t="s">
        <v>166</v>
      </c>
      <c r="C101" s="52">
        <v>51.03</v>
      </c>
      <c r="D101" s="40" t="s">
        <v>121</v>
      </c>
      <c r="E101" s="40" t="s">
        <v>122</v>
      </c>
    </row>
    <row r="102" spans="1:5" ht="15" thickBot="1" x14ac:dyDescent="0.35">
      <c r="A102" s="43">
        <v>46042</v>
      </c>
      <c r="B102" s="40" t="s">
        <v>165</v>
      </c>
      <c r="C102" s="52">
        <v>443.16</v>
      </c>
      <c r="D102" s="40" t="s">
        <v>121</v>
      </c>
      <c r="E102" s="40" t="s">
        <v>123</v>
      </c>
    </row>
    <row r="103" spans="1:5" ht="15" thickBot="1" x14ac:dyDescent="0.35">
      <c r="A103" s="43">
        <v>46042</v>
      </c>
      <c r="B103" s="40" t="s">
        <v>165</v>
      </c>
      <c r="C103" s="52">
        <v>49.38</v>
      </c>
      <c r="D103" s="40" t="s">
        <v>121</v>
      </c>
      <c r="E103" s="40" t="s">
        <v>123</v>
      </c>
    </row>
    <row r="104" spans="1:5" ht="15" thickBot="1" x14ac:dyDescent="0.35">
      <c r="A104" s="43">
        <v>46042</v>
      </c>
      <c r="B104" s="40" t="s">
        <v>168</v>
      </c>
      <c r="C104" s="52">
        <v>55797.599999999999</v>
      </c>
      <c r="D104" s="40" t="s">
        <v>121</v>
      </c>
      <c r="E104" s="40" t="s">
        <v>170</v>
      </c>
    </row>
    <row r="105" spans="1:5" ht="15" thickBot="1" x14ac:dyDescent="0.35">
      <c r="A105" s="43">
        <v>46042</v>
      </c>
      <c r="B105" s="40" t="s">
        <v>168</v>
      </c>
      <c r="C105" s="52">
        <v>3488890.64</v>
      </c>
      <c r="D105" s="40" t="s">
        <v>121</v>
      </c>
      <c r="E105" s="40" t="s">
        <v>170</v>
      </c>
    </row>
    <row r="106" spans="1:5" ht="15" thickBot="1" x14ac:dyDescent="0.35">
      <c r="A106" s="43">
        <v>46042</v>
      </c>
      <c r="B106" s="40" t="s">
        <v>166</v>
      </c>
      <c r="C106" s="52">
        <v>24943.73</v>
      </c>
      <c r="D106" s="40" t="s">
        <v>121</v>
      </c>
      <c r="E106" s="40" t="s">
        <v>122</v>
      </c>
    </row>
    <row r="107" spans="1:5" ht="15" thickBot="1" x14ac:dyDescent="0.35">
      <c r="A107" s="43">
        <v>46042</v>
      </c>
      <c r="B107" s="40" t="s">
        <v>167</v>
      </c>
      <c r="C107" s="52">
        <v>2955.19</v>
      </c>
      <c r="D107" s="40" t="s">
        <v>121</v>
      </c>
      <c r="E107" s="40" t="s">
        <v>122</v>
      </c>
    </row>
    <row r="108" spans="1:5" ht="15" thickBot="1" x14ac:dyDescent="0.35">
      <c r="A108" s="43">
        <v>46042</v>
      </c>
      <c r="B108" s="40" t="s">
        <v>166</v>
      </c>
      <c r="C108" s="52">
        <v>2.96</v>
      </c>
      <c r="D108" s="40" t="s">
        <v>121</v>
      </c>
      <c r="E108" s="40" t="s">
        <v>122</v>
      </c>
    </row>
    <row r="109" spans="1:5" ht="15" thickBot="1" x14ac:dyDescent="0.35">
      <c r="A109" s="43">
        <v>46043</v>
      </c>
      <c r="B109" s="40" t="s">
        <v>165</v>
      </c>
      <c r="C109" s="52">
        <v>9.25</v>
      </c>
      <c r="D109" s="40" t="s">
        <v>121</v>
      </c>
      <c r="E109" s="40" t="s">
        <v>123</v>
      </c>
    </row>
    <row r="110" spans="1:5" ht="15" thickBot="1" x14ac:dyDescent="0.35">
      <c r="A110" s="43">
        <v>46043</v>
      </c>
      <c r="B110" s="40" t="s">
        <v>166</v>
      </c>
      <c r="C110" s="52">
        <v>9865.9599999999991</v>
      </c>
      <c r="D110" s="40" t="s">
        <v>121</v>
      </c>
      <c r="E110" s="40" t="s">
        <v>122</v>
      </c>
    </row>
    <row r="111" spans="1:5" ht="15" thickBot="1" x14ac:dyDescent="0.35">
      <c r="A111" s="43">
        <v>46043</v>
      </c>
      <c r="B111" s="40" t="s">
        <v>167</v>
      </c>
      <c r="C111" s="52">
        <v>55.47</v>
      </c>
      <c r="D111" s="40" t="s">
        <v>121</v>
      </c>
      <c r="E111" s="40" t="s">
        <v>122</v>
      </c>
    </row>
    <row r="112" spans="1:5" ht="15" thickBot="1" x14ac:dyDescent="0.35">
      <c r="A112" s="43">
        <v>46043</v>
      </c>
      <c r="B112" s="40" t="s">
        <v>166</v>
      </c>
      <c r="C112" s="52">
        <v>0.06</v>
      </c>
      <c r="D112" s="40" t="s">
        <v>121</v>
      </c>
      <c r="E112" s="40" t="s">
        <v>122</v>
      </c>
    </row>
    <row r="113" spans="1:5" ht="15" thickBot="1" x14ac:dyDescent="0.35">
      <c r="A113" s="43">
        <v>46044</v>
      </c>
      <c r="B113" s="40" t="s">
        <v>165</v>
      </c>
      <c r="C113" s="52">
        <v>1800</v>
      </c>
      <c r="D113" s="40" t="s">
        <v>121</v>
      </c>
      <c r="E113" s="40" t="s">
        <v>123</v>
      </c>
    </row>
    <row r="114" spans="1:5" ht="15" thickBot="1" x14ac:dyDescent="0.35">
      <c r="A114" s="43">
        <v>46044</v>
      </c>
      <c r="B114" s="40" t="s">
        <v>117</v>
      </c>
      <c r="C114" s="52">
        <v>210</v>
      </c>
      <c r="D114" s="40" t="s">
        <v>121</v>
      </c>
      <c r="E114" s="40" t="s">
        <v>169</v>
      </c>
    </row>
    <row r="115" spans="1:5" ht="15" thickBot="1" x14ac:dyDescent="0.35">
      <c r="A115" s="43">
        <v>46044</v>
      </c>
      <c r="B115" s="40" t="s">
        <v>165</v>
      </c>
      <c r="C115" s="52">
        <v>1000</v>
      </c>
      <c r="D115" s="40" t="s">
        <v>121</v>
      </c>
      <c r="E115" s="40" t="s">
        <v>123</v>
      </c>
    </row>
    <row r="116" spans="1:5" ht="15" thickBot="1" x14ac:dyDescent="0.35">
      <c r="A116" s="43">
        <v>46044</v>
      </c>
      <c r="B116" s="40" t="s">
        <v>166</v>
      </c>
      <c r="C116" s="52">
        <v>34807.26</v>
      </c>
      <c r="D116" s="40" t="s">
        <v>121</v>
      </c>
      <c r="E116" s="40" t="s">
        <v>122</v>
      </c>
    </row>
    <row r="117" spans="1:5" ht="15" thickBot="1" x14ac:dyDescent="0.35">
      <c r="A117" s="43">
        <v>46044</v>
      </c>
      <c r="B117" s="40" t="s">
        <v>167</v>
      </c>
      <c r="C117" s="52">
        <v>16800</v>
      </c>
      <c r="D117" s="40" t="s">
        <v>121</v>
      </c>
      <c r="E117" s="40" t="s">
        <v>122</v>
      </c>
    </row>
    <row r="118" spans="1:5" ht="15" thickBot="1" x14ac:dyDescent="0.35">
      <c r="A118" s="43">
        <v>46044</v>
      </c>
      <c r="B118" s="40" t="s">
        <v>166</v>
      </c>
      <c r="C118" s="52">
        <v>16.8</v>
      </c>
      <c r="D118" s="40" t="s">
        <v>121</v>
      </c>
      <c r="E118" s="40" t="s">
        <v>122</v>
      </c>
    </row>
    <row r="119" spans="1:5" ht="15" thickBot="1" x14ac:dyDescent="0.35">
      <c r="A119" s="43">
        <v>46045</v>
      </c>
      <c r="B119" s="40" t="s">
        <v>117</v>
      </c>
      <c r="C119" s="52">
        <v>210</v>
      </c>
      <c r="D119" s="40" t="s">
        <v>121</v>
      </c>
      <c r="E119" s="40" t="s">
        <v>169</v>
      </c>
    </row>
    <row r="120" spans="1:5" ht="15" thickBot="1" x14ac:dyDescent="0.35">
      <c r="A120" s="43">
        <v>46045</v>
      </c>
      <c r="B120" s="40" t="s">
        <v>168</v>
      </c>
      <c r="C120" s="52">
        <v>37502000</v>
      </c>
      <c r="D120" s="40" t="s">
        <v>121</v>
      </c>
      <c r="E120" s="40" t="s">
        <v>170</v>
      </c>
    </row>
    <row r="121" spans="1:5" ht="15" thickBot="1" x14ac:dyDescent="0.35">
      <c r="A121" s="43">
        <v>46045</v>
      </c>
      <c r="B121" s="40" t="s">
        <v>165</v>
      </c>
      <c r="C121" s="52">
        <v>2000</v>
      </c>
      <c r="D121" s="40" t="s">
        <v>121</v>
      </c>
      <c r="E121" s="40" t="s">
        <v>123</v>
      </c>
    </row>
    <row r="122" spans="1:5" ht="15" thickBot="1" x14ac:dyDescent="0.35">
      <c r="A122" s="43">
        <v>46045</v>
      </c>
      <c r="B122" s="40" t="s">
        <v>166</v>
      </c>
      <c r="C122" s="52">
        <v>243196.76</v>
      </c>
      <c r="D122" s="40" t="s">
        <v>121</v>
      </c>
      <c r="E122" s="40" t="s">
        <v>122</v>
      </c>
    </row>
    <row r="123" spans="1:5" ht="15" thickBot="1" x14ac:dyDescent="0.35">
      <c r="A123" s="43">
        <v>46045</v>
      </c>
      <c r="B123" s="40" t="s">
        <v>167</v>
      </c>
      <c r="C123" s="52">
        <v>12000</v>
      </c>
      <c r="D123" s="40" t="s">
        <v>121</v>
      </c>
      <c r="E123" s="40" t="s">
        <v>122</v>
      </c>
    </row>
    <row r="124" spans="1:5" ht="15" thickBot="1" x14ac:dyDescent="0.35">
      <c r="A124" s="43">
        <v>46045</v>
      </c>
      <c r="B124" s="40" t="s">
        <v>166</v>
      </c>
      <c r="C124" s="52">
        <v>12</v>
      </c>
      <c r="D124" s="40" t="s">
        <v>121</v>
      </c>
      <c r="E124" s="40" t="s">
        <v>122</v>
      </c>
    </row>
    <row r="125" spans="1:5" ht="15" thickBot="1" x14ac:dyDescent="0.35">
      <c r="A125" s="43">
        <v>46048</v>
      </c>
      <c r="B125" s="40" t="s">
        <v>165</v>
      </c>
      <c r="C125" s="52">
        <v>6898.03</v>
      </c>
      <c r="D125" s="40" t="s">
        <v>121</v>
      </c>
      <c r="E125" s="40" t="s">
        <v>123</v>
      </c>
    </row>
    <row r="126" spans="1:5" ht="15" thickBot="1" x14ac:dyDescent="0.35">
      <c r="A126" s="43">
        <v>46048</v>
      </c>
      <c r="B126" s="40" t="s">
        <v>165</v>
      </c>
      <c r="C126" s="52">
        <v>30</v>
      </c>
      <c r="D126" s="40" t="s">
        <v>121</v>
      </c>
      <c r="E126" s="40" t="s">
        <v>123</v>
      </c>
    </row>
    <row r="127" spans="1:5" ht="15" thickBot="1" x14ac:dyDescent="0.35">
      <c r="A127" s="43">
        <v>46048</v>
      </c>
      <c r="B127" s="40" t="s">
        <v>165</v>
      </c>
      <c r="C127" s="52">
        <v>4096.82</v>
      </c>
      <c r="D127" s="40" t="s">
        <v>121</v>
      </c>
      <c r="E127" s="40" t="s">
        <v>123</v>
      </c>
    </row>
    <row r="128" spans="1:5" ht="15" thickBot="1" x14ac:dyDescent="0.35">
      <c r="A128" s="43">
        <v>46048</v>
      </c>
      <c r="B128" s="40" t="s">
        <v>165</v>
      </c>
      <c r="C128" s="52">
        <v>0.47</v>
      </c>
      <c r="D128" s="40" t="s">
        <v>121</v>
      </c>
      <c r="E128" s="40" t="s">
        <v>123</v>
      </c>
    </row>
    <row r="129" spans="1:5" ht="15" thickBot="1" x14ac:dyDescent="0.35">
      <c r="A129" s="43">
        <v>46048</v>
      </c>
      <c r="B129" s="40" t="s">
        <v>166</v>
      </c>
      <c r="C129" s="52">
        <v>1180.94</v>
      </c>
      <c r="D129" s="40" t="s">
        <v>121</v>
      </c>
      <c r="E129" s="40" t="s">
        <v>122</v>
      </c>
    </row>
    <row r="130" spans="1:5" ht="15" thickBot="1" x14ac:dyDescent="0.35">
      <c r="A130" s="43">
        <v>46048</v>
      </c>
      <c r="B130" s="40" t="s">
        <v>167</v>
      </c>
      <c r="C130" s="52">
        <v>66151.95</v>
      </c>
      <c r="D130" s="40" t="s">
        <v>121</v>
      </c>
      <c r="E130" s="40" t="s">
        <v>122</v>
      </c>
    </row>
    <row r="131" spans="1:5" ht="15" thickBot="1" x14ac:dyDescent="0.35">
      <c r="A131" s="43">
        <v>46048</v>
      </c>
      <c r="B131" s="40" t="s">
        <v>166</v>
      </c>
      <c r="C131" s="52">
        <v>66.150000000000006</v>
      </c>
      <c r="D131" s="40" t="s">
        <v>121</v>
      </c>
      <c r="E131" s="40" t="s">
        <v>122</v>
      </c>
    </row>
    <row r="132" spans="1:5" ht="15" thickBot="1" x14ac:dyDescent="0.35">
      <c r="A132" s="43">
        <v>46049</v>
      </c>
      <c r="B132" s="40" t="s">
        <v>165</v>
      </c>
      <c r="C132" s="52">
        <v>4000</v>
      </c>
      <c r="D132" s="40" t="s">
        <v>121</v>
      </c>
      <c r="E132" s="40" t="s">
        <v>123</v>
      </c>
    </row>
    <row r="133" spans="1:5" ht="15" thickBot="1" x14ac:dyDescent="0.35">
      <c r="A133" s="43">
        <v>46049</v>
      </c>
      <c r="B133" s="40" t="s">
        <v>165</v>
      </c>
      <c r="C133" s="52">
        <v>4115.12</v>
      </c>
      <c r="D133" s="40" t="s">
        <v>121</v>
      </c>
      <c r="E133" s="40" t="s">
        <v>123</v>
      </c>
    </row>
    <row r="134" spans="1:5" ht="15" thickBot="1" x14ac:dyDescent="0.35">
      <c r="A134" s="43">
        <v>46049</v>
      </c>
      <c r="B134" s="40" t="s">
        <v>167</v>
      </c>
      <c r="C134" s="52">
        <v>48690.720000000001</v>
      </c>
      <c r="D134" s="40" t="s">
        <v>121</v>
      </c>
      <c r="E134" s="40" t="s">
        <v>122</v>
      </c>
    </row>
    <row r="135" spans="1:5" ht="15" thickBot="1" x14ac:dyDescent="0.35">
      <c r="A135" s="43">
        <v>46049</v>
      </c>
      <c r="B135" s="40" t="s">
        <v>166</v>
      </c>
      <c r="C135" s="52">
        <v>48.69</v>
      </c>
      <c r="D135" s="40" t="s">
        <v>121</v>
      </c>
      <c r="E135" s="40" t="s">
        <v>122</v>
      </c>
    </row>
    <row r="136" spans="1:5" ht="15" thickBot="1" x14ac:dyDescent="0.35">
      <c r="A136" s="43">
        <v>46049</v>
      </c>
      <c r="B136" s="40" t="s">
        <v>165</v>
      </c>
      <c r="C136" s="52">
        <v>400</v>
      </c>
      <c r="D136" s="40" t="s">
        <v>121</v>
      </c>
      <c r="E136" s="40" t="s">
        <v>123</v>
      </c>
    </row>
    <row r="137" spans="1:5" ht="15" thickBot="1" x14ac:dyDescent="0.35">
      <c r="A137" s="43">
        <v>46049</v>
      </c>
      <c r="B137" s="40" t="s">
        <v>165</v>
      </c>
      <c r="C137" s="52">
        <v>400</v>
      </c>
      <c r="D137" s="40" t="s">
        <v>121</v>
      </c>
      <c r="E137" s="40" t="s">
        <v>123</v>
      </c>
    </row>
    <row r="138" spans="1:5" ht="15" thickBot="1" x14ac:dyDescent="0.35">
      <c r="A138" s="43">
        <v>46049</v>
      </c>
      <c r="B138" s="40" t="s">
        <v>165</v>
      </c>
      <c r="C138" s="52">
        <v>400</v>
      </c>
      <c r="D138" s="40" t="s">
        <v>121</v>
      </c>
      <c r="E138" s="40" t="s">
        <v>123</v>
      </c>
    </row>
    <row r="139" spans="1:5" ht="15" thickBot="1" x14ac:dyDescent="0.35">
      <c r="A139" s="43">
        <v>46049</v>
      </c>
      <c r="B139" s="40" t="s">
        <v>165</v>
      </c>
      <c r="C139" s="52">
        <v>400</v>
      </c>
      <c r="D139" s="40" t="s">
        <v>121</v>
      </c>
      <c r="E139" s="40" t="s">
        <v>123</v>
      </c>
    </row>
    <row r="140" spans="1:5" ht="15" thickBot="1" x14ac:dyDescent="0.35">
      <c r="A140" s="43">
        <v>46049</v>
      </c>
      <c r="B140" s="40" t="s">
        <v>165</v>
      </c>
      <c r="C140" s="52">
        <v>400</v>
      </c>
      <c r="D140" s="40" t="s">
        <v>121</v>
      </c>
      <c r="E140" s="40" t="s">
        <v>123</v>
      </c>
    </row>
    <row r="141" spans="1:5" ht="15" thickBot="1" x14ac:dyDescent="0.35">
      <c r="A141" s="43">
        <v>46049</v>
      </c>
      <c r="B141" s="40" t="s">
        <v>165</v>
      </c>
      <c r="C141" s="52">
        <v>400</v>
      </c>
      <c r="D141" s="40" t="s">
        <v>121</v>
      </c>
      <c r="E141" s="40" t="s">
        <v>123</v>
      </c>
    </row>
    <row r="142" spans="1:5" ht="15" thickBot="1" x14ac:dyDescent="0.35">
      <c r="A142" s="43">
        <v>46049</v>
      </c>
      <c r="B142" s="40" t="s">
        <v>165</v>
      </c>
      <c r="C142" s="52">
        <v>400</v>
      </c>
      <c r="D142" s="40" t="s">
        <v>121</v>
      </c>
      <c r="E142" s="40" t="s">
        <v>123</v>
      </c>
    </row>
    <row r="143" spans="1:5" ht="15" thickBot="1" x14ac:dyDescent="0.35">
      <c r="A143" s="43">
        <v>46049</v>
      </c>
      <c r="B143" s="40" t="s">
        <v>165</v>
      </c>
      <c r="C143" s="52">
        <v>400</v>
      </c>
      <c r="D143" s="40" t="s">
        <v>121</v>
      </c>
      <c r="E143" s="40" t="s">
        <v>123</v>
      </c>
    </row>
    <row r="144" spans="1:5" ht="15" thickBot="1" x14ac:dyDescent="0.35">
      <c r="A144" s="43">
        <v>46049</v>
      </c>
      <c r="B144" s="40" t="s">
        <v>165</v>
      </c>
      <c r="C144" s="52">
        <v>400</v>
      </c>
      <c r="D144" s="40" t="s">
        <v>121</v>
      </c>
      <c r="E144" s="40" t="s">
        <v>123</v>
      </c>
    </row>
    <row r="145" spans="1:5" ht="15" thickBot="1" x14ac:dyDescent="0.35">
      <c r="A145" s="43">
        <v>46049</v>
      </c>
      <c r="B145" s="40" t="s">
        <v>165</v>
      </c>
      <c r="C145" s="52">
        <v>400</v>
      </c>
      <c r="D145" s="40" t="s">
        <v>121</v>
      </c>
      <c r="E145" s="40" t="s">
        <v>123</v>
      </c>
    </row>
    <row r="146" spans="1:5" ht="15" thickBot="1" x14ac:dyDescent="0.35">
      <c r="A146" s="43">
        <v>46049</v>
      </c>
      <c r="B146" s="40" t="s">
        <v>165</v>
      </c>
      <c r="C146" s="52">
        <v>2845.4</v>
      </c>
      <c r="D146" s="40" t="s">
        <v>121</v>
      </c>
      <c r="E146" s="40" t="s">
        <v>123</v>
      </c>
    </row>
    <row r="147" spans="1:5" ht="15" thickBot="1" x14ac:dyDescent="0.35">
      <c r="A147" s="43">
        <v>46049</v>
      </c>
      <c r="B147" s="40" t="s">
        <v>167</v>
      </c>
      <c r="C147" s="52">
        <v>41072.400000000001</v>
      </c>
      <c r="D147" s="40" t="s">
        <v>121</v>
      </c>
      <c r="E147" s="40" t="s">
        <v>122</v>
      </c>
    </row>
    <row r="148" spans="1:5" ht="15" thickBot="1" x14ac:dyDescent="0.35">
      <c r="A148" s="43">
        <v>46049</v>
      </c>
      <c r="B148" s="40" t="s">
        <v>166</v>
      </c>
      <c r="C148" s="52">
        <v>41.07</v>
      </c>
      <c r="D148" s="40" t="s">
        <v>121</v>
      </c>
      <c r="E148" s="40" t="s">
        <v>122</v>
      </c>
    </row>
    <row r="149" spans="1:5" ht="15" thickBot="1" x14ac:dyDescent="0.35">
      <c r="A149" s="43">
        <v>46050</v>
      </c>
      <c r="B149" s="40" t="s">
        <v>165</v>
      </c>
      <c r="C149" s="52">
        <v>5548</v>
      </c>
      <c r="D149" s="40" t="s">
        <v>121</v>
      </c>
      <c r="E149" s="40" t="s">
        <v>123</v>
      </c>
    </row>
    <row r="150" spans="1:5" ht="15" thickBot="1" x14ac:dyDescent="0.35">
      <c r="A150" s="43">
        <v>46050</v>
      </c>
      <c r="B150" s="40" t="s">
        <v>165</v>
      </c>
      <c r="C150" s="52">
        <v>5548</v>
      </c>
      <c r="D150" s="40" t="s">
        <v>121</v>
      </c>
      <c r="E150" s="40" t="s">
        <v>123</v>
      </c>
    </row>
    <row r="151" spans="1:5" ht="15" thickBot="1" x14ac:dyDescent="0.35">
      <c r="A151" s="43">
        <v>46050</v>
      </c>
      <c r="B151" s="40" t="s">
        <v>166</v>
      </c>
      <c r="C151" s="52">
        <v>3038.3</v>
      </c>
      <c r="D151" s="40" t="s">
        <v>121</v>
      </c>
      <c r="E151" s="40" t="s">
        <v>122</v>
      </c>
    </row>
    <row r="152" spans="1:5" ht="15" thickBot="1" x14ac:dyDescent="0.35">
      <c r="A152" s="43">
        <v>46050</v>
      </c>
      <c r="B152" s="40" t="s">
        <v>167</v>
      </c>
      <c r="C152" s="52">
        <v>39648</v>
      </c>
      <c r="D152" s="40" t="s">
        <v>121</v>
      </c>
      <c r="E152" s="40" t="s">
        <v>122</v>
      </c>
    </row>
    <row r="153" spans="1:5" ht="15" thickBot="1" x14ac:dyDescent="0.35">
      <c r="A153" s="43">
        <v>46050</v>
      </c>
      <c r="B153" s="40" t="s">
        <v>166</v>
      </c>
      <c r="C153" s="52">
        <v>39.65</v>
      </c>
      <c r="D153" s="40" t="s">
        <v>121</v>
      </c>
      <c r="E153" s="40" t="s">
        <v>122</v>
      </c>
    </row>
    <row r="154" spans="1:5" ht="15" thickBot="1" x14ac:dyDescent="0.35">
      <c r="A154" s="43">
        <v>46050</v>
      </c>
      <c r="B154" s="40" t="s">
        <v>165</v>
      </c>
      <c r="C154" s="52">
        <v>500</v>
      </c>
      <c r="D154" s="40" t="s">
        <v>121</v>
      </c>
      <c r="E154" s="40" t="s">
        <v>123</v>
      </c>
    </row>
    <row r="155" spans="1:5" ht="15" thickBot="1" x14ac:dyDescent="0.35">
      <c r="A155" s="43">
        <v>46050</v>
      </c>
      <c r="B155" s="40" t="s">
        <v>167</v>
      </c>
      <c r="C155" s="52">
        <v>3000</v>
      </c>
      <c r="D155" s="40" t="s">
        <v>121</v>
      </c>
      <c r="E155" s="40" t="s">
        <v>122</v>
      </c>
    </row>
    <row r="156" spans="1:5" ht="15" thickBot="1" x14ac:dyDescent="0.35">
      <c r="A156" s="43">
        <v>46050</v>
      </c>
      <c r="B156" s="40" t="s">
        <v>166</v>
      </c>
      <c r="C156" s="52">
        <v>3</v>
      </c>
      <c r="D156" s="40" t="s">
        <v>121</v>
      </c>
      <c r="E156" s="40" t="s">
        <v>122</v>
      </c>
    </row>
    <row r="157" spans="1:5" ht="15" thickBot="1" x14ac:dyDescent="0.35">
      <c r="A157" s="43">
        <v>46051</v>
      </c>
      <c r="B157" s="40" t="s">
        <v>165</v>
      </c>
      <c r="C157" s="52">
        <v>390</v>
      </c>
      <c r="D157" s="40" t="s">
        <v>121</v>
      </c>
      <c r="E157" s="40" t="s">
        <v>123</v>
      </c>
    </row>
    <row r="158" spans="1:5" ht="15" thickBot="1" x14ac:dyDescent="0.35">
      <c r="A158" s="43">
        <v>46051</v>
      </c>
      <c r="B158" s="40" t="s">
        <v>165</v>
      </c>
      <c r="C158" s="52">
        <v>390</v>
      </c>
      <c r="D158" s="40" t="s">
        <v>121</v>
      </c>
      <c r="E158" s="40" t="s">
        <v>123</v>
      </c>
    </row>
    <row r="159" spans="1:5" ht="15" thickBot="1" x14ac:dyDescent="0.35">
      <c r="A159" s="43">
        <v>46051</v>
      </c>
      <c r="B159" s="40" t="s">
        <v>165</v>
      </c>
      <c r="C159" s="52">
        <v>51.49</v>
      </c>
      <c r="D159" s="40" t="s">
        <v>121</v>
      </c>
      <c r="E159" s="40" t="s">
        <v>123</v>
      </c>
    </row>
    <row r="160" spans="1:5" ht="15" thickBot="1" x14ac:dyDescent="0.35">
      <c r="A160" s="43">
        <v>46051</v>
      </c>
      <c r="B160" s="40" t="s">
        <v>165</v>
      </c>
      <c r="C160" s="52">
        <v>3845.4</v>
      </c>
      <c r="D160" s="40" t="s">
        <v>121</v>
      </c>
      <c r="E160" s="40" t="s">
        <v>123</v>
      </c>
    </row>
    <row r="161" spans="1:5" ht="15" thickBot="1" x14ac:dyDescent="0.35">
      <c r="A161" s="43">
        <v>46051</v>
      </c>
      <c r="B161" s="40" t="s">
        <v>166</v>
      </c>
      <c r="C161" s="52">
        <v>2725.39</v>
      </c>
      <c r="D161" s="40" t="s">
        <v>121</v>
      </c>
      <c r="E161" s="40" t="s">
        <v>122</v>
      </c>
    </row>
    <row r="162" spans="1:5" ht="15" thickBot="1" x14ac:dyDescent="0.35">
      <c r="A162" s="43">
        <v>46051</v>
      </c>
      <c r="B162" s="40" t="s">
        <v>167</v>
      </c>
      <c r="C162" s="52">
        <v>30401.31</v>
      </c>
      <c r="D162" s="40" t="s">
        <v>121</v>
      </c>
      <c r="E162" s="40" t="s">
        <v>122</v>
      </c>
    </row>
    <row r="163" spans="1:5" ht="15" thickBot="1" x14ac:dyDescent="0.35">
      <c r="A163" s="43">
        <v>46051</v>
      </c>
      <c r="B163" s="40" t="s">
        <v>166</v>
      </c>
      <c r="C163" s="52">
        <v>30.4</v>
      </c>
      <c r="D163" s="40" t="s">
        <v>121</v>
      </c>
      <c r="E163" s="40" t="s">
        <v>122</v>
      </c>
    </row>
    <row r="164" spans="1:5" ht="15" thickBot="1" x14ac:dyDescent="0.35">
      <c r="A164" s="43">
        <v>46052</v>
      </c>
      <c r="B164" s="40" t="s">
        <v>165</v>
      </c>
      <c r="C164" s="52">
        <v>2198.84</v>
      </c>
      <c r="D164" s="40" t="s">
        <v>121</v>
      </c>
      <c r="E164" s="40" t="s">
        <v>123</v>
      </c>
    </row>
    <row r="165" spans="1:5" ht="15" thickBot="1" x14ac:dyDescent="0.35">
      <c r="A165" s="43">
        <v>46052</v>
      </c>
      <c r="B165" s="40" t="s">
        <v>165</v>
      </c>
      <c r="C165" s="52">
        <v>407.99</v>
      </c>
      <c r="D165" s="40" t="s">
        <v>121</v>
      </c>
      <c r="E165" s="40" t="s">
        <v>123</v>
      </c>
    </row>
    <row r="166" spans="1:5" ht="15" thickBot="1" x14ac:dyDescent="0.35">
      <c r="A166" s="43">
        <v>46052</v>
      </c>
      <c r="B166" s="40" t="s">
        <v>165</v>
      </c>
      <c r="C166" s="52">
        <v>9.25</v>
      </c>
      <c r="D166" s="40" t="s">
        <v>121</v>
      </c>
      <c r="E166" s="40" t="s">
        <v>123</v>
      </c>
    </row>
    <row r="167" spans="1:5" ht="15" thickBot="1" x14ac:dyDescent="0.35">
      <c r="A167" s="43">
        <v>46052</v>
      </c>
      <c r="B167" s="40" t="s">
        <v>165</v>
      </c>
      <c r="C167" s="52">
        <v>1922.7</v>
      </c>
      <c r="D167" s="40" t="s">
        <v>121</v>
      </c>
      <c r="E167" s="40" t="s">
        <v>123</v>
      </c>
    </row>
    <row r="168" spans="1:5" ht="15" thickBot="1" x14ac:dyDescent="0.35">
      <c r="A168" s="43">
        <v>46052</v>
      </c>
      <c r="B168" s="40" t="s">
        <v>166</v>
      </c>
      <c r="C168" s="52">
        <v>28912.97</v>
      </c>
      <c r="D168" s="40" t="s">
        <v>121</v>
      </c>
      <c r="E168" s="40" t="s">
        <v>122</v>
      </c>
    </row>
    <row r="169" spans="1:5" ht="15" thickBot="1" x14ac:dyDescent="0.35">
      <c r="A169" s="43">
        <v>46052</v>
      </c>
      <c r="B169" s="40" t="s">
        <v>167</v>
      </c>
      <c r="C169" s="52">
        <v>27232.66</v>
      </c>
      <c r="D169" s="40" t="s">
        <v>121</v>
      </c>
      <c r="E169" s="40" t="s">
        <v>122</v>
      </c>
    </row>
    <row r="170" spans="1:5" ht="15" thickBot="1" x14ac:dyDescent="0.35">
      <c r="A170" s="43">
        <v>46052</v>
      </c>
      <c r="B170" s="40" t="s">
        <v>166</v>
      </c>
      <c r="C170" s="52">
        <v>27.23</v>
      </c>
      <c r="D170" s="40" t="s">
        <v>121</v>
      </c>
      <c r="E170" s="40" t="s">
        <v>122</v>
      </c>
    </row>
    <row r="171" spans="1:5" ht="14.4" thickBot="1" x14ac:dyDescent="0.35">
      <c r="A171" s="44"/>
      <c r="B171" s="45" t="s">
        <v>121</v>
      </c>
      <c r="C171" s="46">
        <f>SUM(C38:C170)</f>
        <v>44281967.849999987</v>
      </c>
      <c r="D171" s="44"/>
      <c r="E171" s="44"/>
    </row>
    <row r="172" spans="1:5" ht="15" thickBot="1" x14ac:dyDescent="0.35">
      <c r="A172" s="43">
        <v>46024</v>
      </c>
      <c r="B172" s="40" t="s">
        <v>237</v>
      </c>
      <c r="C172" s="52">
        <v>104587.48</v>
      </c>
      <c r="D172" s="40" t="s">
        <v>119</v>
      </c>
      <c r="E172" s="40" t="s">
        <v>162</v>
      </c>
    </row>
    <row r="173" spans="1:5" ht="15" thickBot="1" x14ac:dyDescent="0.35">
      <c r="A173" s="43">
        <v>46027</v>
      </c>
      <c r="B173" s="41" t="s">
        <v>172</v>
      </c>
      <c r="C173" s="52">
        <v>44291.01</v>
      </c>
      <c r="D173" s="40" t="s">
        <v>119</v>
      </c>
      <c r="E173" s="40" t="s">
        <v>125</v>
      </c>
    </row>
    <row r="174" spans="1:5" ht="15" thickBot="1" x14ac:dyDescent="0.35">
      <c r="A174" s="43">
        <v>46027</v>
      </c>
      <c r="B174" s="41" t="s">
        <v>172</v>
      </c>
      <c r="C174" s="52">
        <v>161468.07</v>
      </c>
      <c r="D174" s="40" t="s">
        <v>119</v>
      </c>
      <c r="E174" s="40" t="s">
        <v>125</v>
      </c>
    </row>
    <row r="175" spans="1:5" ht="15" thickBot="1" x14ac:dyDescent="0.35">
      <c r="A175" s="43">
        <v>46027</v>
      </c>
      <c r="B175" s="41" t="s">
        <v>191</v>
      </c>
      <c r="C175" s="52">
        <v>325352</v>
      </c>
      <c r="D175" s="40" t="s">
        <v>119</v>
      </c>
      <c r="E175" s="40" t="s">
        <v>124</v>
      </c>
    </row>
    <row r="176" spans="1:5" ht="15" thickBot="1" x14ac:dyDescent="0.35">
      <c r="A176" s="43">
        <v>46034</v>
      </c>
      <c r="B176" s="41" t="s">
        <v>171</v>
      </c>
      <c r="C176" s="52">
        <v>21115.88</v>
      </c>
      <c r="D176" s="40" t="s">
        <v>119</v>
      </c>
      <c r="E176" s="40" t="s">
        <v>125</v>
      </c>
    </row>
    <row r="177" spans="1:5" ht="15" thickBot="1" x14ac:dyDescent="0.35">
      <c r="A177" s="43">
        <v>46034</v>
      </c>
      <c r="B177" s="41" t="s">
        <v>254</v>
      </c>
      <c r="C177" s="52">
        <v>162503</v>
      </c>
      <c r="D177" s="40" t="s">
        <v>119</v>
      </c>
      <c r="E177" s="40" t="s">
        <v>125</v>
      </c>
    </row>
    <row r="178" spans="1:5" ht="15" thickBot="1" x14ac:dyDescent="0.35">
      <c r="A178" s="43">
        <v>46034</v>
      </c>
      <c r="B178" s="41" t="s">
        <v>255</v>
      </c>
      <c r="C178" s="52">
        <v>33627.980000000003</v>
      </c>
      <c r="D178" s="40" t="s">
        <v>119</v>
      </c>
      <c r="E178" s="40" t="s">
        <v>256</v>
      </c>
    </row>
    <row r="179" spans="1:5" ht="15" thickBot="1" x14ac:dyDescent="0.35">
      <c r="A179" s="43">
        <v>46036</v>
      </c>
      <c r="B179" s="41" t="s">
        <v>255</v>
      </c>
      <c r="C179" s="52">
        <v>40152.239999999998</v>
      </c>
      <c r="D179" s="40" t="s">
        <v>119</v>
      </c>
      <c r="E179" s="40" t="s">
        <v>256</v>
      </c>
    </row>
    <row r="180" spans="1:5" ht="15" thickBot="1" x14ac:dyDescent="0.35">
      <c r="A180" s="43">
        <v>46036</v>
      </c>
      <c r="B180" s="41" t="s">
        <v>255</v>
      </c>
      <c r="C180" s="52">
        <v>34568.25</v>
      </c>
      <c r="D180" s="40" t="s">
        <v>119</v>
      </c>
      <c r="E180" s="40" t="s">
        <v>256</v>
      </c>
    </row>
    <row r="181" spans="1:5" ht="15" thickBot="1" x14ac:dyDescent="0.35">
      <c r="A181" s="43">
        <v>46038</v>
      </c>
      <c r="B181" s="41" t="s">
        <v>263</v>
      </c>
      <c r="C181" s="52">
        <v>108443.4</v>
      </c>
      <c r="D181" s="40" t="s">
        <v>119</v>
      </c>
      <c r="E181" s="40" t="s">
        <v>124</v>
      </c>
    </row>
    <row r="182" spans="1:5" ht="15" thickBot="1" x14ac:dyDescent="0.35">
      <c r="A182" s="43">
        <v>46043</v>
      </c>
      <c r="B182" s="41" t="s">
        <v>268</v>
      </c>
      <c r="C182" s="52">
        <v>1644326.54</v>
      </c>
      <c r="D182" s="40" t="s">
        <v>119</v>
      </c>
      <c r="E182" s="40" t="s">
        <v>269</v>
      </c>
    </row>
    <row r="183" spans="1:5" ht="15" thickBot="1" x14ac:dyDescent="0.35">
      <c r="A183" s="43">
        <v>46051</v>
      </c>
      <c r="B183" s="40" t="s">
        <v>176</v>
      </c>
      <c r="C183" s="52">
        <v>454230.99</v>
      </c>
      <c r="D183" s="40" t="s">
        <v>119</v>
      </c>
      <c r="E183" s="40" t="s">
        <v>141</v>
      </c>
    </row>
    <row r="184" spans="1:5" ht="14.4" thickBot="1" x14ac:dyDescent="0.35">
      <c r="A184" s="44"/>
      <c r="B184" s="45" t="s">
        <v>119</v>
      </c>
      <c r="C184" s="46">
        <f>SUM(C172:C183)</f>
        <v>3134666.84</v>
      </c>
      <c r="D184" s="44"/>
      <c r="E184" s="44"/>
    </row>
    <row r="185" spans="1:5" ht="15" thickBot="1" x14ac:dyDescent="0.35">
      <c r="A185" s="43">
        <v>46052</v>
      </c>
      <c r="B185" s="41" t="s">
        <v>279</v>
      </c>
      <c r="C185" s="50">
        <v>625806</v>
      </c>
      <c r="D185" s="41" t="s">
        <v>120</v>
      </c>
      <c r="E185" s="41" t="s">
        <v>120</v>
      </c>
    </row>
    <row r="186" spans="1:5" ht="15" thickBot="1" x14ac:dyDescent="0.35">
      <c r="A186" s="43">
        <v>46052</v>
      </c>
      <c r="B186" s="41" t="s">
        <v>280</v>
      </c>
      <c r="C186" s="50">
        <v>760000</v>
      </c>
      <c r="D186" s="41" t="s">
        <v>120</v>
      </c>
      <c r="E186" s="41" t="s">
        <v>120</v>
      </c>
    </row>
    <row r="187" spans="1:5" ht="15" thickBot="1" x14ac:dyDescent="0.35">
      <c r="A187" s="43">
        <v>46052</v>
      </c>
      <c r="B187" s="41" t="s">
        <v>281</v>
      </c>
      <c r="C187" s="50">
        <v>1033022</v>
      </c>
      <c r="D187" s="41" t="s">
        <v>120</v>
      </c>
      <c r="E187" s="41" t="s">
        <v>120</v>
      </c>
    </row>
    <row r="188" spans="1:5" ht="15" thickBot="1" x14ac:dyDescent="0.35">
      <c r="A188" s="43">
        <v>46052</v>
      </c>
      <c r="B188" s="41" t="s">
        <v>284</v>
      </c>
      <c r="C188" s="50">
        <v>2400000</v>
      </c>
      <c r="D188" s="41" t="s">
        <v>120</v>
      </c>
      <c r="E188" s="41" t="s">
        <v>120</v>
      </c>
    </row>
    <row r="189" spans="1:5" ht="15" thickBot="1" x14ac:dyDescent="0.35">
      <c r="A189" s="43">
        <v>46052</v>
      </c>
      <c r="B189" s="41" t="s">
        <v>285</v>
      </c>
      <c r="C189" s="50">
        <v>3388000</v>
      </c>
      <c r="D189" s="41" t="s">
        <v>120</v>
      </c>
      <c r="E189" s="41" t="s">
        <v>120</v>
      </c>
    </row>
    <row r="190" spans="1:5" x14ac:dyDescent="0.3">
      <c r="A190" s="44"/>
      <c r="B190" s="45" t="s">
        <v>120</v>
      </c>
      <c r="C190" s="46">
        <f>SUM(C185:C189)</f>
        <v>8206828</v>
      </c>
      <c r="D190" s="44"/>
      <c r="E190" s="44"/>
    </row>
    <row r="191" spans="1:5" ht="16.5" customHeight="1" x14ac:dyDescent="0.3">
      <c r="A191" s="54"/>
      <c r="B191" s="49"/>
      <c r="C191" s="55"/>
      <c r="D191" s="49"/>
      <c r="E191" s="49"/>
    </row>
    <row r="192" spans="1:5" ht="14.4" x14ac:dyDescent="0.3">
      <c r="A192" s="54"/>
      <c r="B192" s="49"/>
      <c r="C192" s="55"/>
      <c r="D192" s="49"/>
      <c r="E192" s="49"/>
    </row>
  </sheetData>
  <autoFilter ref="A1:D1" xr:uid="{7D39FC09-67B1-4389-93ED-E9AE970AAC6E}"/>
  <sortState xmlns:xlrd2="http://schemas.microsoft.com/office/spreadsheetml/2017/richdata2" ref="A9:E193">
    <sortCondition ref="D9:D193"/>
  </sortState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ADB8-AB3A-4D89-8036-D59CBD2FB142}">
  <dimension ref="A1:J34"/>
  <sheetViews>
    <sheetView workbookViewId="0">
      <selection activeCell="D8" sqref="D8"/>
    </sheetView>
  </sheetViews>
  <sheetFormatPr baseColWidth="10" defaultColWidth="9.109375" defaultRowHeight="14.4" x14ac:dyDescent="0.3"/>
  <cols>
    <col min="2" max="2" width="9.109375" style="61"/>
    <col min="3" max="3" width="21.6640625" hidden="1" customWidth="1"/>
    <col min="4" max="4" width="27.44140625" bestFit="1" customWidth="1"/>
    <col min="5" max="5" width="15.44140625" customWidth="1"/>
    <col min="6" max="6" width="22.44140625" customWidth="1"/>
    <col min="7" max="7" width="20.44140625" customWidth="1"/>
    <col min="8" max="8" width="16.109375" style="62" customWidth="1"/>
    <col min="9" max="9" width="16.88671875" customWidth="1"/>
    <col min="10" max="10" width="21.109375" bestFit="1" customWidth="1"/>
  </cols>
  <sheetData>
    <row r="1" spans="1:10" s="61" customFormat="1" x14ac:dyDescent="0.3">
      <c r="A1" s="61" t="s">
        <v>157</v>
      </c>
      <c r="B1" s="61" t="s">
        <v>158</v>
      </c>
      <c r="C1" s="61" t="s">
        <v>159</v>
      </c>
      <c r="D1" s="61" t="s">
        <v>146</v>
      </c>
      <c r="E1" s="61" t="s">
        <v>288</v>
      </c>
      <c r="F1" s="61" t="s">
        <v>287</v>
      </c>
      <c r="G1" s="61" t="s">
        <v>181</v>
      </c>
      <c r="H1" s="64" t="s">
        <v>227</v>
      </c>
      <c r="I1" s="61" t="s">
        <v>180</v>
      </c>
      <c r="J1" s="61" t="s">
        <v>185</v>
      </c>
    </row>
    <row r="2" spans="1:10" x14ac:dyDescent="0.3">
      <c r="A2" t="s">
        <v>160</v>
      </c>
      <c r="B2" s="61">
        <v>356</v>
      </c>
      <c r="C2" t="s">
        <v>199</v>
      </c>
      <c r="D2" t="s">
        <v>205</v>
      </c>
      <c r="E2" t="s">
        <v>202</v>
      </c>
      <c r="F2" t="s">
        <v>236</v>
      </c>
      <c r="G2" s="62"/>
      <c r="H2" s="62">
        <v>10820000</v>
      </c>
      <c r="I2" s="62">
        <f>ExportFacturacion[[#This Row],[Subtotal]]*10%</f>
        <v>1082000</v>
      </c>
      <c r="J2" s="63">
        <f>ExportFacturacion[[#This Row],[Subtotal]]-ExportFacturacion[[#This Row],[Descuento]]</f>
        <v>9738000</v>
      </c>
    </row>
    <row r="3" spans="1:10" x14ac:dyDescent="0.3">
      <c r="A3" t="s">
        <v>160</v>
      </c>
      <c r="B3" s="61">
        <v>466</v>
      </c>
      <c r="C3" t="s">
        <v>206</v>
      </c>
      <c r="D3" t="s">
        <v>207</v>
      </c>
      <c r="E3" t="s">
        <v>202</v>
      </c>
      <c r="F3" t="s">
        <v>187</v>
      </c>
      <c r="G3" s="62">
        <v>598486.37</v>
      </c>
      <c r="H3" s="62">
        <v>3867600</v>
      </c>
      <c r="I3" s="62">
        <f>ExportFacturacion[[#This Row],[Subtotal]]*20.69%</f>
        <v>800206.44</v>
      </c>
      <c r="J3" s="63">
        <f>ExportFacturacion[[#This Row],[Subtotal]]-ExportFacturacion[[#This Row],[Descuento]]</f>
        <v>3067393.56</v>
      </c>
    </row>
    <row r="4" spans="1:10" x14ac:dyDescent="0.3">
      <c r="A4" t="s">
        <v>160</v>
      </c>
      <c r="B4" s="61">
        <v>547</v>
      </c>
      <c r="C4" t="s">
        <v>228</v>
      </c>
      <c r="D4" t="s">
        <v>229</v>
      </c>
      <c r="E4" t="s">
        <v>202</v>
      </c>
      <c r="F4" t="s">
        <v>188</v>
      </c>
      <c r="G4" s="62">
        <v>1114422.8999999999</v>
      </c>
      <c r="H4" s="62">
        <v>7000000</v>
      </c>
      <c r="I4" s="62">
        <f>ExportFacturacion[[#This Row],[Subtotal]]*18.57%</f>
        <v>1299900</v>
      </c>
      <c r="J4" s="63">
        <f>ExportFacturacion[[#This Row],[Subtotal]]-ExportFacturacion[[#This Row],[Descuento]]</f>
        <v>5700100</v>
      </c>
    </row>
    <row r="5" spans="1:10" x14ac:dyDescent="0.3">
      <c r="A5" t="s">
        <v>160</v>
      </c>
      <c r="B5" s="61">
        <v>605</v>
      </c>
      <c r="C5" t="s">
        <v>206</v>
      </c>
      <c r="D5" t="s">
        <v>208</v>
      </c>
      <c r="E5" t="s">
        <v>202</v>
      </c>
      <c r="F5" t="s">
        <v>188</v>
      </c>
      <c r="G5" s="62">
        <v>1114422.8999999999</v>
      </c>
      <c r="H5" s="62">
        <v>7000000</v>
      </c>
      <c r="I5" s="62">
        <f>ExportFacturacion[[#This Row],[Subtotal]]*18.57%</f>
        <v>1299900</v>
      </c>
      <c r="J5" s="63">
        <f>ExportFacturacion[[#This Row],[Subtotal]]-ExportFacturacion[[#This Row],[Descuento]]</f>
        <v>5700100</v>
      </c>
    </row>
    <row r="6" spans="1:10" x14ac:dyDescent="0.3">
      <c r="A6" t="s">
        <v>160</v>
      </c>
      <c r="B6" s="61">
        <v>625</v>
      </c>
      <c r="C6" t="s">
        <v>228</v>
      </c>
      <c r="D6" t="s">
        <v>208</v>
      </c>
      <c r="E6" t="s">
        <v>202</v>
      </c>
      <c r="F6" t="s">
        <v>204</v>
      </c>
      <c r="G6" s="62">
        <v>16557.34</v>
      </c>
      <c r="H6" s="62">
        <v>75100</v>
      </c>
      <c r="I6" s="62">
        <v>0</v>
      </c>
      <c r="J6" s="63">
        <f>ExportFacturacion[[#This Row],[Subtotal]]-ExportFacturacion[[#This Row],[Descuento]]</f>
        <v>75100</v>
      </c>
    </row>
    <row r="7" spans="1:10" x14ac:dyDescent="0.3">
      <c r="F7" t="s">
        <v>204</v>
      </c>
      <c r="G7" s="62">
        <v>16557.34</v>
      </c>
      <c r="H7" s="62">
        <v>75100</v>
      </c>
      <c r="I7" s="62">
        <v>0</v>
      </c>
      <c r="J7" s="63">
        <f>ExportFacturacion[[#This Row],[Subtotal]]-ExportFacturacion[[#This Row],[Descuento]]</f>
        <v>75100</v>
      </c>
    </row>
    <row r="8" spans="1:10" x14ac:dyDescent="0.3">
      <c r="F8" t="s">
        <v>204</v>
      </c>
      <c r="G8" s="62">
        <v>16557.34</v>
      </c>
      <c r="H8" s="62">
        <v>75100</v>
      </c>
      <c r="I8" s="62">
        <v>0</v>
      </c>
      <c r="J8" s="63">
        <f>ExportFacturacion[[#This Row],[Subtotal]]-ExportFacturacion[[#This Row],[Descuento]]</f>
        <v>75100</v>
      </c>
    </row>
    <row r="9" spans="1:10" x14ac:dyDescent="0.3">
      <c r="A9" t="s">
        <v>160</v>
      </c>
      <c r="B9" s="61">
        <v>642</v>
      </c>
      <c r="C9" t="s">
        <v>199</v>
      </c>
      <c r="D9" t="s">
        <v>209</v>
      </c>
      <c r="E9" t="s">
        <v>202</v>
      </c>
      <c r="F9" t="s">
        <v>203</v>
      </c>
      <c r="G9" s="62">
        <v>599897.5</v>
      </c>
      <c r="H9" s="62">
        <v>1844330</v>
      </c>
      <c r="I9" s="62">
        <v>0</v>
      </c>
      <c r="J9" s="63">
        <f>ExportFacturacion[[#This Row],[Subtotal]]-ExportFacturacion[[#This Row],[Descuento]]</f>
        <v>1844330</v>
      </c>
    </row>
    <row r="10" spans="1:10" x14ac:dyDescent="0.3">
      <c r="A10" t="s">
        <v>160</v>
      </c>
      <c r="B10" s="61">
        <v>663</v>
      </c>
      <c r="C10" t="s">
        <v>199</v>
      </c>
      <c r="D10" t="s">
        <v>210</v>
      </c>
      <c r="E10" t="s">
        <v>161</v>
      </c>
      <c r="F10" t="s">
        <v>187</v>
      </c>
      <c r="G10" s="62">
        <v>598486.37</v>
      </c>
      <c r="H10" s="62">
        <v>3867600</v>
      </c>
      <c r="I10" s="62">
        <f>ExportFacturacion[[#This Row],[Subtotal]]*20.69%</f>
        <v>800206.44</v>
      </c>
      <c r="J10" s="63">
        <f>ExportFacturacion[[#This Row],[Subtotal]]-ExportFacturacion[[#This Row],[Descuento]]</f>
        <v>3067393.56</v>
      </c>
    </row>
    <row r="11" spans="1:10" x14ac:dyDescent="0.3">
      <c r="A11" t="s">
        <v>160</v>
      </c>
      <c r="B11" s="61">
        <v>676</v>
      </c>
      <c r="C11" t="s">
        <v>228</v>
      </c>
      <c r="D11" t="s">
        <v>230</v>
      </c>
      <c r="E11" t="s">
        <v>126</v>
      </c>
      <c r="F11" t="s">
        <v>186</v>
      </c>
      <c r="G11" s="62">
        <v>398990.91</v>
      </c>
      <c r="H11" s="62">
        <v>2211000</v>
      </c>
      <c r="I11" s="62">
        <f>ExportFacturacion[[#This Row],[Subtotal]]*10%</f>
        <v>221100</v>
      </c>
      <c r="J11" s="63">
        <f>ExportFacturacion[[#This Row],[Subtotal]]-ExportFacturacion[[#This Row],[Descuento]]</f>
        <v>1989900</v>
      </c>
    </row>
    <row r="12" spans="1:10" x14ac:dyDescent="0.3">
      <c r="A12" t="s">
        <v>160</v>
      </c>
      <c r="B12" s="61">
        <v>677</v>
      </c>
      <c r="C12" t="s">
        <v>199</v>
      </c>
      <c r="D12" t="s">
        <v>201</v>
      </c>
      <c r="E12" t="s">
        <v>202</v>
      </c>
      <c r="F12" t="s">
        <v>233</v>
      </c>
      <c r="G12" s="62">
        <v>28147.47</v>
      </c>
      <c r="H12" s="66">
        <v>80000</v>
      </c>
      <c r="I12" s="62">
        <v>0</v>
      </c>
      <c r="J12" s="63">
        <f>ExportFacturacion[[#This Row],[Subtotal]]-ExportFacturacion[[#This Row],[Descuento]]</f>
        <v>80000</v>
      </c>
    </row>
    <row r="13" spans="1:10" x14ac:dyDescent="0.3">
      <c r="F13" t="s">
        <v>226</v>
      </c>
      <c r="G13" s="62">
        <v>29803.21</v>
      </c>
      <c r="H13" s="66">
        <v>120100</v>
      </c>
      <c r="I13" s="62">
        <v>0</v>
      </c>
      <c r="J13" s="63">
        <f>ExportFacturacion[[#This Row],[Subtotal]]-ExportFacturacion[[#This Row],[Descuento]]</f>
        <v>120100</v>
      </c>
    </row>
    <row r="14" spans="1:10" x14ac:dyDescent="0.3">
      <c r="A14" t="s">
        <v>160</v>
      </c>
      <c r="B14" s="61">
        <v>680</v>
      </c>
      <c r="C14" t="s">
        <v>228</v>
      </c>
      <c r="D14" t="s">
        <v>231</v>
      </c>
      <c r="E14" t="s">
        <v>161</v>
      </c>
      <c r="F14" t="s">
        <v>188</v>
      </c>
      <c r="G14" s="62">
        <v>1114422.8999999999</v>
      </c>
      <c r="H14" s="62">
        <v>7000000</v>
      </c>
      <c r="I14" s="62">
        <f>ExportFacturacion[[#This Row],[Subtotal]]*10%</f>
        <v>700000</v>
      </c>
      <c r="J14" s="63">
        <f>ExportFacturacion[[#This Row],[Subtotal]]-ExportFacturacion[[#This Row],[Descuento]]</f>
        <v>6300000</v>
      </c>
    </row>
    <row r="15" spans="1:10" x14ac:dyDescent="0.3">
      <c r="A15" t="s">
        <v>160</v>
      </c>
      <c r="B15" s="61">
        <v>685</v>
      </c>
      <c r="C15" t="s">
        <v>206</v>
      </c>
      <c r="D15" t="s">
        <v>211</v>
      </c>
      <c r="E15" t="s">
        <v>161</v>
      </c>
      <c r="F15" t="s">
        <v>234</v>
      </c>
      <c r="G15" s="62"/>
      <c r="H15" s="62">
        <v>9180000</v>
      </c>
      <c r="I15" s="62">
        <f>ExportFacturacion[[#This Row],[Subtotal]]*12%</f>
        <v>1101600</v>
      </c>
      <c r="J15" s="63">
        <f>ExportFacturacion[[#This Row],[Subtotal]]-ExportFacturacion[[#This Row],[Descuento]]</f>
        <v>8078400</v>
      </c>
    </row>
    <row r="16" spans="1:10" x14ac:dyDescent="0.3">
      <c r="A16" t="s">
        <v>160</v>
      </c>
      <c r="B16" s="61">
        <v>691</v>
      </c>
      <c r="C16" t="s">
        <v>199</v>
      </c>
      <c r="D16" t="s">
        <v>212</v>
      </c>
      <c r="E16" t="s">
        <v>202</v>
      </c>
      <c r="F16" t="s">
        <v>200</v>
      </c>
      <c r="G16" s="62">
        <v>1120931.67</v>
      </c>
      <c r="H16" s="62">
        <v>4350000</v>
      </c>
      <c r="I16" s="62">
        <f>ExportFacturacion[[#This Row],[Subtotal]]*20%</f>
        <v>870000</v>
      </c>
      <c r="J16" s="63">
        <f>ExportFacturacion[[#This Row],[Subtotal]]-ExportFacturacion[[#This Row],[Descuento]]</f>
        <v>3480000</v>
      </c>
    </row>
    <row r="17" spans="1:10" x14ac:dyDescent="0.3">
      <c r="A17" t="s">
        <v>160</v>
      </c>
      <c r="B17" s="61">
        <v>692</v>
      </c>
      <c r="C17" t="s">
        <v>199</v>
      </c>
      <c r="D17" t="s">
        <v>213</v>
      </c>
      <c r="E17" t="s">
        <v>202</v>
      </c>
      <c r="F17" t="s">
        <v>200</v>
      </c>
      <c r="G17" s="62">
        <v>1120931.67</v>
      </c>
      <c r="H17" s="62">
        <v>4350000</v>
      </c>
      <c r="I17" s="62">
        <f>ExportFacturacion[[#This Row],[Subtotal]]*20%</f>
        <v>870000</v>
      </c>
      <c r="J17" s="63">
        <f>ExportFacturacion[[#This Row],[Subtotal]]-ExportFacturacion[[#This Row],[Descuento]]</f>
        <v>3480000</v>
      </c>
    </row>
    <row r="18" spans="1:10" x14ac:dyDescent="0.3">
      <c r="A18" t="s">
        <v>160</v>
      </c>
      <c r="B18" s="61">
        <v>699</v>
      </c>
      <c r="C18" t="s">
        <v>199</v>
      </c>
      <c r="D18" t="s">
        <v>214</v>
      </c>
      <c r="E18" t="s">
        <v>161</v>
      </c>
      <c r="F18" t="s">
        <v>234</v>
      </c>
      <c r="G18" s="62"/>
      <c r="H18" s="62">
        <v>9180000</v>
      </c>
      <c r="I18" s="62">
        <f>ExportFacturacion[[#This Row],[Subtotal]]*19.61%</f>
        <v>1800198</v>
      </c>
      <c r="J18" s="63">
        <f>ExportFacturacion[[#This Row],[Subtotal]]-ExportFacturacion[[#This Row],[Descuento]]</f>
        <v>7379802</v>
      </c>
    </row>
    <row r="19" spans="1:10" x14ac:dyDescent="0.3">
      <c r="A19" t="s">
        <v>160</v>
      </c>
      <c r="B19" s="61">
        <v>704</v>
      </c>
      <c r="C19" t="s">
        <v>206</v>
      </c>
      <c r="D19" t="s">
        <v>215</v>
      </c>
      <c r="E19" t="s">
        <v>161</v>
      </c>
      <c r="F19" t="s">
        <v>235</v>
      </c>
      <c r="G19" s="62">
        <v>1630897.63</v>
      </c>
      <c r="H19" s="62">
        <v>3949803</v>
      </c>
      <c r="I19" s="62">
        <f>ExportFacturacion[[#This Row],[Subtotal]]*25%</f>
        <v>987450.75</v>
      </c>
      <c r="J19" s="63">
        <f>ExportFacturacion[[#This Row],[Subtotal]]-ExportFacturacion[[#This Row],[Descuento]]</f>
        <v>2962352.25</v>
      </c>
    </row>
    <row r="20" spans="1:10" x14ac:dyDescent="0.3">
      <c r="A20" t="s">
        <v>160</v>
      </c>
      <c r="B20" s="61">
        <v>708</v>
      </c>
      <c r="C20" t="s">
        <v>206</v>
      </c>
      <c r="D20" t="s">
        <v>216</v>
      </c>
      <c r="E20" t="s">
        <v>161</v>
      </c>
      <c r="F20" t="s">
        <v>186</v>
      </c>
      <c r="G20" s="62">
        <v>398990.91</v>
      </c>
      <c r="H20" s="62">
        <v>2211000</v>
      </c>
      <c r="I20" s="62">
        <f>ExportFacturacion[[#This Row],[Subtotal]]*5%</f>
        <v>110550</v>
      </c>
      <c r="J20" s="63">
        <f>ExportFacturacion[[#This Row],[Subtotal]]-ExportFacturacion[[#This Row],[Descuento]]</f>
        <v>2100450</v>
      </c>
    </row>
    <row r="21" spans="1:10" x14ac:dyDescent="0.3">
      <c r="A21" t="s">
        <v>160</v>
      </c>
      <c r="B21" s="61">
        <v>709</v>
      </c>
      <c r="C21" t="s">
        <v>206</v>
      </c>
      <c r="D21" t="s">
        <v>217</v>
      </c>
      <c r="E21" t="s">
        <v>202</v>
      </c>
      <c r="F21" t="s">
        <v>186</v>
      </c>
      <c r="G21" s="62">
        <v>398990.91</v>
      </c>
      <c r="H21" s="62">
        <v>2211000</v>
      </c>
      <c r="I21" s="62">
        <v>0</v>
      </c>
      <c r="J21" s="63">
        <f>ExportFacturacion[[#This Row],[Subtotal]]-ExportFacturacion[[#This Row],[Descuento]]</f>
        <v>2211000</v>
      </c>
    </row>
    <row r="22" spans="1:10" x14ac:dyDescent="0.3">
      <c r="A22" t="s">
        <v>160</v>
      </c>
      <c r="B22" s="61">
        <v>711</v>
      </c>
      <c r="C22" t="s">
        <v>199</v>
      </c>
      <c r="D22" t="s">
        <v>218</v>
      </c>
      <c r="E22" t="s">
        <v>161</v>
      </c>
      <c r="F22" t="s">
        <v>235</v>
      </c>
      <c r="G22" s="62">
        <v>1630897.63</v>
      </c>
      <c r="H22" s="62">
        <v>3949803</v>
      </c>
      <c r="I22" s="62">
        <f>ExportFacturacion[[#This Row],[Subtotal]]*33.32%</f>
        <v>1316074.3596000001</v>
      </c>
      <c r="J22" s="63">
        <f>ExportFacturacion[[#This Row],[Subtotal]]-ExportFacturacion[[#This Row],[Descuento]]</f>
        <v>2633728.6403999999</v>
      </c>
    </row>
    <row r="23" spans="1:10" x14ac:dyDescent="0.3">
      <c r="A23" t="s">
        <v>160</v>
      </c>
      <c r="B23" s="61">
        <v>714</v>
      </c>
      <c r="C23" t="s">
        <v>206</v>
      </c>
      <c r="D23" t="s">
        <v>219</v>
      </c>
      <c r="E23" t="s">
        <v>202</v>
      </c>
      <c r="F23" t="s">
        <v>234</v>
      </c>
      <c r="G23" s="62"/>
      <c r="H23" s="62">
        <v>9180000</v>
      </c>
      <c r="I23" s="62">
        <f>ExportFacturacion[[#This Row],[Subtotal]]*63%</f>
        <v>5783400</v>
      </c>
      <c r="J23" s="63">
        <f>ExportFacturacion[[#This Row],[Subtotal]]-ExportFacturacion[[#This Row],[Descuento]]</f>
        <v>3396600</v>
      </c>
    </row>
    <row r="24" spans="1:10" x14ac:dyDescent="0.3">
      <c r="A24" t="s">
        <v>160</v>
      </c>
      <c r="B24" s="61">
        <v>717</v>
      </c>
      <c r="C24" t="s">
        <v>206</v>
      </c>
      <c r="D24" t="s">
        <v>220</v>
      </c>
      <c r="E24" t="s">
        <v>202</v>
      </c>
      <c r="F24" t="s">
        <v>186</v>
      </c>
      <c r="G24" s="62">
        <v>398990.91</v>
      </c>
      <c r="H24" s="62">
        <v>2211000</v>
      </c>
      <c r="I24" s="62">
        <v>0</v>
      </c>
      <c r="J24" s="63">
        <f>ExportFacturacion[[#This Row],[Subtotal]]-ExportFacturacion[[#This Row],[Descuento]]</f>
        <v>2211000</v>
      </c>
    </row>
    <row r="25" spans="1:10" x14ac:dyDescent="0.3">
      <c r="A25" t="s">
        <v>160</v>
      </c>
      <c r="B25" s="61">
        <v>720</v>
      </c>
      <c r="C25" t="s">
        <v>199</v>
      </c>
      <c r="D25" t="s">
        <v>221</v>
      </c>
      <c r="E25" t="s">
        <v>161</v>
      </c>
      <c r="F25" t="s">
        <v>200</v>
      </c>
      <c r="G25" s="62">
        <v>1120931.67</v>
      </c>
      <c r="H25" s="62">
        <v>4350000</v>
      </c>
      <c r="I25" s="62">
        <f>ExportFacturacion[[#This Row],[Subtotal]]*20%</f>
        <v>870000</v>
      </c>
      <c r="J25" s="63">
        <f>ExportFacturacion[[#This Row],[Subtotal]]-ExportFacturacion[[#This Row],[Descuento]]</f>
        <v>3480000</v>
      </c>
    </row>
    <row r="26" spans="1:10" x14ac:dyDescent="0.3">
      <c r="A26" t="s">
        <v>160</v>
      </c>
      <c r="B26" s="61">
        <v>724</v>
      </c>
      <c r="C26" t="s">
        <v>199</v>
      </c>
      <c r="D26" t="s">
        <v>222</v>
      </c>
      <c r="E26" t="s">
        <v>202</v>
      </c>
      <c r="F26" t="s">
        <v>234</v>
      </c>
      <c r="G26" s="62"/>
      <c r="H26" s="62">
        <v>9180000</v>
      </c>
      <c r="I26" s="62">
        <f>ExportFacturacion[[#This Row],[Subtotal]]*20%</f>
        <v>1836000</v>
      </c>
      <c r="J26" s="63">
        <f>ExportFacturacion[[#This Row],[Subtotal]]-ExportFacturacion[[#This Row],[Descuento]]</f>
        <v>7344000</v>
      </c>
    </row>
    <row r="27" spans="1:10" x14ac:dyDescent="0.3">
      <c r="A27" t="s">
        <v>160</v>
      </c>
      <c r="B27" s="61">
        <v>725</v>
      </c>
      <c r="C27" t="s">
        <v>199</v>
      </c>
      <c r="D27" t="s">
        <v>214</v>
      </c>
      <c r="E27" t="s">
        <v>161</v>
      </c>
      <c r="F27" t="s">
        <v>233</v>
      </c>
      <c r="G27" s="62">
        <v>28147.47</v>
      </c>
      <c r="H27" s="62">
        <v>80000</v>
      </c>
      <c r="I27" s="62">
        <v>0</v>
      </c>
      <c r="J27" s="63">
        <f>ExportFacturacion[[#This Row],[Subtotal]]-ExportFacturacion[[#This Row],[Descuento]]</f>
        <v>80000</v>
      </c>
    </row>
    <row r="28" spans="1:10" x14ac:dyDescent="0.3">
      <c r="F28" t="s">
        <v>226</v>
      </c>
      <c r="G28" s="62">
        <v>29803.21</v>
      </c>
      <c r="H28" s="66">
        <v>120100</v>
      </c>
      <c r="I28" s="62">
        <f>ExportFacturacion[[#This Row],[Subtotal]]*5%</f>
        <v>6005</v>
      </c>
      <c r="J28" s="63">
        <f>ExportFacturacion[[#This Row],[Subtotal]]-ExportFacturacion[[#This Row],[Descuento]]</f>
        <v>114095</v>
      </c>
    </row>
    <row r="29" spans="1:10" x14ac:dyDescent="0.3">
      <c r="A29" t="s">
        <v>160</v>
      </c>
      <c r="B29" s="61">
        <v>727</v>
      </c>
      <c r="C29" t="s">
        <v>199</v>
      </c>
      <c r="D29" t="s">
        <v>223</v>
      </c>
      <c r="E29" t="s">
        <v>161</v>
      </c>
      <c r="F29" t="s">
        <v>236</v>
      </c>
      <c r="G29" s="62"/>
      <c r="H29" s="62">
        <v>10820000</v>
      </c>
      <c r="I29" s="62">
        <f>ExportFacturacion[[#This Row],[Subtotal]]*16.4%</f>
        <v>1774479.9999999998</v>
      </c>
      <c r="J29" s="63">
        <f>ExportFacturacion[[#This Row],[Subtotal]]-ExportFacturacion[[#This Row],[Descuento]]</f>
        <v>9045520</v>
      </c>
    </row>
    <row r="30" spans="1:10" x14ac:dyDescent="0.3">
      <c r="F30" t="s">
        <v>203</v>
      </c>
      <c r="G30" s="62">
        <v>599897.5</v>
      </c>
      <c r="H30" s="62">
        <v>1844330</v>
      </c>
      <c r="I30" s="62">
        <f>ExportFacturacion[[#This Row],[Subtotal]]*10%</f>
        <v>184433</v>
      </c>
      <c r="J30" s="63">
        <f>ExportFacturacion[[#This Row],[Subtotal]]-ExportFacturacion[[#This Row],[Descuento]]</f>
        <v>1659897</v>
      </c>
    </row>
    <row r="31" spans="1:10" x14ac:dyDescent="0.3">
      <c r="A31" t="s">
        <v>160</v>
      </c>
      <c r="B31" s="61">
        <v>729</v>
      </c>
      <c r="C31" t="s">
        <v>199</v>
      </c>
      <c r="D31" t="s">
        <v>224</v>
      </c>
      <c r="E31" t="s">
        <v>202</v>
      </c>
      <c r="F31" t="s">
        <v>200</v>
      </c>
      <c r="G31" s="62">
        <v>1120931.67</v>
      </c>
      <c r="H31" s="62">
        <v>4350000</v>
      </c>
      <c r="I31" s="62">
        <f>ExportFacturacion[[#This Row],[Subtotal]]*20%</f>
        <v>870000</v>
      </c>
      <c r="J31" s="63">
        <f>ExportFacturacion[[#This Row],[Subtotal]]-ExportFacturacion[[#This Row],[Descuento]]</f>
        <v>3480000</v>
      </c>
    </row>
    <row r="32" spans="1:10" x14ac:dyDescent="0.3">
      <c r="A32" t="s">
        <v>160</v>
      </c>
      <c r="B32" s="61">
        <v>730</v>
      </c>
      <c r="C32" t="s">
        <v>199</v>
      </c>
      <c r="D32" t="s">
        <v>225</v>
      </c>
      <c r="E32" t="s">
        <v>202</v>
      </c>
      <c r="F32" t="s">
        <v>186</v>
      </c>
      <c r="G32" s="62">
        <v>398990.91</v>
      </c>
      <c r="H32" s="62">
        <v>2211000</v>
      </c>
      <c r="I32" s="62">
        <f>ExportFacturacion[[#This Row],[Subtotal]]*10%</f>
        <v>221100</v>
      </c>
      <c r="J32" s="63">
        <f>ExportFacturacion[[#This Row],[Subtotal]]-ExportFacturacion[[#This Row],[Descuento]]</f>
        <v>1989900</v>
      </c>
    </row>
    <row r="33" spans="1:10" x14ac:dyDescent="0.3">
      <c r="A33" t="s">
        <v>160</v>
      </c>
      <c r="B33" s="61">
        <v>732</v>
      </c>
      <c r="C33" t="s">
        <v>199</v>
      </c>
      <c r="D33" t="s">
        <v>232</v>
      </c>
      <c r="E33" t="s">
        <v>202</v>
      </c>
      <c r="F33" t="s">
        <v>200</v>
      </c>
      <c r="G33" s="62">
        <v>1120931.67</v>
      </c>
      <c r="H33" s="62">
        <v>4350000</v>
      </c>
      <c r="I33" s="62">
        <f>4350000*20%</f>
        <v>870000</v>
      </c>
      <c r="J33" s="63">
        <f>ExportFacturacion[[#This Row],[Subtotal]]-ExportFacturacion[[#This Row],[Descuento]]</f>
        <v>3480000</v>
      </c>
    </row>
    <row r="34" spans="1:10" x14ac:dyDescent="0.3">
      <c r="G34" s="63">
        <f>SUM(G2:G33)</f>
        <v>16767017.98</v>
      </c>
      <c r="H34" s="67">
        <f>SUM(H2:H33)</f>
        <v>132113966</v>
      </c>
      <c r="I34" s="67">
        <f>SUM(I2:I33)</f>
        <v>25674603.989599999</v>
      </c>
      <c r="J34" s="65">
        <f>SUM(J2:J33)</f>
        <v>106439362.0104</v>
      </c>
    </row>
  </sheetData>
  <phoneticPr fontId="15" type="noConversion"/>
  <pageMargins left="0.7" right="0.7" top="0.75" bottom="0.75" header="0.3" footer="0.3"/>
  <ignoredErrors>
    <ignoredError sqref="I3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2</v>
      </c>
      <c r="B1" t="s">
        <v>3</v>
      </c>
    </row>
    <row r="2" spans="1:2" ht="15.6" x14ac:dyDescent="0.3">
      <c r="A2" s="3" t="s">
        <v>29</v>
      </c>
      <c r="B2" t="s">
        <v>81</v>
      </c>
    </row>
    <row r="3" spans="1:2" x14ac:dyDescent="0.3">
      <c r="A3" s="1" t="s">
        <v>31</v>
      </c>
      <c r="B3" s="4" t="s">
        <v>30</v>
      </c>
    </row>
    <row r="4" spans="1:2" x14ac:dyDescent="0.3">
      <c r="A4" s="1" t="s">
        <v>10</v>
      </c>
      <c r="B4" s="4" t="s">
        <v>75</v>
      </c>
    </row>
    <row r="5" spans="1:2" ht="16.8" x14ac:dyDescent="0.4">
      <c r="A5" s="5" t="s">
        <v>16</v>
      </c>
      <c r="B5" s="4" t="s">
        <v>44</v>
      </c>
    </row>
    <row r="6" spans="1:2" ht="16.8" x14ac:dyDescent="0.4">
      <c r="A6" s="5" t="s">
        <v>53</v>
      </c>
      <c r="B6" s="4" t="s">
        <v>80</v>
      </c>
    </row>
    <row r="7" spans="1:2" ht="16.8" x14ac:dyDescent="0.4">
      <c r="A7" s="5" t="s">
        <v>82</v>
      </c>
      <c r="B7" s="6" t="s">
        <v>9</v>
      </c>
    </row>
    <row r="8" spans="1:2" ht="16.8" x14ac:dyDescent="0.4">
      <c r="A8" s="5" t="s">
        <v>63</v>
      </c>
      <c r="B8" s="6" t="s">
        <v>17</v>
      </c>
    </row>
    <row r="9" spans="1:2" ht="16.8" x14ac:dyDescent="0.4">
      <c r="A9" s="5" t="s">
        <v>65</v>
      </c>
      <c r="B9" s="4" t="s">
        <v>18</v>
      </c>
    </row>
    <row r="10" spans="1:2" ht="16.8" x14ac:dyDescent="0.4">
      <c r="A10" s="5" t="s">
        <v>20</v>
      </c>
      <c r="B10" s="4" t="s">
        <v>23</v>
      </c>
    </row>
    <row r="11" spans="1:2" ht="16.8" x14ac:dyDescent="0.4">
      <c r="A11" s="5" t="s">
        <v>75</v>
      </c>
      <c r="B11" s="4" t="s">
        <v>12</v>
      </c>
    </row>
    <row r="12" spans="1:2" ht="16.8" x14ac:dyDescent="0.4">
      <c r="A12" s="5" t="s">
        <v>76</v>
      </c>
      <c r="B12" s="4" t="s">
        <v>43</v>
      </c>
    </row>
    <row r="13" spans="1:2" ht="19.2" x14ac:dyDescent="0.45">
      <c r="A13" s="7" t="s">
        <v>77</v>
      </c>
      <c r="B13" s="4" t="s">
        <v>0</v>
      </c>
    </row>
    <row r="14" spans="1:2" ht="16.8" x14ac:dyDescent="0.4">
      <c r="A14" s="5" t="s">
        <v>83</v>
      </c>
      <c r="B14" s="4" t="s">
        <v>54</v>
      </c>
    </row>
    <row r="15" spans="1:2" ht="16.8" x14ac:dyDescent="0.4">
      <c r="A15" s="5" t="s">
        <v>22</v>
      </c>
      <c r="B15" s="4" t="s">
        <v>55</v>
      </c>
    </row>
    <row r="16" spans="1:2" ht="16.8" x14ac:dyDescent="0.4">
      <c r="A16" s="5" t="s">
        <v>6</v>
      </c>
      <c r="B16" s="4" t="s">
        <v>68</v>
      </c>
    </row>
    <row r="17" spans="2:2" x14ac:dyDescent="0.3">
      <c r="B17" s="6" t="s">
        <v>39</v>
      </c>
    </row>
    <row r="18" spans="2:2" x14ac:dyDescent="0.3">
      <c r="B18" s="4" t="s">
        <v>67</v>
      </c>
    </row>
    <row r="19" spans="2:2" x14ac:dyDescent="0.3">
      <c r="B19" s="4" t="s">
        <v>84</v>
      </c>
    </row>
    <row r="20" spans="2:2" x14ac:dyDescent="0.3">
      <c r="B20" s="4" t="s">
        <v>33</v>
      </c>
    </row>
    <row r="21" spans="2:2" x14ac:dyDescent="0.3">
      <c r="B21" s="6" t="s">
        <v>34</v>
      </c>
    </row>
    <row r="22" spans="2:2" x14ac:dyDescent="0.3">
      <c r="B22" s="4" t="s">
        <v>7</v>
      </c>
    </row>
    <row r="23" spans="2:2" x14ac:dyDescent="0.3">
      <c r="B23" s="4" t="s">
        <v>35</v>
      </c>
    </row>
    <row r="24" spans="2:2" x14ac:dyDescent="0.3">
      <c r="B24" s="4" t="s">
        <v>70</v>
      </c>
    </row>
    <row r="25" spans="2:2" x14ac:dyDescent="0.3">
      <c r="B25" s="6" t="s">
        <v>49</v>
      </c>
    </row>
    <row r="26" spans="2:2" x14ac:dyDescent="0.3">
      <c r="B26" s="6" t="s">
        <v>36</v>
      </c>
    </row>
    <row r="27" spans="2:2" x14ac:dyDescent="0.3">
      <c r="B27" s="6" t="s">
        <v>51</v>
      </c>
    </row>
    <row r="28" spans="2:2" x14ac:dyDescent="0.3">
      <c r="B28" s="6" t="s">
        <v>52</v>
      </c>
    </row>
    <row r="29" spans="2:2" x14ac:dyDescent="0.3">
      <c r="B29" s="4" t="s">
        <v>85</v>
      </c>
    </row>
    <row r="30" spans="2:2" x14ac:dyDescent="0.3">
      <c r="B30" s="6" t="s">
        <v>86</v>
      </c>
    </row>
    <row r="31" spans="2:2" x14ac:dyDescent="0.3">
      <c r="B31" s="4" t="s">
        <v>40</v>
      </c>
    </row>
    <row r="32" spans="2:2" x14ac:dyDescent="0.3">
      <c r="B32" s="4" t="s">
        <v>87</v>
      </c>
    </row>
    <row r="33" spans="2:2" x14ac:dyDescent="0.3">
      <c r="B33" s="4" t="s">
        <v>14</v>
      </c>
    </row>
    <row r="34" spans="2:2" x14ac:dyDescent="0.3">
      <c r="B34" s="4" t="s">
        <v>88</v>
      </c>
    </row>
    <row r="35" spans="2:2" x14ac:dyDescent="0.3">
      <c r="B35" s="4" t="s">
        <v>89</v>
      </c>
    </row>
    <row r="36" spans="2:2" x14ac:dyDescent="0.3">
      <c r="B36" s="4" t="s">
        <v>61</v>
      </c>
    </row>
    <row r="37" spans="2:2" x14ac:dyDescent="0.3">
      <c r="B37" s="6" t="s">
        <v>62</v>
      </c>
    </row>
    <row r="38" spans="2:2" x14ac:dyDescent="0.3">
      <c r="B38" s="6" t="s">
        <v>90</v>
      </c>
    </row>
    <row r="39" spans="2:2" x14ac:dyDescent="0.3">
      <c r="B39" s="6" t="s">
        <v>91</v>
      </c>
    </row>
    <row r="40" spans="2:2" x14ac:dyDescent="0.3">
      <c r="B40" s="6" t="s">
        <v>41</v>
      </c>
    </row>
    <row r="41" spans="2:2" x14ac:dyDescent="0.3">
      <c r="B41" s="6" t="s">
        <v>78</v>
      </c>
    </row>
    <row r="42" spans="2:2" x14ac:dyDescent="0.3">
      <c r="B42" s="6" t="s">
        <v>92</v>
      </c>
    </row>
    <row r="43" spans="2:2" x14ac:dyDescent="0.3">
      <c r="B43" s="6" t="s">
        <v>13</v>
      </c>
    </row>
    <row r="44" spans="2:2" x14ac:dyDescent="0.3">
      <c r="B44" s="6" t="s">
        <v>93</v>
      </c>
    </row>
    <row r="45" spans="2:2" x14ac:dyDescent="0.3">
      <c r="B45" s="6" t="s">
        <v>94</v>
      </c>
    </row>
    <row r="46" spans="2:2" x14ac:dyDescent="0.3">
      <c r="B46" s="4" t="s">
        <v>8</v>
      </c>
    </row>
    <row r="47" spans="2:2" x14ac:dyDescent="0.3">
      <c r="B47" s="4" t="s">
        <v>56</v>
      </c>
    </row>
    <row r="48" spans="2:2" x14ac:dyDescent="0.3">
      <c r="B48" s="4" t="s">
        <v>72</v>
      </c>
    </row>
    <row r="49" spans="2:2" x14ac:dyDescent="0.3">
      <c r="B49" s="4" t="s">
        <v>95</v>
      </c>
    </row>
    <row r="50" spans="2:2" x14ac:dyDescent="0.3">
      <c r="B50" s="4" t="s">
        <v>96</v>
      </c>
    </row>
    <row r="51" spans="2:2" x14ac:dyDescent="0.3">
      <c r="B51" s="4" t="s">
        <v>42</v>
      </c>
    </row>
    <row r="52" spans="2:2" x14ac:dyDescent="0.3">
      <c r="B52" s="4" t="s">
        <v>11</v>
      </c>
    </row>
    <row r="53" spans="2:2" x14ac:dyDescent="0.3">
      <c r="B53" s="4" t="s">
        <v>97</v>
      </c>
    </row>
    <row r="54" spans="2:2" x14ac:dyDescent="0.3">
      <c r="B54" s="4" t="s">
        <v>98</v>
      </c>
    </row>
    <row r="55" spans="2:2" x14ac:dyDescent="0.3">
      <c r="B55" s="4" t="s">
        <v>32</v>
      </c>
    </row>
    <row r="56" spans="2:2" x14ac:dyDescent="0.3">
      <c r="B56" s="4" t="s">
        <v>59</v>
      </c>
    </row>
    <row r="57" spans="2:2" x14ac:dyDescent="0.3">
      <c r="B57" s="8" t="s">
        <v>46</v>
      </c>
    </row>
    <row r="58" spans="2:2" x14ac:dyDescent="0.3">
      <c r="B58" s="4" t="s">
        <v>99</v>
      </c>
    </row>
    <row r="59" spans="2:2" x14ac:dyDescent="0.3">
      <c r="B59" s="4" t="s">
        <v>73</v>
      </c>
    </row>
    <row r="60" spans="2:2" x14ac:dyDescent="0.3">
      <c r="B60" s="4" t="s">
        <v>47</v>
      </c>
    </row>
    <row r="61" spans="2:2" x14ac:dyDescent="0.3">
      <c r="B61" s="8" t="s">
        <v>48</v>
      </c>
    </row>
    <row r="62" spans="2:2" x14ac:dyDescent="0.3">
      <c r="B62" s="4" t="s">
        <v>1</v>
      </c>
    </row>
    <row r="63" spans="2:2" x14ac:dyDescent="0.3">
      <c r="B63" s="4" t="s">
        <v>50</v>
      </c>
    </row>
    <row r="64" spans="2:2" x14ac:dyDescent="0.3">
      <c r="B64" s="4" t="s">
        <v>100</v>
      </c>
    </row>
    <row r="65" spans="2:2" x14ac:dyDescent="0.3">
      <c r="B65" s="4" t="s">
        <v>101</v>
      </c>
    </row>
    <row r="66" spans="2:2" x14ac:dyDescent="0.3">
      <c r="B66" s="4" t="s">
        <v>74</v>
      </c>
    </row>
    <row r="67" spans="2:2" x14ac:dyDescent="0.3">
      <c r="B67" s="6" t="s">
        <v>57</v>
      </c>
    </row>
    <row r="68" spans="2:2" x14ac:dyDescent="0.3">
      <c r="B68" s="6" t="s">
        <v>45</v>
      </c>
    </row>
    <row r="69" spans="2:2" x14ac:dyDescent="0.3">
      <c r="B69" s="9" t="s">
        <v>102</v>
      </c>
    </row>
    <row r="70" spans="2:2" x14ac:dyDescent="0.3">
      <c r="B70" s="4" t="s">
        <v>64</v>
      </c>
    </row>
    <row r="71" spans="2:2" x14ac:dyDescent="0.3">
      <c r="B71" s="6" t="s">
        <v>103</v>
      </c>
    </row>
    <row r="72" spans="2:2" x14ac:dyDescent="0.3">
      <c r="B72" t="s">
        <v>4</v>
      </c>
    </row>
    <row r="73" spans="2:2" x14ac:dyDescent="0.3">
      <c r="B73" s="6" t="s">
        <v>69</v>
      </c>
    </row>
    <row r="74" spans="2:2" x14ac:dyDescent="0.3">
      <c r="B74" s="6" t="s">
        <v>104</v>
      </c>
    </row>
    <row r="75" spans="2:2" x14ac:dyDescent="0.3">
      <c r="B75" s="6" t="s">
        <v>105</v>
      </c>
    </row>
    <row r="76" spans="2:2" x14ac:dyDescent="0.3">
      <c r="B76" s="6" t="s">
        <v>66</v>
      </c>
    </row>
    <row r="77" spans="2:2" x14ac:dyDescent="0.3">
      <c r="B77" s="6" t="s">
        <v>21</v>
      </c>
    </row>
    <row r="78" spans="2:2" x14ac:dyDescent="0.3">
      <c r="B78" s="6" t="s">
        <v>114</v>
      </c>
    </row>
    <row r="79" spans="2:2" x14ac:dyDescent="0.3">
      <c r="B79" s="6" t="s">
        <v>106</v>
      </c>
    </row>
    <row r="80" spans="2:2" x14ac:dyDescent="0.3">
      <c r="B80" s="6" t="s">
        <v>67</v>
      </c>
    </row>
    <row r="81" spans="2:2" x14ac:dyDescent="0.3">
      <c r="B81" s="6" t="s">
        <v>60</v>
      </c>
    </row>
    <row r="82" spans="2:2" x14ac:dyDescent="0.3">
      <c r="B82" s="6" t="s">
        <v>58</v>
      </c>
    </row>
    <row r="83" spans="2:2" x14ac:dyDescent="0.3">
      <c r="B83" s="6" t="s">
        <v>15</v>
      </c>
    </row>
    <row r="84" spans="2:2" x14ac:dyDescent="0.3">
      <c r="B84" s="6" t="s">
        <v>107</v>
      </c>
    </row>
    <row r="85" spans="2:2" x14ac:dyDescent="0.3">
      <c r="B85" s="6" t="s">
        <v>71</v>
      </c>
    </row>
    <row r="86" spans="2:2" x14ac:dyDescent="0.3">
      <c r="B86" s="6" t="s">
        <v>108</v>
      </c>
    </row>
    <row r="87" spans="2:2" x14ac:dyDescent="0.3">
      <c r="B87" s="6" t="s">
        <v>37</v>
      </c>
    </row>
    <row r="88" spans="2:2" x14ac:dyDescent="0.3">
      <c r="B88" s="6" t="s">
        <v>38</v>
      </c>
    </row>
    <row r="89" spans="2:2" x14ac:dyDescent="0.3">
      <c r="B89" s="6" t="s">
        <v>19</v>
      </c>
    </row>
    <row r="90" spans="2:2" x14ac:dyDescent="0.3">
      <c r="B90" s="10" t="s">
        <v>109</v>
      </c>
    </row>
    <row r="91" spans="2:2" x14ac:dyDescent="0.3">
      <c r="B91" s="6" t="s">
        <v>5</v>
      </c>
    </row>
    <row r="92" spans="2:2" x14ac:dyDescent="0.3">
      <c r="B92" s="6" t="s">
        <v>110</v>
      </c>
    </row>
    <row r="93" spans="2:2" x14ac:dyDescent="0.3">
      <c r="B93" s="6" t="s">
        <v>115</v>
      </c>
    </row>
    <row r="94" spans="2:2" x14ac:dyDescent="0.3">
      <c r="B94" t="s">
        <v>111</v>
      </c>
    </row>
    <row r="95" spans="2:2" x14ac:dyDescent="0.3">
      <c r="B95" s="6" t="s">
        <v>112</v>
      </c>
    </row>
    <row r="96" spans="2:2" x14ac:dyDescent="0.3">
      <c r="B96" s="6" t="s">
        <v>113</v>
      </c>
    </row>
    <row r="97" spans="2:2" x14ac:dyDescent="0.3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Ene´26</vt:lpstr>
      <vt:lpstr>Gastos</vt:lpstr>
      <vt:lpstr>Ventas Ene 2026 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2026-03-02T23:01:58Z</dcterms:modified>
</cp:coreProperties>
</file>